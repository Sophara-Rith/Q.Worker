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omments/comment1.xml" ContentType="application/vnd.openxmlformats-officedocument.spreadsheetml.comments+xml"/>
  <Override PartName="/xl/worksheets/sheet13.xml" ContentType="application/vnd.openxmlformats-officedocument.spreadsheetml.worksheet+xml"/>
  <Override PartName="/xl/comments/comment2.xml" ContentType="application/vnd.openxmlformats-officedocument.spreadsheetml.comments+xml"/>
  <Override PartName="/xl/worksheets/sheet14.xml" ContentType="application/vnd.openxmlformats-officedocument.spreadsheetml.worksheet+xml"/>
  <Override PartName="/xl/comments/comment3.xml" ContentType="application/vnd.openxmlformats-officedocument.spreadsheetml.comment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801" firstSheet="0" activeTab="0" autoFilterDateGrouping="1"/>
  </bookViews>
  <sheets>
    <sheet xmlns:r="http://schemas.openxmlformats.org/officeDocument/2006/relationships" name="Company information" sheetId="1" state="visible" r:id="rId1"/>
    <sheet xmlns:r="http://schemas.openxmlformats.org/officeDocument/2006/relationships" name="Annex I-IM State Charge" sheetId="2" state="visible" r:id="rId2"/>
    <sheet xmlns:r="http://schemas.openxmlformats.org/officeDocument/2006/relationships" name="Annex II-IM Non-State Charge" sheetId="3" state="visible" r:id="rId3"/>
    <sheet xmlns:r="http://schemas.openxmlformats.org/officeDocument/2006/relationships" name="AnnexIII-Local Pur" sheetId="4" state="visible" r:id="rId4"/>
    <sheet xmlns:r="http://schemas.openxmlformats.org/officeDocument/2006/relationships" name="Annex IV-EX" sheetId="5" state="visible" r:id="rId5"/>
    <sheet xmlns:r="http://schemas.openxmlformats.org/officeDocument/2006/relationships" name="Annex V-Local Sale" sheetId="6" state="visible" r:id="rId6"/>
    <sheet xmlns:r="http://schemas.openxmlformats.org/officeDocument/2006/relationships" name="Taxpaid" sheetId="7" state="visible" r:id="rId7"/>
    <sheet xmlns:r="http://schemas.openxmlformats.org/officeDocument/2006/relationships" name="Damco" sheetId="8" state="hidden" r:id="rId8"/>
    <sheet xmlns:r="http://schemas.openxmlformats.org/officeDocument/2006/relationships" name="Chea Fat" sheetId="9" state="hidden" r:id="rId9"/>
    <sheet xmlns:r="http://schemas.openxmlformats.org/officeDocument/2006/relationships" name="S G L CAMBODIA" sheetId="10" state="hidden" r:id="rId10"/>
    <sheet xmlns:r="http://schemas.openxmlformats.org/officeDocument/2006/relationships" name="Sheet3" sheetId="11" state="hidden" r:id="rId11"/>
    <sheet xmlns:r="http://schemas.openxmlformats.org/officeDocument/2006/relationships" name="Sale - June" sheetId="12" state="hidden" r:id="rId12"/>
    <sheet xmlns:r="http://schemas.openxmlformats.org/officeDocument/2006/relationships" name="Sale - Jul" sheetId="13" state="hidden" r:id="rId13"/>
    <sheet xmlns:r="http://schemas.openxmlformats.org/officeDocument/2006/relationships" name="Sale - Aug" sheetId="14" state="hidden" r:id="rId14"/>
  </sheets>
  <externalReferences>
    <externalReference xmlns:r="http://schemas.openxmlformats.org/officeDocument/2006/relationships" r:id="rId15"/>
    <externalReference xmlns:r="http://schemas.openxmlformats.org/officeDocument/2006/relationships" r:id="rId16"/>
    <externalReference xmlns:r="http://schemas.openxmlformats.org/officeDocument/2006/relationships" r:id="rId17"/>
    <externalReference xmlns:r="http://schemas.openxmlformats.org/officeDocument/2006/relationships" r:id="rId18"/>
    <externalReference xmlns:r="http://schemas.openxmlformats.org/officeDocument/2006/relationships" r:id="rId19"/>
    <externalReference xmlns:r="http://schemas.openxmlformats.org/officeDocument/2006/relationships" r:id="rId20"/>
    <externalReference xmlns:r="http://schemas.openxmlformats.org/officeDocument/2006/relationships" r:id="rId21"/>
  </externalReferences>
  <definedNames>
    <definedName name="\A">#REF!</definedName>
    <definedName name="\D">#REF!</definedName>
    <definedName name="\E">#REF!</definedName>
    <definedName name="\G">'[1]Company Related Premises'!#REF!</definedName>
    <definedName name="\H">'[1]Company Related Premises'!#REF!</definedName>
    <definedName name="\L">'[1]Company Related Premises'!#REF!</definedName>
    <definedName name="\M">'[1]Company Related Premises'!#REF!</definedName>
    <definedName name="\N">#REF!</definedName>
    <definedName name="\O">#REF!</definedName>
    <definedName name="\P">#REF!</definedName>
    <definedName name="\Q">#REF!</definedName>
    <definedName name="\R">#REF!</definedName>
    <definedName name="\S">#REF!</definedName>
    <definedName name="\T">#REF!</definedName>
    <definedName name="\U">#REF!</definedName>
    <definedName name="\V">#REF!</definedName>
    <definedName name="\W">#REF!</definedName>
    <definedName name="\X">#REF!</definedName>
    <definedName name="\xy">#REF!</definedName>
    <definedName name="\Y">#REF!</definedName>
    <definedName name="\Z">#REF!</definedName>
    <definedName name="__PR1">[2]Sheet!#REF!</definedName>
    <definedName name="__SR1">#REF!</definedName>
    <definedName name="__SR2">#REF!</definedName>
    <definedName name="__wb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Order1" hidden="1">255</definedName>
    <definedName name="_Order2" hidden="1">255</definedName>
    <definedName name="_PR1">[2]Sheet!#REF!</definedName>
    <definedName name="_SR1">#REF!</definedName>
    <definedName name="_SR2">#REF!</definedName>
    <definedName name="_wb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a">#REF!</definedName>
    <definedName name="aaa">#REF!</definedName>
    <definedName name="ab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bcd">#REF!</definedName>
    <definedName name="All">#REF!</definedName>
    <definedName name="ANLAGE_III">[3]Anlagevermögen!$A$1:$Z$29</definedName>
    <definedName name="b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Chhourn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CMDR1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data84">'[4]Purchase Order'!$E$40</definedName>
    <definedName name="dflt3">'[4]Customize Your Purchase Order'!$F$24</definedName>
    <definedName name="dflt4">'[4]Customize Your Purchase Order'!$E$25</definedName>
    <definedName name="DRPAUSE">#REF!</definedName>
    <definedName name="DSCTEMP">[5]DSCTEMP!$A$1:$B$65536</definedName>
    <definedName name="FTBSch">[2]Sheet!#REF!</definedName>
    <definedName name="hh">[2]Sheet!#REF!</definedName>
    <definedName name="is">'[6]Company Related Premises'!#REF!</definedName>
    <definedName name="jngiüorajg">#REF!</definedName>
    <definedName name="k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kaksjak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ll">#REF!</definedName>
    <definedName name="new">#REF!</definedName>
    <definedName name="PeriodsInYear">#REF!</definedName>
    <definedName name="PrintArea">#REF!</definedName>
    <definedName name="qqqqqqqqqqqqqqqqqqqqq">#REF!</definedName>
    <definedName name="RANDO">#REF!</definedName>
    <definedName name="RANDU">#REF!</definedName>
    <definedName name="re">[7]Sheet!#REF!</definedName>
    <definedName name="Report">#REF!</definedName>
    <definedName name="RM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ale">#REF!</definedName>
    <definedName name="SalSch">#REF!</definedName>
    <definedName name="Seite1">#REF!</definedName>
    <definedName name="Seite2">#REF!</definedName>
    <definedName name="Seite3">#REF!</definedName>
    <definedName name="Spec">#REF!</definedName>
    <definedName name="SR">#REF!</definedName>
    <definedName name="SRC">#REF!</definedName>
    <definedName name="tes">[2]Sheet!#REF!</definedName>
    <definedName name="Test">[2]Sheet!#REF!</definedName>
    <definedName name="uebergabe1">#REF!</definedName>
    <definedName name="w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b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rn.Total.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w">[2]Sheet!#REF!</definedName>
    <definedName name="x">#REF!</definedName>
    <definedName name="xx">#REF!</definedName>
    <definedName name="xxx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yx">'[1]Company Related Premises'!#REF!</definedName>
    <definedName name="yxc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yy">[2]Sheet!#REF!</definedName>
    <definedName name="ថ">[2]Sheet!#REF!</definedName>
    <definedName name="_xlnm.Print_Area" localSheetId="1">'Annex I-IM State Charge'!$A$1:$H$4219</definedName>
    <definedName name="_xlnm._FilterDatabase" localSheetId="2" hidden="1">'Annex II-IM Non-State Charge'!$A$9:$K$15</definedName>
    <definedName name="_xlnm.Print_Area" localSheetId="2">'Annex II-IM Non-State Charge'!$A$1:$I$23</definedName>
    <definedName name="_xlnm._FilterDatabase" localSheetId="3" hidden="1">'AnnexIII-Local Pur'!$A$9:$AO$758</definedName>
    <definedName name="_xlnm.Print_Area" localSheetId="3">'AnnexIII-Local Pur'!$A$1:$K$791</definedName>
    <definedName name="_xlnm._FilterDatabase" localSheetId="4" hidden="1">'Annex IV-EX'!$A$9:$I$137</definedName>
    <definedName name="_xlnm.Print_Titles" localSheetId="4">'Annex IV-EX'!$7:$8</definedName>
    <definedName name="_xlnm.Print_Area" localSheetId="4">'Annex IV-EX'!$A$1:$E$146</definedName>
    <definedName name="_xlnm.Print_Area" localSheetId="5">'Annex V-Local Sale'!$A$1:$H$18</definedName>
  </definedNames>
  <calcPr calcId="191029" calcMode="manual" fullCalcOnLoad="1"/>
</workbook>
</file>

<file path=xl/styles.xml><?xml version="1.0" encoding="utf-8"?>
<styleSheet xmlns="http://schemas.openxmlformats.org/spreadsheetml/2006/main">
  <numFmts count="17">
    <numFmt numFmtId="164" formatCode="_(&quot;$&quot;* #,##0.00_);_(&quot;$&quot;* \(#,##0.00\);_(&quot;$&quot;* &quot;-&quot;??_);_(@_)"/>
    <numFmt numFmtId="165" formatCode="_-&quot;$&quot;* #,##0.00_-;\-&quot;$&quot;* #,##0.00_-;_-&quot;$&quot;* &quot;-&quot;??_-;_-@_-"/>
    <numFmt numFmtId="166" formatCode="[$-409]d\-mmm\-yy;@"/>
    <numFmt numFmtId="167" formatCode="000000"/>
    <numFmt numFmtId="168" formatCode="_(* #,##0_);_(* \(#,##0\);_(* &quot;-&quot;??_);_(@_)"/>
    <numFmt numFmtId="169" formatCode="000000000"/>
    <numFmt numFmtId="170" formatCode="m/d/yy;@"/>
    <numFmt numFmtId="171" formatCode="_ * #,##0.00_ ;_ * \-#,##0.00_ ;_ * &quot;-&quot;??_ ;_ @_ "/>
    <numFmt numFmtId="172" formatCode="#,##0.00[$៛-453]"/>
    <numFmt numFmtId="173" formatCode="d\-mmm\-yyyy"/>
    <numFmt numFmtId="174" formatCode="_-* #,##0[$៛-453]_-;\-* #,##0[$៛-453]_-;_-* &quot;-&quot;[$៛-453]_-;_-@_-"/>
    <numFmt numFmtId="175" formatCode="0000"/>
    <numFmt numFmtId="176" formatCode="dd\-mm\-yy"/>
    <numFmt numFmtId="177" formatCode="\I\ 00000"/>
    <numFmt numFmtId="178" formatCode="mmm\-yyyy"/>
    <numFmt numFmtId="179" formatCode="[$-12000425]0"/>
    <numFmt numFmtId="180" formatCode="\ &quot;Total Reil @&quot;\ #,###,#00"/>
  </numFmts>
  <fonts count="102">
    <font>
      <name val="Arial"/>
      <sz val="10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Limon S1"/>
      <sz val="22"/>
    </font>
    <font>
      <name val="Arial"/>
      <family val="2"/>
      <color indexed="12"/>
      <sz val="10"/>
      <u val="single"/>
    </font>
    <font>
      <name val="Arial"/>
      <family val="2"/>
      <sz val="8"/>
    </font>
    <font>
      <name val="Arial"/>
      <family val="2"/>
      <sz val="9"/>
    </font>
    <font>
      <name val="Limon S1"/>
      <sz val="20"/>
    </font>
    <font>
      <name val="Arial"/>
      <family val="2"/>
      <sz val="10"/>
    </font>
    <font>
      <name val="Arial"/>
      <family val="2"/>
      <b val="1"/>
      <sz val="10"/>
    </font>
    <font>
      <name val="Times New Roman"/>
      <family val="1"/>
      <sz val="8"/>
    </font>
    <font>
      <name val="Arial"/>
      <family val="2"/>
      <sz val="10"/>
    </font>
    <font>
      <name val="Tahoma"/>
      <family val="2"/>
      <b val="1"/>
      <color indexed="81"/>
      <sz val="8"/>
    </font>
    <font>
      <name val="Limon S1"/>
      <sz val="10"/>
    </font>
    <font>
      <name val="Arial"/>
      <family val="2"/>
      <color indexed="8"/>
      <sz val="10"/>
    </font>
    <font>
      <name val="Khmer OS"/>
      <sz val="10"/>
    </font>
    <font>
      <name val="Khmer OS"/>
      <b val="1"/>
      <sz val="10"/>
    </font>
    <font>
      <name val="Khmer OS"/>
      <sz val="9"/>
    </font>
    <font>
      <name val="Arial"/>
      <family val="2"/>
      <b val="1"/>
      <i val="1"/>
      <sz val="8"/>
    </font>
    <font>
      <name val="Khmer MEF2"/>
      <sz val="14"/>
    </font>
    <font>
      <name val="Khmer MEF2"/>
      <sz val="10"/>
    </font>
    <font>
      <name val="Khmer MEF1"/>
      <b val="1"/>
      <sz val="10"/>
    </font>
    <font>
      <name val="Khmer MEF1"/>
      <sz val="10"/>
    </font>
    <font>
      <name val="Khmer OS"/>
      <sz val="8.5"/>
    </font>
    <font>
      <name val="Arial"/>
      <family val="2"/>
      <b val="1"/>
      <sz val="9"/>
    </font>
    <font>
      <name val="Arial"/>
      <family val="2"/>
      <b val="1"/>
      <i val="1"/>
      <sz val="11"/>
    </font>
    <font>
      <name val="Khmer MEF1"/>
      <sz val="9"/>
    </font>
    <font>
      <name val="Times New Roman"/>
      <family val="1"/>
      <sz val="7"/>
    </font>
    <font>
      <name val="Arial"/>
      <family val="2"/>
      <color rgb="FFFF0000"/>
      <sz val="10"/>
    </font>
    <font>
      <name val="Limon S1"/>
      <color rgb="FFFF0000"/>
      <sz val="20"/>
    </font>
    <font>
      <name val="Khmer MEF1"/>
      <color rgb="FFFF0000"/>
      <sz val="10"/>
    </font>
    <font>
      <name val="Calibri"/>
      <family val="2"/>
      <sz val="10"/>
      <scheme val="minor"/>
    </font>
    <font>
      <name val="Khmer OS"/>
      <color rgb="FFFF0000"/>
      <sz val="9"/>
    </font>
    <font>
      <name val="Khmer OS"/>
      <color rgb="FFFF0000"/>
      <sz val="10"/>
    </font>
    <font>
      <name val="Khmer MEF1"/>
      <color rgb="FFFF0000"/>
      <sz val="9"/>
    </font>
    <font>
      <name val="Limon S1"/>
      <b val="1"/>
      <sz val="9"/>
    </font>
    <font>
      <name val="Limon R1"/>
      <sz val="22"/>
    </font>
    <font>
      <name val="Limon R1"/>
      <sz val="12"/>
    </font>
    <font>
      <name val="Limon S1"/>
      <b val="1"/>
      <sz val="8"/>
    </font>
    <font>
      <name val="Times New Roman"/>
      <family val="1"/>
      <b val="1"/>
      <sz val="8"/>
    </font>
    <font>
      <name val="Cambria"/>
      <family val="1"/>
      <b val="1"/>
      <sz val="9"/>
      <scheme val="major"/>
    </font>
    <font>
      <name val="Calibri"/>
      <charset val="134"/>
      <family val="2"/>
      <color indexed="8"/>
      <sz val="14"/>
    </font>
    <font>
      <name val="Limon S1"/>
      <sz val="14"/>
    </font>
    <font>
      <name val="Limon S1"/>
      <sz val="8"/>
    </font>
    <font>
      <name val="Calibri"/>
      <family val="2"/>
      <color indexed="8"/>
      <sz val="8"/>
    </font>
    <font>
      <name val="Calibri"/>
      <family val="2"/>
      <color theme="1"/>
      <sz val="9"/>
      <scheme val="minor"/>
    </font>
    <font>
      <name val="Limon S1"/>
      <sz val="9"/>
    </font>
    <font>
      <name val="Limon S1"/>
      <b val="1"/>
      <sz val="7"/>
    </font>
    <font>
      <name val="新細明體"/>
      <charset val="136"/>
      <family val="1"/>
      <sz val="7"/>
    </font>
    <font>
      <name val="Limon S1"/>
      <sz val="7"/>
    </font>
    <font>
      <name val="Limon S1"/>
      <sz val="13"/>
    </font>
    <font>
      <name val="Times New Roman"/>
      <family val="1"/>
      <b val="1"/>
      <sz val="7"/>
    </font>
    <font>
      <name val="Times New Roman"/>
      <charset val="134"/>
      <family val="1"/>
      <sz val="7"/>
    </font>
    <font>
      <name val="Arial"/>
      <family val="2"/>
      <sz val="7"/>
    </font>
    <font>
      <name val="Arial Narrow"/>
      <family val="2"/>
      <sz val="7"/>
    </font>
    <font>
      <name val="Times New Roman"/>
      <charset val="134"/>
      <family val="1"/>
      <b val="1"/>
      <sz val="7"/>
    </font>
    <font>
      <name val="Times New Roman"/>
      <charset val="134"/>
      <family val="1"/>
      <sz val="8"/>
    </font>
    <font>
      <name val="Times New Roman"/>
      <charset val="134"/>
      <family val="1"/>
      <sz val="11"/>
    </font>
    <font>
      <name val="Arial"/>
      <family val="2"/>
      <b val="1"/>
      <sz val="7"/>
    </font>
    <font>
      <name val="Times New Roman"/>
      <charset val="134"/>
      <family val="1"/>
      <sz val="12"/>
    </font>
    <font>
      <name val="Arial"/>
      <family val="2"/>
      <b val="1"/>
      <sz val="8"/>
    </font>
    <font>
      <name val="Arial"/>
      <charset val="134"/>
      <family val="2"/>
      <b val="1"/>
      <sz val="8"/>
    </font>
    <font>
      <name val="Arial"/>
      <charset val="134"/>
      <family val="2"/>
      <b val="1"/>
      <sz val="10"/>
    </font>
    <font>
      <name val="宋体"/>
      <charset val="134"/>
      <sz val="12"/>
    </font>
    <font>
      <name val="新細明體"/>
      <charset val="134"/>
      <b val="1"/>
      <sz val="12"/>
    </font>
    <font>
      <name val="Arial"/>
      <charset val="134"/>
      <family val="2"/>
      <b val="1"/>
      <sz val="14"/>
    </font>
    <font>
      <name val="Arial"/>
      <charset val="134"/>
      <family val="2"/>
      <sz val="10"/>
    </font>
    <font>
      <name val="Arial"/>
      <charset val="134"/>
      <family val="2"/>
      <sz val="9"/>
    </font>
    <font>
      <name val="Calibri"/>
      <charset val="134"/>
      <family val="2"/>
      <color indexed="8"/>
      <sz val="11"/>
    </font>
    <font>
      <name val="Times New Roman"/>
      <charset val="134"/>
      <family val="1"/>
      <sz val="10"/>
    </font>
    <font>
      <name val="Times New Roman"/>
      <family val="1"/>
      <sz val="12"/>
    </font>
    <font>
      <name val="Calibri"/>
      <family val="2"/>
      <color indexed="8"/>
      <sz val="11"/>
    </font>
    <font>
      <name val="Khmer MEF1"/>
      <sz val="11"/>
    </font>
    <font>
      <name val="Khmer MEF1"/>
      <color rgb="FFFF0000"/>
      <sz val="11"/>
    </font>
    <font>
      <name val="Khmer OS Siemreap"/>
      <color theme="1"/>
      <sz val="11"/>
    </font>
    <font>
      <name val="Khmer OS Siemreap"/>
      <sz val="11"/>
    </font>
    <font>
      <name val="Khmer OS Siemreap"/>
      <color rgb="FFFF0000"/>
      <sz val="11"/>
    </font>
    <font>
      <name val="Khmer OS Siemreap"/>
      <b val="1"/>
      <sz val="11"/>
    </font>
    <font>
      <name val="Khmer OS Siemreap"/>
      <b val="1"/>
      <sz val="8"/>
    </font>
    <font>
      <name val="Khmer OS Siemreap"/>
      <b val="1"/>
      <color theme="1"/>
      <sz val="11"/>
    </font>
    <font>
      <name val="Khmer OS Siemreap"/>
      <color theme="1"/>
      <sz val="10"/>
    </font>
    <font>
      <name val="Khmer OS Siemreap"/>
      <sz val="10"/>
    </font>
    <font>
      <name val="Khmer OS Siemreap"/>
      <b val="1"/>
      <sz val="12"/>
    </font>
    <font>
      <name val="Khmer OS Siemreap"/>
      <sz val="22"/>
    </font>
    <font>
      <name val="Khmer OS Siemreap"/>
      <sz val="9"/>
    </font>
    <font>
      <name val="Khmer OS Siemreap"/>
      <color indexed="8"/>
      <sz val="11"/>
    </font>
    <font>
      <name val="Khmer OS Siemreap"/>
      <color rgb="FFFF0000"/>
      <sz val="10"/>
    </font>
    <font>
      <name val="Limon S1"/>
      <sz val="11"/>
    </font>
    <font>
      <name val="Khmer OS Siemreap"/>
      <b val="1"/>
      <sz val="10"/>
    </font>
    <font>
      <name val="Khmer OS Siemreap"/>
      <sz val="12"/>
    </font>
    <font>
      <name val="Khmer OS Siemreap"/>
      <color rgb="FFFF0000"/>
      <sz val="12"/>
    </font>
    <font>
      <name val="Khmer OS Siemreap"/>
      <color theme="1"/>
      <sz val="12"/>
    </font>
    <font>
      <name val="Arial"/>
      <family val="2"/>
      <b val="1"/>
      <color rgb="FF2F303A"/>
      <sz val="9"/>
    </font>
    <font>
      <name val="Khmer OS Siemreap"/>
      <b val="1"/>
      <color theme="1"/>
      <sz val="12"/>
    </font>
    <font>
      <name val="Khmer OS Siemreap"/>
      <color theme="1"/>
      <sz val="9"/>
    </font>
    <font>
      <name val="Arial"/>
      <family val="2"/>
      <sz val="10"/>
    </font>
    <font>
      <name val="Arial"/>
      <family val="2"/>
      <color rgb="FF2F303A"/>
      <sz val="9"/>
    </font>
    <font>
      <name val="Khmer OS Siemreap"/>
      <b val="1"/>
      <color rgb="FFFF0000"/>
      <sz val="11"/>
    </font>
    <font>
      <name val="Arial"/>
      <sz val="8"/>
    </font>
  </fonts>
  <fills count="16">
    <fill>
      <patternFill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3999755851924192"/>
        <bgColor indexed="64"/>
      </patternFill>
    </fill>
  </fills>
  <borders count="5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/>
      <top/>
      <bottom style="medium">
        <color rgb="FFDDDDDD"/>
      </bottom>
      <diagonal/>
    </border>
    <border>
      <left/>
      <right/>
      <top/>
      <bottom style="medium">
        <color rgb="FFDDDDDD"/>
      </bottom>
      <diagonal/>
    </border>
    <border>
      <left/>
      <right style="medium">
        <color rgb="FFDDDDDD"/>
      </right>
      <top/>
      <bottom style="medium">
        <color rgb="FFDDDDDD"/>
      </bottom>
      <diagonal/>
    </border>
    <border>
      <left/>
      <right style="medium">
        <color rgb="FFDDDDDD"/>
      </right>
      <top/>
      <bottom/>
      <diagonal/>
    </border>
    <border>
      <left style="medium">
        <color rgb="FFDDDDDD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47">
    <xf numFmtId="0" fontId="0" fillId="0" borderId="0" applyAlignment="1">
      <alignment vertical="top"/>
    </xf>
    <xf numFmtId="43" fontId="98" fillId="0" borderId="0"/>
    <xf numFmtId="43" fontId="98" fillId="0" borderId="0"/>
    <xf numFmtId="44" fontId="98" fillId="0" borderId="0"/>
    <xf numFmtId="0" fontId="98" fillId="0" borderId="0" applyAlignment="1">
      <alignment vertical="top"/>
    </xf>
    <xf numFmtId="0" fontId="98" fillId="0" borderId="0"/>
    <xf numFmtId="0" fontId="98" fillId="0" borderId="0"/>
    <xf numFmtId="0" fontId="17" fillId="0" borderId="0" applyAlignment="1">
      <alignment vertical="top"/>
    </xf>
    <xf numFmtId="0" fontId="4" fillId="0" borderId="0"/>
    <xf numFmtId="43" fontId="4" fillId="0" borderId="0"/>
    <xf numFmtId="44" fontId="4" fillId="0" borderId="0"/>
    <xf numFmtId="0" fontId="98" fillId="0" borderId="0"/>
    <xf numFmtId="169" fontId="66" fillId="0" borderId="0" applyAlignment="1">
      <alignment vertical="center"/>
    </xf>
    <xf numFmtId="0" fontId="71" fillId="0" borderId="0" applyAlignment="1">
      <alignment vertical="center"/>
    </xf>
    <xf numFmtId="179" fontId="66" fillId="0" borderId="0" applyAlignment="1">
      <alignment vertical="center"/>
    </xf>
    <xf numFmtId="179" fontId="66" fillId="0" borderId="0" applyAlignment="1">
      <alignment vertical="center"/>
    </xf>
    <xf numFmtId="169" fontId="66" fillId="0" borderId="0" applyAlignment="1">
      <alignment vertical="center"/>
    </xf>
    <xf numFmtId="169" fontId="66" fillId="0" borderId="0" applyAlignment="1">
      <alignment vertical="center"/>
    </xf>
    <xf numFmtId="0" fontId="98" fillId="0" borderId="0"/>
    <xf numFmtId="43" fontId="98" fillId="0" borderId="0"/>
    <xf numFmtId="0" fontId="98" fillId="0" borderId="0"/>
    <xf numFmtId="43" fontId="73" fillId="0" borderId="0"/>
    <xf numFmtId="43" fontId="74" fillId="0" borderId="0"/>
    <xf numFmtId="0" fontId="98" fillId="0" borderId="0"/>
    <xf numFmtId="0" fontId="73" fillId="0" borderId="0"/>
    <xf numFmtId="0" fontId="98" fillId="0" borderId="0"/>
    <xf numFmtId="0" fontId="4" fillId="0" borderId="0"/>
    <xf numFmtId="43" fontId="4" fillId="0" borderId="0"/>
    <xf numFmtId="9" fontId="4" fillId="0" borderId="0"/>
    <xf numFmtId="0" fontId="73" fillId="0" borderId="0"/>
    <xf numFmtId="0" fontId="4" fillId="0" borderId="0"/>
    <xf numFmtId="9" fontId="98" fillId="0" borderId="0"/>
    <xf numFmtId="0" fontId="4" fillId="0" borderId="0"/>
    <xf numFmtId="43" fontId="98" fillId="0" borderId="0"/>
    <xf numFmtId="0" fontId="98" fillId="0" borderId="0" applyAlignment="1">
      <alignment vertical="top"/>
    </xf>
    <xf numFmtId="0" fontId="98" fillId="0" borderId="0"/>
    <xf numFmtId="0" fontId="98" fillId="0" borderId="0"/>
    <xf numFmtId="0" fontId="4" fillId="0" borderId="0"/>
    <xf numFmtId="43" fontId="4" fillId="0" borderId="0"/>
    <xf numFmtId="44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9" fontId="4" fillId="0" borderId="0"/>
    <xf numFmtId="0" fontId="98" fillId="0" borderId="0" applyAlignment="1">
      <alignment vertical="top"/>
    </xf>
    <xf numFmtId="0" fontId="4" fillId="0" borderId="0"/>
  </cellStyleXfs>
  <cellXfs count="740">
    <xf numFmtId="0" fontId="0" fillId="0" borderId="0" pivotButton="0" quotePrefix="0" xfId="0"/>
    <xf numFmtId="0" fontId="6" fillId="0" borderId="0" pivotButton="0" quotePrefix="0" xfId="0"/>
    <xf numFmtId="0" fontId="14" fillId="0" borderId="0" pivotButton="0" quotePrefix="0" xfId="0"/>
    <xf numFmtId="0" fontId="31" fillId="0" borderId="0" pivotButton="0" quotePrefix="0" xfId="0"/>
    <xf numFmtId="0" fontId="32" fillId="0" borderId="0" applyAlignment="1" pivotButton="0" quotePrefix="0" xfId="0">
      <alignment horizontal="center" vertical="center" shrinkToFit="1"/>
    </xf>
    <xf numFmtId="0" fontId="10" fillId="0" borderId="0" applyAlignment="1" pivotButton="0" quotePrefix="0" xfId="0">
      <alignment horizontal="center" vertical="center" shrinkToFit="1"/>
    </xf>
    <xf numFmtId="0" fontId="19" fillId="0" borderId="2" applyAlignment="1" pivotButton="0" quotePrefix="0" xfId="0">
      <alignment horizontal="center" vertical="center"/>
    </xf>
    <xf numFmtId="0" fontId="19" fillId="0" borderId="2" applyAlignment="1" pivotButton="0" quotePrefix="0" xfId="0">
      <alignment horizontal="center" vertical="center" shrinkToFit="1"/>
    </xf>
    <xf numFmtId="0" fontId="24" fillId="0" borderId="3" applyAlignment="1" pivotButton="0" quotePrefix="0" xfId="0">
      <alignment horizontal="center" vertical="center" shrinkToFit="1"/>
    </xf>
    <xf numFmtId="0" fontId="25" fillId="0" borderId="2" applyAlignment="1" pivotButton="0" quotePrefix="0" xfId="0">
      <alignment horizontal="center" vertical="center" shrinkToFit="1"/>
    </xf>
    <xf numFmtId="49" fontId="20" fillId="0" borderId="4" applyAlignment="1" pivotButton="0" quotePrefix="0" xfId="0">
      <alignment horizontal="center" vertical="center" wrapText="1"/>
    </xf>
    <xf numFmtId="0" fontId="20" fillId="0" borderId="4" applyAlignment="1" pivotButton="0" quotePrefix="0" xfId="0">
      <alignment horizontal="center" vertical="center" wrapText="1"/>
    </xf>
    <xf numFmtId="49" fontId="20" fillId="2" borderId="4" applyAlignment="1" pivotButton="0" quotePrefix="0" xfId="0">
      <alignment horizontal="center" vertical="center" wrapText="1"/>
    </xf>
    <xf numFmtId="15" fontId="20" fillId="0" borderId="4" applyAlignment="1" pivotButton="0" quotePrefix="0" xfId="0">
      <alignment horizontal="center" vertical="center" wrapText="1"/>
    </xf>
    <xf numFmtId="164" fontId="21" fillId="4" borderId="4" applyAlignment="1" pivotButton="0" quotePrefix="0" xfId="3">
      <alignment horizontal="right" vertical="center"/>
    </xf>
    <xf numFmtId="165" fontId="20" fillId="0" borderId="4" applyAlignment="1" pivotButton="0" quotePrefix="0" xfId="3">
      <alignment horizontal="right" vertical="top"/>
    </xf>
    <xf numFmtId="49" fontId="20" fillId="0" borderId="4" applyAlignment="1" pivotButton="0" quotePrefix="0" xfId="0">
      <alignment horizontal="center" vertical="top" wrapText="1"/>
    </xf>
    <xf numFmtId="49" fontId="26" fillId="2" borderId="4" applyAlignment="1" pivotButton="0" quotePrefix="0" xfId="0">
      <alignment horizontal="center" vertical="top" wrapText="1"/>
    </xf>
    <xf numFmtId="15" fontId="26" fillId="0" borderId="4" applyAlignment="1" pivotButton="0" quotePrefix="0" xfId="0">
      <alignment horizontal="center" vertical="top" wrapText="1"/>
    </xf>
    <xf numFmtId="49" fontId="20" fillId="0" borderId="4" applyAlignment="1" pivotButton="0" quotePrefix="0" xfId="4">
      <alignment horizontal="center" vertical="center" wrapText="1"/>
    </xf>
    <xf numFmtId="49" fontId="18" fillId="0" borderId="4" applyAlignment="1" pivotButton="0" quotePrefix="0" xfId="4">
      <alignment horizontal="center" vertical="center" wrapText="1"/>
    </xf>
    <xf numFmtId="166" fontId="20" fillId="0" borderId="4" applyAlignment="1" pivotButton="0" quotePrefix="0" xfId="0">
      <alignment horizontal="center" vertical="center" wrapText="1"/>
    </xf>
    <xf numFmtId="49" fontId="20" fillId="0" borderId="4" applyAlignment="1" pivotButton="0" quotePrefix="0" xfId="0">
      <alignment horizontal="center" wrapText="1"/>
    </xf>
    <xf numFmtId="49" fontId="18" fillId="0" borderId="4" applyAlignment="1" pivotButton="0" quotePrefix="0" xfId="0">
      <alignment horizontal="center" wrapText="1"/>
    </xf>
    <xf numFmtId="49" fontId="18" fillId="0" borderId="4" applyAlignment="1" pivotButton="0" quotePrefix="0" xfId="0">
      <alignment horizontal="center" vertical="center" wrapText="1"/>
    </xf>
    <xf numFmtId="165" fontId="20" fillId="3" borderId="4" applyAlignment="1" pivotButton="0" quotePrefix="0" xfId="3">
      <alignment horizontal="right" vertical="center"/>
    </xf>
    <xf numFmtId="165" fontId="20" fillId="5" borderId="4" applyAlignment="1" pivotButton="0" quotePrefix="0" xfId="3">
      <alignment horizontal="right" vertical="center"/>
    </xf>
    <xf numFmtId="165" fontId="20" fillId="5" borderId="4" applyAlignment="1" pivotButton="0" quotePrefix="0" xfId="3">
      <alignment horizontal="right" vertical="top"/>
    </xf>
    <xf numFmtId="49" fontId="18" fillId="0" borderId="10" applyAlignment="1" pivotButton="0" quotePrefix="0" xfId="0">
      <alignment horizontal="center" vertical="center" wrapText="1"/>
    </xf>
    <xf numFmtId="166" fontId="20" fillId="0" borderId="10" applyAlignment="1" pivotButton="0" quotePrefix="0" xfId="0">
      <alignment horizontal="center" vertical="center" wrapText="1"/>
    </xf>
    <xf numFmtId="165" fontId="20" fillId="5" borderId="10" applyAlignment="1" pivotButton="0" quotePrefix="0" xfId="3">
      <alignment horizontal="right" vertical="center"/>
    </xf>
    <xf numFmtId="0" fontId="19" fillId="0" borderId="10" applyAlignment="1" pivotButton="0" quotePrefix="0" xfId="0">
      <alignment horizontal="center" vertical="center" shrinkToFit="1"/>
    </xf>
    <xf numFmtId="0" fontId="19" fillId="0" borderId="4" applyAlignment="1" pivotButton="0" quotePrefix="0" xfId="0">
      <alignment horizontal="center" vertical="center" shrinkToFit="1"/>
    </xf>
    <xf numFmtId="0" fontId="18" fillId="0" borderId="2" applyAlignment="1" pivotButton="0" quotePrefix="0" xfId="0">
      <alignment horizontal="center" vertical="center"/>
    </xf>
    <xf numFmtId="166" fontId="8" fillId="4" borderId="4" applyAlignment="1" pivotButton="0" quotePrefix="0" xfId="0">
      <alignment horizontal="center" vertical="center"/>
    </xf>
    <xf numFmtId="167" fontId="8" fillId="4" borderId="4" applyAlignment="1" pivotButton="0" quotePrefix="0" xfId="0">
      <alignment horizontal="left" vertical="center"/>
    </xf>
    <xf numFmtId="167" fontId="8" fillId="4" borderId="4" applyAlignment="1" pivotButton="0" quotePrefix="0" xfId="0">
      <alignment horizontal="center" vertical="center"/>
    </xf>
    <xf numFmtId="49" fontId="20" fillId="5" borderId="4" applyAlignment="1" pivotButton="0" quotePrefix="0" xfId="0">
      <alignment horizontal="center" vertical="center" wrapText="1"/>
    </xf>
    <xf numFmtId="49" fontId="35" fillId="0" borderId="4" applyAlignment="1" pivotButton="0" quotePrefix="0" xfId="0">
      <alignment horizontal="center" vertical="center" wrapText="1"/>
    </xf>
    <xf numFmtId="49" fontId="20" fillId="2" borderId="4" applyAlignment="1" pivotButton="0" quotePrefix="0" xfId="0">
      <alignment horizontal="center" vertical="top" wrapText="1"/>
    </xf>
    <xf numFmtId="49" fontId="35" fillId="0" borderId="4" applyAlignment="1" pivotButton="0" quotePrefix="0" xfId="0">
      <alignment horizontal="center" vertical="top" wrapText="1"/>
    </xf>
    <xf numFmtId="49" fontId="36" fillId="0" borderId="4" applyAlignment="1" pivotButton="0" quotePrefix="0" xfId="4">
      <alignment horizontal="center" vertical="center" wrapText="1"/>
    </xf>
    <xf numFmtId="49" fontId="36" fillId="0" borderId="4" applyAlignment="1" pivotButton="0" quotePrefix="0" xfId="0">
      <alignment horizontal="center" vertical="center" wrapText="1"/>
    </xf>
    <xf numFmtId="165" fontId="20" fillId="6" borderId="4" applyAlignment="1" pivotButton="0" quotePrefix="0" xfId="3">
      <alignment horizontal="right" vertical="center"/>
    </xf>
    <xf numFmtId="165" fontId="20" fillId="6" borderId="4" applyAlignment="1" pivotButton="0" quotePrefix="0" xfId="3">
      <alignment horizontal="right" vertical="top"/>
    </xf>
    <xf numFmtId="165" fontId="20" fillId="6" borderId="4" applyAlignment="1" pivotButton="0" quotePrefix="0" xfId="3">
      <alignment horizontal="center" vertical="center"/>
    </xf>
    <xf numFmtId="15" fontId="35" fillId="0" borderId="4" applyAlignment="1" pivotButton="0" quotePrefix="0" xfId="0">
      <alignment horizontal="center" vertical="center" wrapText="1"/>
    </xf>
    <xf numFmtId="49" fontId="20" fillId="3" borderId="4" applyAlignment="1" pivotButton="0" quotePrefix="0" xfId="0">
      <alignment horizontal="center" vertical="top" wrapText="1"/>
    </xf>
    <xf numFmtId="15" fontId="20" fillId="0" borderId="4" applyAlignment="1" pivotButton="0" quotePrefix="0" xfId="0">
      <alignment horizontal="center" vertical="top" wrapText="1"/>
    </xf>
    <xf numFmtId="15" fontId="35" fillId="0" borderId="4" applyAlignment="1" pivotButton="0" quotePrefix="0" xfId="0">
      <alignment horizontal="center" vertical="top" wrapText="1"/>
    </xf>
    <xf numFmtId="0" fontId="19" fillId="3" borderId="2" applyAlignment="1" pivotButton="0" quotePrefix="0" xfId="0">
      <alignment horizontal="center" vertical="center" shrinkToFit="1"/>
    </xf>
    <xf numFmtId="168" fontId="18" fillId="0" borderId="10" applyAlignment="1" pivotButton="0" quotePrefix="0" xfId="1">
      <alignment horizontal="center" vertical="center" shrinkToFit="1"/>
    </xf>
    <xf numFmtId="165" fontId="20" fillId="7" borderId="4" applyAlignment="1" pivotButton="0" quotePrefix="0" xfId="3">
      <alignment horizontal="right" vertical="center"/>
    </xf>
    <xf numFmtId="0" fontId="20" fillId="7" borderId="4" applyAlignment="1" pivotButton="0" quotePrefix="0" xfId="0">
      <alignment horizontal="center" vertical="center" wrapText="1"/>
    </xf>
    <xf numFmtId="49" fontId="20" fillId="7" borderId="4" applyAlignment="1" pivotButton="0" quotePrefix="0" xfId="0">
      <alignment horizontal="center" vertical="center" wrapText="1"/>
    </xf>
    <xf numFmtId="169" fontId="12" fillId="7" borderId="4" applyAlignment="1" pivotButton="0" quotePrefix="0" xfId="0">
      <alignment horizontal="center" vertical="center"/>
    </xf>
    <xf numFmtId="168" fontId="12" fillId="7" borderId="4" applyAlignment="1" pivotButton="0" quotePrefix="0" xfId="1">
      <alignment horizontal="center" vertical="center"/>
    </xf>
    <xf numFmtId="168" fontId="18" fillId="7" borderId="10" applyAlignment="1" pivotButton="0" quotePrefix="0" xfId="1">
      <alignment horizontal="center" vertical="center" shrinkToFit="1"/>
    </xf>
    <xf numFmtId="165" fontId="20" fillId="7" borderId="4" applyAlignment="1" pivotButton="0" quotePrefix="0" xfId="3">
      <alignment horizontal="right" vertical="top"/>
    </xf>
    <xf numFmtId="49" fontId="26" fillId="7" borderId="4" applyAlignment="1" pivotButton="0" quotePrefix="0" xfId="0">
      <alignment horizontal="center" vertical="top" wrapText="1"/>
    </xf>
    <xf numFmtId="0" fontId="11" fillId="3" borderId="10" applyAlignment="1" pivotButton="0" quotePrefix="0" xfId="0">
      <alignment horizontal="center" vertical="center"/>
    </xf>
    <xf numFmtId="168" fontId="27" fillId="7" borderId="4" applyAlignment="1" pivotButton="0" quotePrefix="0" xfId="1">
      <alignment horizontal="center" vertical="center"/>
    </xf>
    <xf numFmtId="49" fontId="20" fillId="7" borderId="4" applyAlignment="1" pivotButton="0" quotePrefix="0" xfId="0">
      <alignment horizontal="center" vertical="top" wrapText="1"/>
    </xf>
    <xf numFmtId="15" fontId="35" fillId="3" borderId="4" applyAlignment="1" pivotButton="0" quotePrefix="0" xfId="0">
      <alignment horizontal="center" vertical="top" wrapText="1"/>
    </xf>
    <xf numFmtId="49" fontId="18" fillId="7" borderId="4" applyAlignment="1" pivotButton="0" quotePrefix="0" xfId="4">
      <alignment horizontal="center" vertical="center" wrapText="1"/>
    </xf>
    <xf numFmtId="49" fontId="18" fillId="7" borderId="4" applyAlignment="1" pivotButton="0" quotePrefix="0" xfId="0">
      <alignment horizontal="center" vertical="center" wrapText="1"/>
    </xf>
    <xf numFmtId="165" fontId="20" fillId="7" borderId="10" applyAlignment="1" pivotButton="0" quotePrefix="0" xfId="3">
      <alignment horizontal="right" vertical="center"/>
    </xf>
    <xf numFmtId="49" fontId="18" fillId="7" borderId="10" applyAlignment="1" pivotButton="0" quotePrefix="0" xfId="0">
      <alignment horizontal="center" vertical="center" wrapText="1"/>
    </xf>
    <xf numFmtId="164" fontId="21" fillId="7" borderId="4" applyAlignment="1" pivotButton="0" quotePrefix="0" xfId="3">
      <alignment horizontal="right" vertical="center"/>
    </xf>
    <xf numFmtId="167" fontId="8" fillId="7" borderId="4" applyAlignment="1" pivotButton="0" quotePrefix="0" xfId="0">
      <alignment horizontal="left" vertical="center"/>
    </xf>
    <xf numFmtId="167" fontId="8" fillId="7" borderId="4" applyAlignment="1" pivotButton="0" quotePrefix="0" xfId="0">
      <alignment horizontal="center" vertical="center"/>
    </xf>
    <xf numFmtId="168" fontId="18" fillId="7" borderId="4" applyAlignment="1" pivotButton="0" quotePrefix="0" xfId="1">
      <alignment horizontal="center" vertical="center" shrinkToFit="1"/>
    </xf>
    <xf numFmtId="0" fontId="25" fillId="0" borderId="5" applyAlignment="1" pivotButton="0" quotePrefix="0" xfId="0">
      <alignment horizontal="center" vertical="center"/>
    </xf>
    <xf numFmtId="0" fontId="25" fillId="0" borderId="3" applyAlignment="1" pivotButton="0" quotePrefix="0" xfId="0">
      <alignment horizontal="center" vertical="center" shrinkToFit="1"/>
    </xf>
    <xf numFmtId="0" fontId="29" fillId="0" borderId="2" applyAlignment="1" pivotButton="0" quotePrefix="0" xfId="0">
      <alignment horizontal="center" vertical="center" shrinkToFit="1"/>
    </xf>
    <xf numFmtId="164" fontId="28" fillId="7" borderId="4" applyAlignment="1" pivotButton="0" quotePrefix="0" xfId="3">
      <alignment horizontal="right" vertical="center"/>
    </xf>
    <xf numFmtId="0" fontId="37" fillId="0" borderId="2" applyAlignment="1" pivotButton="0" quotePrefix="0" xfId="0">
      <alignment horizontal="center" vertical="center" shrinkToFit="1"/>
    </xf>
    <xf numFmtId="0" fontId="29" fillId="0" borderId="4" applyAlignment="1" pivotButton="0" quotePrefix="0" xfId="0">
      <alignment horizontal="center" vertical="center" shrinkToFit="1"/>
    </xf>
    <xf numFmtId="3" fontId="11" fillId="0" borderId="4" pivotButton="0" quotePrefix="0" xfId="0"/>
    <xf numFmtId="0" fontId="25" fillId="0" borderId="4" applyAlignment="1" pivotButton="0" quotePrefix="0" xfId="0">
      <alignment horizontal="center" vertical="center"/>
    </xf>
    <xf numFmtId="168" fontId="11" fillId="0" borderId="4" pivotButton="0" quotePrefix="0" xfId="1"/>
    <xf numFmtId="168" fontId="11" fillId="7" borderId="4" pivotButton="0" quotePrefix="0" xfId="1"/>
    <xf numFmtId="0" fontId="25" fillId="7" borderId="4" applyAlignment="1" pivotButton="0" quotePrefix="0" xfId="0">
      <alignment horizontal="center" vertical="center"/>
    </xf>
    <xf numFmtId="0" fontId="39" fillId="0" borderId="0" applyAlignment="1" pivotButton="0" quotePrefix="0" xfId="8">
      <alignment horizontal="center"/>
    </xf>
    <xf numFmtId="0" fontId="40" fillId="0" borderId="0" pivotButton="0" quotePrefix="0" xfId="8"/>
    <xf numFmtId="0" fontId="40" fillId="0" borderId="0" applyAlignment="1" pivotButton="0" quotePrefix="0" xfId="8">
      <alignment vertical="center"/>
    </xf>
    <xf numFmtId="0" fontId="42" fillId="0" borderId="0" applyAlignment="1" pivotButton="0" quotePrefix="0" xfId="8">
      <alignment horizontal="left"/>
    </xf>
    <xf numFmtId="0" fontId="41" fillId="0" borderId="0" pivotButton="0" quotePrefix="0" xfId="8"/>
    <xf numFmtId="0" fontId="41" fillId="0" borderId="0" applyAlignment="1" pivotButton="0" quotePrefix="0" xfId="8">
      <alignment horizontal="center"/>
    </xf>
    <xf numFmtId="0" fontId="38" fillId="0" borderId="0" applyAlignment="1" pivotButton="0" quotePrefix="0" xfId="8">
      <alignment horizontal="center"/>
    </xf>
    <xf numFmtId="0" fontId="38" fillId="0" borderId="0" applyAlignment="1" pivotButton="0" quotePrefix="0" xfId="8">
      <alignment vertical="center"/>
    </xf>
    <xf numFmtId="0" fontId="43" fillId="0" borderId="0" applyAlignment="1" pivotButton="0" quotePrefix="0" xfId="8">
      <alignment horizontal="left" vertical="center"/>
    </xf>
    <xf numFmtId="0" fontId="8" fillId="0" borderId="0" applyAlignment="1" pivotButton="0" quotePrefix="0" xfId="8">
      <alignment vertical="center"/>
    </xf>
    <xf numFmtId="0" fontId="9" fillId="0" borderId="0" applyAlignment="1" pivotButton="0" quotePrefix="0" xfId="8">
      <alignment vertical="center"/>
    </xf>
    <xf numFmtId="0" fontId="44" fillId="0" borderId="0" applyAlignment="1" pivotButton="0" quotePrefix="0" xfId="8">
      <alignment vertical="center"/>
    </xf>
    <xf numFmtId="0" fontId="45" fillId="0" borderId="0" pivotButton="0" quotePrefix="0" xfId="8"/>
    <xf numFmtId="0" fontId="46" fillId="0" borderId="0" applyAlignment="1" pivotButton="0" quotePrefix="0" xfId="8">
      <alignment vertical="center"/>
    </xf>
    <xf numFmtId="0" fontId="13" fillId="0" borderId="0" applyAlignment="1" pivotButton="0" quotePrefix="0" xfId="8">
      <alignment vertical="center"/>
    </xf>
    <xf numFmtId="0" fontId="47" fillId="0" borderId="0" applyAlignment="1" pivotButton="0" quotePrefix="0" xfId="8">
      <alignment horizontal="center" vertical="center"/>
    </xf>
    <xf numFmtId="0" fontId="47" fillId="0" borderId="0" applyAlignment="1" pivotButton="0" quotePrefix="0" xfId="8">
      <alignment vertical="center"/>
    </xf>
    <xf numFmtId="0" fontId="48" fillId="0" borderId="0" applyAlignment="1" pivotButton="0" quotePrefix="0" xfId="8">
      <alignment vertical="center"/>
    </xf>
    <xf numFmtId="0" fontId="49" fillId="0" borderId="0" applyAlignment="1" pivotButton="0" quotePrefix="0" xfId="8">
      <alignment vertical="center"/>
    </xf>
    <xf numFmtId="0" fontId="13" fillId="0" borderId="0" applyAlignment="1" pivotButton="0" quotePrefix="0" xfId="8">
      <alignment horizontal="center"/>
    </xf>
    <xf numFmtId="0" fontId="45" fillId="0" borderId="0" applyAlignment="1" pivotButton="0" quotePrefix="0" xfId="8">
      <alignment horizontal="center"/>
    </xf>
    <xf numFmtId="0" fontId="45" fillId="0" borderId="0" applyAlignment="1" pivotButton="0" quotePrefix="0" xfId="8">
      <alignment vertical="center"/>
    </xf>
    <xf numFmtId="0" fontId="51" fillId="0" borderId="23" applyAlignment="1" pivotButton="0" quotePrefix="0" xfId="8">
      <alignment vertical="center"/>
    </xf>
    <xf numFmtId="0" fontId="52" fillId="0" borderId="24" applyAlignment="1" pivotButton="0" quotePrefix="0" xfId="8">
      <alignment horizontal="center"/>
    </xf>
    <xf numFmtId="0" fontId="52" fillId="0" borderId="10" applyAlignment="1" pivotButton="0" quotePrefix="0" xfId="8">
      <alignment horizontal="center"/>
    </xf>
    <xf numFmtId="43" fontId="52" fillId="0" borderId="4" pivotButton="0" quotePrefix="0" xfId="9"/>
    <xf numFmtId="0" fontId="52" fillId="0" borderId="15" applyAlignment="1" pivotButton="0" quotePrefix="0" xfId="8">
      <alignment horizontal="center"/>
    </xf>
    <xf numFmtId="170" fontId="52" fillId="0" borderId="25" applyAlignment="1" pivotButton="0" quotePrefix="0" xfId="8">
      <alignment vertical="center"/>
    </xf>
    <xf numFmtId="0" fontId="52" fillId="0" borderId="5" applyAlignment="1" pivotButton="0" quotePrefix="0" xfId="8">
      <alignment vertical="center"/>
    </xf>
    <xf numFmtId="0" fontId="54" fillId="0" borderId="5" applyAlignment="1" pivotButton="0" quotePrefix="0" xfId="8">
      <alignment horizontal="center"/>
    </xf>
    <xf numFmtId="0" fontId="52" fillId="0" borderId="5" pivotButton="0" quotePrefix="0" xfId="8"/>
    <xf numFmtId="0" fontId="52" fillId="0" borderId="4" applyAlignment="1" pivotButton="0" quotePrefix="0" xfId="8">
      <alignment horizontal="center" vertical="center"/>
    </xf>
    <xf numFmtId="170" fontId="52" fillId="0" borderId="26" applyAlignment="1" pivotButton="0" quotePrefix="0" xfId="8">
      <alignment vertical="center"/>
    </xf>
    <xf numFmtId="0" fontId="52" fillId="0" borderId="3" applyAlignment="1" pivotButton="0" quotePrefix="0" xfId="8">
      <alignment vertical="center"/>
    </xf>
    <xf numFmtId="0" fontId="55" fillId="0" borderId="3" applyAlignment="1" pivotButton="0" quotePrefix="0" xfId="8">
      <alignment horizontal="center"/>
    </xf>
    <xf numFmtId="0" fontId="52" fillId="0" borderId="3" pivotButton="0" quotePrefix="0" xfId="8"/>
    <xf numFmtId="0" fontId="52" fillId="0" borderId="5" applyAlignment="1" pivotButton="0" quotePrefix="0" xfId="8">
      <alignment horizontal="center" vertical="center"/>
    </xf>
    <xf numFmtId="0" fontId="52" fillId="0" borderId="4" applyAlignment="1" pivotButton="0" quotePrefix="0" xfId="8">
      <alignment horizontal="center"/>
    </xf>
    <xf numFmtId="0" fontId="56" fillId="0" borderId="16" applyAlignment="1" pivotButton="0" quotePrefix="0" xfId="8">
      <alignment horizontal="center"/>
    </xf>
    <xf numFmtId="166" fontId="30" fillId="0" borderId="13" applyAlignment="1" pivotButton="0" quotePrefix="0" xfId="8">
      <alignment horizontal="center"/>
    </xf>
    <xf numFmtId="49" fontId="30" fillId="5" borderId="4" applyAlignment="1" pivotButton="0" quotePrefix="0" xfId="8">
      <alignment horizontal="center" vertical="center"/>
    </xf>
    <xf numFmtId="0" fontId="30" fillId="0" borderId="4" applyAlignment="1" pivotButton="0" quotePrefix="0" xfId="8">
      <alignment vertical="center"/>
    </xf>
    <xf numFmtId="0" fontId="30" fillId="0" borderId="4" applyAlignment="1" pivotButton="0" quotePrefix="0" xfId="8">
      <alignment horizontal="left" vertical="center"/>
    </xf>
    <xf numFmtId="0" fontId="57" fillId="0" borderId="14" applyAlignment="1" pivotButton="0" quotePrefix="0" xfId="8">
      <alignment horizontal="left" vertical="distributed"/>
    </xf>
    <xf numFmtId="168" fontId="30" fillId="0" borderId="14" pivotButton="0" quotePrefix="0" xfId="9"/>
    <xf numFmtId="0" fontId="30" fillId="0" borderId="9" applyAlignment="1" pivotButton="0" quotePrefix="0" xfId="8">
      <alignment horizontal="center"/>
    </xf>
    <xf numFmtId="0" fontId="52" fillId="0" borderId="4" applyAlignment="1" pivotButton="0" quotePrefix="0" xfId="8">
      <alignment vertical="center"/>
    </xf>
    <xf numFmtId="168" fontId="30" fillId="0" borderId="4" applyAlignment="1" pivotButton="0" quotePrefix="0" xfId="9">
      <alignment horizontal="center" vertical="center"/>
    </xf>
    <xf numFmtId="168" fontId="30" fillId="0" borderId="27" applyAlignment="1" pivotButton="0" quotePrefix="0" xfId="9">
      <alignment horizontal="center" vertical="center"/>
    </xf>
    <xf numFmtId="49" fontId="30" fillId="0" borderId="4" applyAlignment="1" pivotButton="0" quotePrefix="0" xfId="8">
      <alignment horizontal="center" vertical="center"/>
    </xf>
    <xf numFmtId="0" fontId="58" fillId="0" borderId="4" applyAlignment="1" pivotButton="0" quotePrefix="0" xfId="8">
      <alignment horizontal="center" vertical="center"/>
    </xf>
    <xf numFmtId="43" fontId="30" fillId="0" borderId="14" pivotButton="0" quotePrefix="0" xfId="9"/>
    <xf numFmtId="41" fontId="54" fillId="0" borderId="4" applyAlignment="1" pivotButton="0" quotePrefix="0" xfId="8">
      <alignment horizontal="center" vertical="center"/>
    </xf>
    <xf numFmtId="168" fontId="54" fillId="0" borderId="4" applyAlignment="1" pivotButton="0" quotePrefix="0" xfId="9">
      <alignment horizontal="center" vertical="center"/>
    </xf>
    <xf numFmtId="43" fontId="55" fillId="0" borderId="4" applyAlignment="1" pivotButton="0" quotePrefix="0" xfId="9">
      <alignment horizontal="center" vertical="center"/>
    </xf>
    <xf numFmtId="168" fontId="58" fillId="0" borderId="27" applyAlignment="1" pivotButton="0" quotePrefix="0" xfId="9">
      <alignment horizontal="center" vertical="center"/>
    </xf>
    <xf numFmtId="0" fontId="59" fillId="0" borderId="0" applyAlignment="1" pivotButton="0" quotePrefix="0" xfId="8">
      <alignment vertical="center"/>
    </xf>
    <xf numFmtId="0" fontId="58" fillId="0" borderId="29" applyAlignment="1" pivotButton="0" quotePrefix="0" xfId="8">
      <alignment horizontal="center" vertical="center"/>
    </xf>
    <xf numFmtId="168" fontId="58" fillId="0" borderId="30" applyAlignment="1" pivotButton="0" quotePrefix="0" xfId="9">
      <alignment vertical="center"/>
    </xf>
    <xf numFmtId="168" fontId="58" fillId="0" borderId="31" applyAlignment="1" pivotButton="0" quotePrefix="0" xfId="9">
      <alignment vertical="center"/>
    </xf>
    <xf numFmtId="43" fontId="54" fillId="0" borderId="32" applyAlignment="1" pivotButton="0" quotePrefix="0" xfId="9">
      <alignment horizontal="center" vertical="center"/>
    </xf>
    <xf numFmtId="164" fontId="54" fillId="0" borderId="32" applyAlignment="1" pivotButton="0" quotePrefix="0" xfId="10">
      <alignment horizontal="center" vertical="center"/>
    </xf>
    <xf numFmtId="164" fontId="55" fillId="0" borderId="32" applyAlignment="1" pivotButton="0" quotePrefix="0" xfId="10">
      <alignment horizontal="center" vertical="center"/>
    </xf>
    <xf numFmtId="164" fontId="54" fillId="0" borderId="33" applyAlignment="1" pivotButton="0" quotePrefix="0" xfId="10">
      <alignment horizontal="center" vertical="center"/>
    </xf>
    <xf numFmtId="170" fontId="55" fillId="0" borderId="0" applyAlignment="1" pivotButton="0" quotePrefix="0" xfId="8">
      <alignment horizontal="center"/>
    </xf>
    <xf numFmtId="0" fontId="55" fillId="0" borderId="0" applyAlignment="1" pivotButton="0" quotePrefix="0" xfId="8">
      <alignment horizontal="center"/>
    </xf>
    <xf numFmtId="168" fontId="55" fillId="0" borderId="0" applyAlignment="1" pivotButton="0" quotePrefix="0" xfId="9">
      <alignment horizontal="center"/>
    </xf>
    <xf numFmtId="43" fontId="55" fillId="0" borderId="0" applyAlignment="1" pivotButton="0" quotePrefix="0" xfId="9">
      <alignment horizontal="center"/>
    </xf>
    <xf numFmtId="0" fontId="60" fillId="0" borderId="0" applyAlignment="1" pivotButton="0" quotePrefix="0" xfId="8">
      <alignment horizontal="center"/>
    </xf>
    <xf numFmtId="170" fontId="55" fillId="0" borderId="0" applyAlignment="1" pivotButton="0" quotePrefix="0" xfId="8">
      <alignment vertical="center"/>
    </xf>
    <xf numFmtId="0" fontId="55" fillId="0" borderId="0" applyAlignment="1" pivotButton="0" quotePrefix="0" xfId="8">
      <alignment vertical="center"/>
    </xf>
    <xf numFmtId="168" fontId="55" fillId="0" borderId="0" pivotButton="0" quotePrefix="0" xfId="9"/>
    <xf numFmtId="0" fontId="62" fillId="0" borderId="0" applyAlignment="1" pivotButton="0" quotePrefix="0" xfId="8">
      <alignment vertical="center"/>
    </xf>
    <xf numFmtId="170" fontId="62" fillId="0" borderId="0" applyAlignment="1" pivotButton="0" quotePrefix="0" xfId="8">
      <alignment vertical="center"/>
    </xf>
    <xf numFmtId="168" fontId="62" fillId="0" borderId="0" pivotButton="0" quotePrefix="0" xfId="9"/>
    <xf numFmtId="168" fontId="42" fillId="0" borderId="0" applyAlignment="1" pivotButton="0" quotePrefix="0" xfId="9">
      <alignment vertical="center"/>
    </xf>
    <xf numFmtId="168" fontId="64" fillId="0" borderId="0" pivotButton="0" quotePrefix="0" xfId="11"/>
    <xf numFmtId="0" fontId="65" fillId="0" borderId="0" pivotButton="0" quotePrefix="0" xfId="11"/>
    <xf numFmtId="171" fontId="67" fillId="0" borderId="0" applyAlignment="1" pivotButton="0" quotePrefix="0" xfId="12">
      <alignment vertical="center"/>
    </xf>
    <xf numFmtId="168" fontId="62" fillId="0" borderId="0" applyAlignment="1" pivotButton="0" quotePrefix="0" xfId="8">
      <alignment vertical="center"/>
    </xf>
    <xf numFmtId="0" fontId="65" fillId="0" borderId="0" applyAlignment="1" pivotButton="0" quotePrefix="0" xfId="11">
      <alignment horizontal="center"/>
    </xf>
    <xf numFmtId="43" fontId="0" fillId="0" borderId="0" applyAlignment="1" pivotButton="0" quotePrefix="0" xfId="9">
      <alignment vertical="center"/>
    </xf>
    <xf numFmtId="0" fontId="4" fillId="0" borderId="0" applyAlignment="1" pivotButton="0" quotePrefix="0" xfId="8">
      <alignment vertical="center"/>
    </xf>
    <xf numFmtId="168" fontId="0" fillId="0" borderId="0" pivotButton="0" quotePrefix="0" xfId="9"/>
    <xf numFmtId="43" fontId="62" fillId="0" borderId="0" pivotButton="0" quotePrefix="0" xfId="9"/>
    <xf numFmtId="168" fontId="62" fillId="0" borderId="0" pivotButton="0" quotePrefix="0" xfId="9"/>
    <xf numFmtId="43" fontId="62" fillId="0" borderId="0" applyAlignment="1" pivotButton="0" quotePrefix="0" xfId="8">
      <alignment vertical="center"/>
    </xf>
    <xf numFmtId="0" fontId="68" fillId="0" borderId="0" pivotButton="0" quotePrefix="0" xfId="11"/>
    <xf numFmtId="0" fontId="69" fillId="0" borderId="0" pivotButton="0" quotePrefix="0" xfId="11"/>
    <xf numFmtId="0" fontId="70" fillId="0" borderId="0" pivotButton="0" quotePrefix="0" xfId="11"/>
    <xf numFmtId="43" fontId="59" fillId="0" borderId="0" applyAlignment="1" pivotButton="0" quotePrefix="0" xfId="9">
      <alignment horizontal="right"/>
    </xf>
    <xf numFmtId="168" fontId="59" fillId="0" borderId="0" pivotButton="0" quotePrefix="0" xfId="9"/>
    <xf numFmtId="43" fontId="59" fillId="0" borderId="0" pivotButton="0" quotePrefix="0" xfId="9"/>
    <xf numFmtId="168" fontId="59" fillId="0" borderId="0" applyAlignment="1" pivotButton="0" quotePrefix="0" xfId="9">
      <alignment horizontal="right"/>
    </xf>
    <xf numFmtId="3" fontId="13" fillId="0" borderId="0" pivotButton="0" quotePrefix="0" xfId="9"/>
    <xf numFmtId="168" fontId="59" fillId="0" borderId="0" applyAlignment="1" pivotButton="0" quotePrefix="0" xfId="9">
      <alignment vertical="center"/>
    </xf>
    <xf numFmtId="168" fontId="59" fillId="0" borderId="0" applyAlignment="1" pivotButton="0" quotePrefix="0" xfId="9">
      <alignment horizontal="right"/>
    </xf>
    <xf numFmtId="168" fontId="59" fillId="0" borderId="0" pivotButton="0" quotePrefix="0" xfId="9"/>
    <xf numFmtId="168" fontId="59" fillId="0" borderId="0" applyAlignment="1" pivotButton="0" quotePrefix="0" xfId="8">
      <alignment vertical="center"/>
    </xf>
    <xf numFmtId="168" fontId="52" fillId="0" borderId="4" pivotButton="0" quotePrefix="0" xfId="9"/>
    <xf numFmtId="168" fontId="52" fillId="0" borderId="3" pivotButton="0" quotePrefix="0" xfId="9"/>
    <xf numFmtId="0" fontId="52" fillId="0" borderId="3" applyAlignment="1" pivotButton="0" quotePrefix="0" xfId="8">
      <alignment horizontal="center" vertical="center"/>
    </xf>
    <xf numFmtId="168" fontId="58" fillId="0" borderId="4" applyAlignment="1" pivotButton="0" quotePrefix="0" xfId="9">
      <alignment horizontal="center" vertical="center"/>
    </xf>
    <xf numFmtId="168" fontId="58" fillId="0" borderId="32" applyAlignment="1" pivotButton="0" quotePrefix="0" xfId="9">
      <alignment horizontal="center" vertical="center"/>
    </xf>
    <xf numFmtId="171" fontId="67" fillId="0" borderId="0" applyAlignment="1" pivotButton="0" quotePrefix="0" xfId="16">
      <alignment vertical="center"/>
    </xf>
    <xf numFmtId="171" fontId="67" fillId="0" borderId="0" applyAlignment="1" pivotButton="0" quotePrefix="0" xfId="17">
      <alignment vertical="center"/>
    </xf>
    <xf numFmtId="168" fontId="72" fillId="0" borderId="0" applyAlignment="1" pivotButton="0" quotePrefix="0" xfId="8">
      <alignment horizontal="left" vertical="center"/>
    </xf>
    <xf numFmtId="168" fontId="59" fillId="0" borderId="0" pivotButton="0" quotePrefix="0" xfId="1"/>
    <xf numFmtId="168" fontId="59" fillId="0" borderId="0" applyAlignment="1" pivotButton="0" quotePrefix="0" xfId="1">
      <alignment vertical="center"/>
    </xf>
    <xf numFmtId="168" fontId="59" fillId="0" borderId="0" applyAlignment="1" pivotButton="0" quotePrefix="0" xfId="1">
      <alignment horizontal="right"/>
    </xf>
    <xf numFmtId="168" fontId="59" fillId="0" borderId="34" applyAlignment="1" pivotButton="0" quotePrefix="0" xfId="1">
      <alignment horizontal="right"/>
    </xf>
    <xf numFmtId="0" fontId="33" fillId="0" borderId="0" pivotButton="0" quotePrefix="0" xfId="0"/>
    <xf numFmtId="0" fontId="14" fillId="0" borderId="11" pivotButton="0" quotePrefix="0" xfId="0"/>
    <xf numFmtId="0" fontId="5" fillId="0" borderId="0" pivotButton="0" quotePrefix="0" xfId="0"/>
    <xf numFmtId="0" fontId="25" fillId="0" borderId="0" pivotButton="0" quotePrefix="0" xfId="0"/>
    <xf numFmtId="0" fontId="76" fillId="0" borderId="0" pivotButton="0" quotePrefix="0" xfId="0"/>
    <xf numFmtId="172" fontId="76" fillId="0" borderId="0" pivotButton="0" quotePrefix="0" xfId="3"/>
    <xf numFmtId="0" fontId="33" fillId="9" borderId="0" pivotButton="0" quotePrefix="0" xfId="0"/>
    <xf numFmtId="0" fontId="25" fillId="0" borderId="11" applyAlignment="1" pivotButton="0" quotePrefix="0" xfId="0">
      <alignment horizontal="center" vertical="center"/>
    </xf>
    <xf numFmtId="0" fontId="75" fillId="0" borderId="0" pivotButton="0" quotePrefix="0" xfId="0"/>
    <xf numFmtId="0" fontId="25" fillId="0" borderId="11" pivotButton="0" quotePrefix="0" xfId="0"/>
    <xf numFmtId="0" fontId="25" fillId="0" borderId="0" applyAlignment="1" pivotButton="0" quotePrefix="0" xfId="0">
      <alignment horizontal="center" vertical="center"/>
    </xf>
    <xf numFmtId="0" fontId="77" fillId="0" borderId="0" applyAlignment="1" pivotButton="0" quotePrefix="0" xfId="26">
      <alignment vertical="center"/>
    </xf>
    <xf numFmtId="0" fontId="77" fillId="0" borderId="0" applyAlignment="1" pivotButton="0" quotePrefix="0" xfId="0">
      <alignment horizontal="right" vertical="center"/>
    </xf>
    <xf numFmtId="0" fontId="78" fillId="0" borderId="0" applyAlignment="1" pivotButton="0" quotePrefix="0" xfId="0">
      <alignment vertical="center"/>
    </xf>
    <xf numFmtId="0" fontId="78" fillId="0" borderId="0" applyAlignment="1" pivotButton="0" quotePrefix="0" xfId="0">
      <alignment vertical="top"/>
    </xf>
    <xf numFmtId="0" fontId="78" fillId="0" borderId="0" applyAlignment="1" pivotButton="0" quotePrefix="0" xfId="0">
      <alignment horizontal="right" vertical="top"/>
    </xf>
    <xf numFmtId="0" fontId="79" fillId="0" borderId="0" pivotButton="0" quotePrefix="0" xfId="0"/>
    <xf numFmtId="168" fontId="78" fillId="0" borderId="0" applyAlignment="1" pivotButton="0" quotePrefix="0" xfId="1">
      <alignment horizontal="right" vertical="center" wrapText="1"/>
    </xf>
    <xf numFmtId="168" fontId="78" fillId="0" borderId="0" applyAlignment="1" pivotButton="0" quotePrefix="0" xfId="1">
      <alignment horizontal="right" vertical="center"/>
    </xf>
    <xf numFmtId="0" fontId="78" fillId="0" borderId="0" applyAlignment="1" pivotButton="0" quotePrefix="0" xfId="0">
      <alignment horizontal="left" vertical="center"/>
    </xf>
    <xf numFmtId="173" fontId="78" fillId="0" borderId="0" applyAlignment="1" pivotButton="0" quotePrefix="0" xfId="0">
      <alignment horizontal="left"/>
    </xf>
    <xf numFmtId="168" fontId="78" fillId="0" borderId="1" applyAlignment="1" pivotButton="0" quotePrefix="0" xfId="1">
      <alignment horizontal="right" vertical="center"/>
    </xf>
    <xf numFmtId="174" fontId="78" fillId="0" borderId="0" pivotButton="0" quotePrefix="0" xfId="1"/>
    <xf numFmtId="0" fontId="80" fillId="8" borderId="4" applyAlignment="1" pivotButton="0" quotePrefix="0" xfId="26">
      <alignment horizontal="center" vertical="center"/>
    </xf>
    <xf numFmtId="168" fontId="80" fillId="8" borderId="4" applyAlignment="1" pivotButton="0" quotePrefix="0" xfId="27">
      <alignment horizontal="center" vertical="center"/>
    </xf>
    <xf numFmtId="0" fontId="78" fillId="8" borderId="4" applyAlignment="1" pivotButton="0" quotePrefix="0" xfId="26">
      <alignment horizontal="center" vertical="center"/>
    </xf>
    <xf numFmtId="168" fontId="78" fillId="8" borderId="4" applyAlignment="1" pivotButton="0" quotePrefix="0" xfId="27">
      <alignment horizontal="center" vertical="center"/>
    </xf>
    <xf numFmtId="0" fontId="77" fillId="8" borderId="4" applyAlignment="1" pivotButton="0" quotePrefix="0" xfId="26">
      <alignment vertical="center"/>
    </xf>
    <xf numFmtId="0" fontId="77" fillId="0" borderId="4" applyAlignment="1" pivotButton="0" quotePrefix="0" xfId="26">
      <alignment horizontal="center" vertical="center"/>
    </xf>
    <xf numFmtId="0" fontId="77" fillId="0" borderId="4" applyAlignment="1" pivotButton="0" quotePrefix="0" xfId="26">
      <alignment vertical="center"/>
    </xf>
    <xf numFmtId="0" fontId="78" fillId="0" borderId="4" applyAlignment="1" pivotButton="0" quotePrefix="0" xfId="26">
      <alignment horizontal="left" vertical="center"/>
    </xf>
    <xf numFmtId="0" fontId="78" fillId="0" borderId="4" applyAlignment="1" pivotButton="0" quotePrefix="0" xfId="26">
      <alignment horizontal="center" vertical="center"/>
    </xf>
    <xf numFmtId="43" fontId="78" fillId="0" borderId="4" applyAlignment="1" pivotButton="0" quotePrefix="0" xfId="21">
      <alignment vertical="center"/>
    </xf>
    <xf numFmtId="168" fontId="77" fillId="0" borderId="4" applyAlignment="1" pivotButton="0" quotePrefix="0" xfId="27">
      <alignment vertical="center"/>
    </xf>
    <xf numFmtId="3" fontId="77" fillId="0" borderId="0" applyAlignment="1" pivotButton="0" quotePrefix="0" xfId="26">
      <alignment vertical="center"/>
    </xf>
    <xf numFmtId="169" fontId="78" fillId="0" borderId="4" applyAlignment="1" pivotButton="0" quotePrefix="0" xfId="23">
      <alignment horizontal="center" vertical="center"/>
    </xf>
    <xf numFmtId="0" fontId="78" fillId="3" borderId="4" applyAlignment="1" pivotButton="0" quotePrefix="0" xfId="26">
      <alignment horizontal="left" vertical="center"/>
    </xf>
    <xf numFmtId="0" fontId="78" fillId="3" borderId="4" applyAlignment="1" pivotButton="0" quotePrefix="0" xfId="26">
      <alignment horizontal="center" vertical="center"/>
    </xf>
    <xf numFmtId="175" fontId="78" fillId="3" borderId="4" applyAlignment="1" pivotButton="0" quotePrefix="0" xfId="26">
      <alignment horizontal="center" vertical="center" wrapText="1"/>
    </xf>
    <xf numFmtId="176" fontId="78" fillId="3" borderId="4" applyAlignment="1" pivotButton="0" quotePrefix="0" xfId="26">
      <alignment horizontal="center" vertical="center"/>
    </xf>
    <xf numFmtId="168" fontId="78" fillId="0" borderId="4" applyAlignment="1" pivotButton="0" quotePrefix="0" xfId="27">
      <alignment vertical="center"/>
    </xf>
    <xf numFmtId="168" fontId="77" fillId="0" borderId="4" pivotButton="0" quotePrefix="0" xfId="27"/>
    <xf numFmtId="0" fontId="82" fillId="0" borderId="4" applyAlignment="1" pivotButton="0" quotePrefix="0" xfId="26">
      <alignment vertical="center"/>
    </xf>
    <xf numFmtId="174" fontId="82" fillId="0" borderId="4" applyAlignment="1" pivotButton="0" quotePrefix="0" xfId="27">
      <alignment vertical="center"/>
    </xf>
    <xf numFmtId="0" fontId="77" fillId="0" borderId="0" applyAlignment="1" pivotButton="0" quotePrefix="0" xfId="26">
      <alignment horizontal="center" vertical="center"/>
    </xf>
    <xf numFmtId="168" fontId="78" fillId="0" borderId="0" applyAlignment="1" pivotButton="0" quotePrefix="0" xfId="27">
      <alignment vertical="center"/>
    </xf>
    <xf numFmtId="0" fontId="83" fillId="0" borderId="0" applyAlignment="1" pivotButton="0" quotePrefix="0" xfId="26">
      <alignment vertical="center"/>
    </xf>
    <xf numFmtId="0" fontId="83" fillId="0" borderId="0" pivotButton="0" quotePrefix="0" xfId="26"/>
    <xf numFmtId="0" fontId="84" fillId="0" borderId="0" applyAlignment="1" pivotButton="0" quotePrefix="0" xfId="26">
      <alignment horizontal="center" vertical="center"/>
    </xf>
    <xf numFmtId="174" fontId="83" fillId="0" borderId="0" pivotButton="0" quotePrefix="0" xfId="26"/>
    <xf numFmtId="0" fontId="83" fillId="0" borderId="0" applyAlignment="1" pivotButton="0" quotePrefix="0" xfId="26">
      <alignment horizontal="center" vertical="center"/>
    </xf>
    <xf numFmtId="43" fontId="84" fillId="0" borderId="0" pivotButton="0" quotePrefix="0" xfId="27"/>
    <xf numFmtId="0" fontId="78" fillId="0" borderId="0" applyAlignment="1" pivotButton="0" quotePrefix="0" xfId="26">
      <alignment horizontal="center" vertical="center"/>
    </xf>
    <xf numFmtId="0" fontId="77" fillId="0" borderId="0" applyAlignment="1" pivotButton="0" quotePrefix="0" xfId="26">
      <alignment horizontal="center" vertical="center" wrapText="1"/>
    </xf>
    <xf numFmtId="0" fontId="77" fillId="0" borderId="1" applyAlignment="1" pivotButton="0" quotePrefix="0" xfId="26">
      <alignment vertical="center"/>
    </xf>
    <xf numFmtId="0" fontId="77" fillId="0" borderId="0" pivotButton="0" quotePrefix="0" xfId="26"/>
    <xf numFmtId="0" fontId="77" fillId="0" borderId="4" applyAlignment="1" pivotButton="0" quotePrefix="0" xfId="26">
      <alignment vertical="center" wrapText="1"/>
    </xf>
    <xf numFmtId="174" fontId="77" fillId="0" borderId="4" applyAlignment="1" pivotButton="0" quotePrefix="0" xfId="27">
      <alignment vertical="center"/>
    </xf>
    <xf numFmtId="0" fontId="77" fillId="0" borderId="0" applyAlignment="1" pivotButton="0" quotePrefix="0" xfId="26">
      <alignment vertical="center" wrapText="1"/>
    </xf>
    <xf numFmtId="0" fontId="77" fillId="4" borderId="4" applyAlignment="1" pivotButton="0" quotePrefix="0" xfId="26">
      <alignment vertical="center"/>
    </xf>
    <xf numFmtId="174" fontId="77" fillId="4" borderId="4" applyAlignment="1" pivotButton="0" quotePrefix="0" xfId="27">
      <alignment vertical="center"/>
    </xf>
    <xf numFmtId="0" fontId="82" fillId="0" borderId="4" applyAlignment="1" pivotButton="0" quotePrefix="0" xfId="26">
      <alignment horizontal="center" vertical="center" wrapText="1"/>
    </xf>
    <xf numFmtId="174" fontId="77" fillId="0" borderId="4" applyAlignment="1" pivotButton="0" quotePrefix="0" xfId="27">
      <alignment vertical="center"/>
    </xf>
    <xf numFmtId="0" fontId="82" fillId="4" borderId="4" applyAlignment="1" pivotButton="0" quotePrefix="0" xfId="26">
      <alignment vertical="center"/>
    </xf>
    <xf numFmtId="174" fontId="82" fillId="4" borderId="4" applyAlignment="1" pivotButton="0" quotePrefix="0" xfId="27">
      <alignment vertical="center"/>
    </xf>
    <xf numFmtId="168" fontId="82" fillId="0" borderId="4" applyAlignment="1" pivotButton="0" quotePrefix="0" xfId="26">
      <alignment horizontal="center" vertical="center"/>
    </xf>
    <xf numFmtId="174" fontId="77" fillId="0" borderId="4" applyAlignment="1" pivotButton="0" quotePrefix="0" xfId="26">
      <alignment vertical="center"/>
    </xf>
    <xf numFmtId="0" fontId="84" fillId="8" borderId="4" applyAlignment="1" pivotButton="0" quotePrefix="0" xfId="0">
      <alignment horizontal="center" vertical="center"/>
    </xf>
    <xf numFmtId="0" fontId="84" fillId="0" borderId="4" applyAlignment="1" pivotButton="0" quotePrefix="0" xfId="0">
      <alignment horizontal="center" vertical="center"/>
    </xf>
    <xf numFmtId="43" fontId="84" fillId="0" borderId="4" applyAlignment="1" pivotButton="0" quotePrefix="0" xfId="21">
      <alignment horizontal="left" vertical="center"/>
    </xf>
    <xf numFmtId="43" fontId="84" fillId="0" borderId="4" applyAlignment="1" pivotButton="0" quotePrefix="0" xfId="22">
      <alignment horizontal="left" vertical="center"/>
    </xf>
    <xf numFmtId="166" fontId="84" fillId="0" borderId="4" applyAlignment="1" pivotButton="0" quotePrefix="0" xfId="23">
      <alignment horizontal="center" vertical="center"/>
    </xf>
    <xf numFmtId="167" fontId="84" fillId="0" borderId="4" applyAlignment="1" pivotButton="0" quotePrefix="1" xfId="24">
      <alignment horizontal="right" vertical="center"/>
    </xf>
    <xf numFmtId="168" fontId="84" fillId="0" borderId="4" applyAlignment="1" pivotButton="0" quotePrefix="0" xfId="1">
      <alignment vertical="center"/>
    </xf>
    <xf numFmtId="168" fontId="84" fillId="0" borderId="4" applyAlignment="1" pivotButton="0" quotePrefix="0" xfId="1">
      <alignment vertical="center"/>
    </xf>
    <xf numFmtId="0" fontId="84" fillId="0" borderId="4" pivotButton="0" quotePrefix="0" xfId="0"/>
    <xf numFmtId="168" fontId="84" fillId="4" borderId="4" applyAlignment="1" pivotButton="0" quotePrefix="0" xfId="1">
      <alignment vertical="center"/>
    </xf>
    <xf numFmtId="0" fontId="86" fillId="0" borderId="0" pivotButton="0" quotePrefix="0" xfId="0"/>
    <xf numFmtId="172" fontId="79" fillId="0" borderId="0" pivotButton="0" quotePrefix="0" xfId="3"/>
    <xf numFmtId="43" fontId="87" fillId="0" borderId="4" applyAlignment="1" pivotButton="0" quotePrefix="0" xfId="21">
      <alignment horizontal="left" vertical="center"/>
    </xf>
    <xf numFmtId="166" fontId="87" fillId="0" borderId="4" applyAlignment="1" pivotButton="0" quotePrefix="0" xfId="23">
      <alignment horizontal="center" vertical="center"/>
    </xf>
    <xf numFmtId="43" fontId="87" fillId="0" borderId="4" applyAlignment="1" pivotButton="0" quotePrefix="0" xfId="1">
      <alignment vertical="center"/>
    </xf>
    <xf numFmtId="0" fontId="78" fillId="8" borderId="4" applyAlignment="1" pivotButton="0" quotePrefix="0" xfId="0">
      <alignment horizontal="center" vertical="center"/>
    </xf>
    <xf numFmtId="0" fontId="78" fillId="0" borderId="4" applyAlignment="1" pivotButton="0" quotePrefix="0" xfId="0">
      <alignment horizontal="center" vertical="center"/>
    </xf>
    <xf numFmtId="43" fontId="78" fillId="0" borderId="4" applyAlignment="1" pivotButton="0" quotePrefix="0" xfId="21">
      <alignment horizontal="left" vertical="center"/>
    </xf>
    <xf numFmtId="43" fontId="78" fillId="0" borderId="4" applyAlignment="1" pivotButton="0" quotePrefix="0" xfId="22">
      <alignment horizontal="left" vertical="center"/>
    </xf>
    <xf numFmtId="166" fontId="88" fillId="0" borderId="4" applyAlignment="1" pivotButton="0" quotePrefix="0" xfId="0">
      <alignment horizontal="center" vertical="center"/>
    </xf>
    <xf numFmtId="167" fontId="78" fillId="0" borderId="4" applyAlignment="1" pivotButton="0" quotePrefix="1" xfId="24">
      <alignment horizontal="right" vertical="center"/>
    </xf>
    <xf numFmtId="166" fontId="78" fillId="0" borderId="4" applyAlignment="1" pivotButton="0" quotePrefix="0" xfId="23">
      <alignment horizontal="center" vertical="center"/>
    </xf>
    <xf numFmtId="43" fontId="78" fillId="0" borderId="4" applyAlignment="1" pivotButton="0" quotePrefix="0" xfId="1">
      <alignment vertical="center"/>
    </xf>
    <xf numFmtId="168" fontId="78" fillId="0" borderId="4" applyAlignment="1" pivotButton="0" quotePrefix="0" xfId="1">
      <alignment vertical="center"/>
    </xf>
    <xf numFmtId="0" fontId="78" fillId="0" borderId="4" applyAlignment="1" pivotButton="0" quotePrefix="0" xfId="29">
      <alignment horizontal="left" vertical="center"/>
    </xf>
    <xf numFmtId="177" fontId="78" fillId="0" borderId="4" applyAlignment="1" pivotButton="0" quotePrefix="0" xfId="29">
      <alignment horizontal="center" vertical="center"/>
    </xf>
    <xf numFmtId="166" fontId="78" fillId="0" borderId="4" applyAlignment="1" pivotButton="0" quotePrefix="0" xfId="29">
      <alignment horizontal="center" vertical="center"/>
    </xf>
    <xf numFmtId="167" fontId="78" fillId="0" borderId="4" applyAlignment="1" pivotButton="0" quotePrefix="1" xfId="24">
      <alignment horizontal="center" vertical="center"/>
    </xf>
    <xf numFmtId="174" fontId="78" fillId="0" borderId="4" applyAlignment="1" pivotButton="0" quotePrefix="0" xfId="1">
      <alignment horizontal="center" vertical="center"/>
    </xf>
    <xf numFmtId="168" fontId="78" fillId="0" borderId="4" applyAlignment="1" pivotButton="0" quotePrefix="0" xfId="1">
      <alignment horizontal="center" vertical="center"/>
    </xf>
    <xf numFmtId="168" fontId="78" fillId="4" borderId="4" applyAlignment="1" pivotButton="0" quotePrefix="0" xfId="1">
      <alignment vertical="center"/>
    </xf>
    <xf numFmtId="0" fontId="78" fillId="0" borderId="0" pivotButton="0" quotePrefix="0" xfId="0"/>
    <xf numFmtId="0" fontId="84" fillId="0" borderId="0" pivotButton="0" quotePrefix="0" xfId="0"/>
    <xf numFmtId="0" fontId="77" fillId="0" borderId="0" applyAlignment="1" pivotButton="0" quotePrefix="0" xfId="0">
      <alignment horizontal="left" vertical="center"/>
    </xf>
    <xf numFmtId="168" fontId="78" fillId="0" borderId="0" applyAlignment="1" pivotButton="0" quotePrefix="0" xfId="1">
      <alignment horizontal="center" vertical="center" wrapText="1"/>
    </xf>
    <xf numFmtId="0" fontId="89" fillId="0" borderId="0" pivotButton="0" quotePrefix="0" xfId="0"/>
    <xf numFmtId="168" fontId="78" fillId="0" borderId="1" applyAlignment="1" pivotButton="0" quotePrefix="0" xfId="1">
      <alignment vertical="center"/>
    </xf>
    <xf numFmtId="43" fontId="78" fillId="0" borderId="4" applyAlignment="1" pivotButton="0" quotePrefix="0" xfId="21">
      <alignment horizontal="left" vertical="center" wrapText="1"/>
    </xf>
    <xf numFmtId="168" fontId="78" fillId="0" borderId="4" applyAlignment="1" pivotButton="0" quotePrefix="0" xfId="1">
      <alignment vertical="center"/>
    </xf>
    <xf numFmtId="0" fontId="89" fillId="9" borderId="4" pivotButton="0" quotePrefix="0" xfId="0"/>
    <xf numFmtId="43" fontId="84" fillId="9" borderId="4" applyAlignment="1" pivotButton="0" quotePrefix="0" xfId="21">
      <alignment horizontal="center" vertical="center" wrapText="1"/>
    </xf>
    <xf numFmtId="178" fontId="84" fillId="9" borderId="4" applyAlignment="1" pivotButton="0" quotePrefix="0" xfId="23">
      <alignment horizontal="center" vertical="center"/>
    </xf>
    <xf numFmtId="174" fontId="84" fillId="9" borderId="4" pivotButton="0" quotePrefix="0" xfId="1"/>
    <xf numFmtId="172" fontId="78" fillId="0" borderId="0" applyAlignment="1" pivotButton="0" quotePrefix="0" xfId="3">
      <alignment horizontal="center" vertical="center"/>
    </xf>
    <xf numFmtId="166" fontId="87" fillId="0" borderId="4" applyAlignment="1" pivotButton="0" quotePrefix="0" xfId="21">
      <alignment vertical="center"/>
    </xf>
    <xf numFmtId="0" fontId="87" fillId="0" borderId="4" applyAlignment="1" pivotButton="0" quotePrefix="0" xfId="1">
      <alignment vertical="center"/>
    </xf>
    <xf numFmtId="0" fontId="78" fillId="0" borderId="0" applyAlignment="1" pivotButton="0" quotePrefix="0" xfId="0">
      <alignment horizontal="center" vertical="center"/>
    </xf>
    <xf numFmtId="0" fontId="86" fillId="0" borderId="0" applyAlignment="1" pivotButton="0" quotePrefix="0" xfId="0">
      <alignment horizontal="right"/>
    </xf>
    <xf numFmtId="15" fontId="86" fillId="0" borderId="0" pivotButton="0" quotePrefix="0" xfId="0"/>
    <xf numFmtId="0" fontId="90" fillId="0" borderId="0" pivotButton="0" quotePrefix="0" xfId="0"/>
    <xf numFmtId="3" fontId="77" fillId="0" borderId="0" pivotButton="0" quotePrefix="0" xfId="30"/>
    <xf numFmtId="3" fontId="77" fillId="0" borderId="0" applyAlignment="1" pivotButton="0" quotePrefix="0" xfId="30">
      <alignment horizontal="right"/>
    </xf>
    <xf numFmtId="0" fontId="77" fillId="0" borderId="0" pivotButton="0" quotePrefix="0" xfId="30"/>
    <xf numFmtId="0" fontId="77" fillId="0" borderId="0" applyAlignment="1" pivotButton="0" quotePrefix="0" xfId="30">
      <alignment horizontal="right"/>
    </xf>
    <xf numFmtId="174" fontId="80" fillId="4" borderId="4" pivotButton="0" quotePrefix="0" xfId="1"/>
    <xf numFmtId="174" fontId="80" fillId="4" borderId="4" applyAlignment="1" pivotButton="0" quotePrefix="0" xfId="1">
      <alignment vertical="center"/>
    </xf>
    <xf numFmtId="174" fontId="91" fillId="4" borderId="4" applyAlignment="1" pivotButton="0" quotePrefix="0" xfId="1">
      <alignment vertical="center"/>
    </xf>
    <xf numFmtId="0" fontId="92" fillId="0" borderId="0" applyAlignment="1" pivotButton="0" quotePrefix="0" xfId="4">
      <alignment vertical="center"/>
    </xf>
    <xf numFmtId="168" fontId="92" fillId="0" borderId="0" applyAlignment="1" pivotButton="0" quotePrefix="0" xfId="1">
      <alignment vertical="center"/>
    </xf>
    <xf numFmtId="0" fontId="93" fillId="0" borderId="0" pivotButton="0" quotePrefix="0" xfId="0"/>
    <xf numFmtId="0" fontId="94" fillId="0" borderId="0" applyAlignment="1" pivotButton="0" quotePrefix="0" xfId="0">
      <alignment horizontal="left" vertical="center"/>
    </xf>
    <xf numFmtId="0" fontId="92" fillId="0" borderId="0" applyAlignment="1" pivotButton="0" quotePrefix="0" xfId="0">
      <alignment vertical="center"/>
    </xf>
    <xf numFmtId="0" fontId="92" fillId="0" borderId="0" applyAlignment="1" pivotButton="0" quotePrefix="0" xfId="0">
      <alignment vertical="top"/>
    </xf>
    <xf numFmtId="0" fontId="92" fillId="0" borderId="0" applyAlignment="1" pivotButton="0" quotePrefix="0" xfId="0">
      <alignment horizontal="right" vertical="top"/>
    </xf>
    <xf numFmtId="168" fontId="92" fillId="0" borderId="0" applyAlignment="1" pivotButton="0" quotePrefix="0" xfId="1">
      <alignment horizontal="center" vertical="center" wrapText="1"/>
    </xf>
    <xf numFmtId="168" fontId="92" fillId="0" borderId="0" applyAlignment="1" pivotButton="0" quotePrefix="0" xfId="1">
      <alignment horizontal="right" vertical="center"/>
    </xf>
    <xf numFmtId="0" fontId="92" fillId="0" borderId="0" applyAlignment="1" pivotButton="0" quotePrefix="0" xfId="0">
      <alignment horizontal="left" vertical="center"/>
    </xf>
    <xf numFmtId="168" fontId="92" fillId="0" borderId="0" applyAlignment="1" pivotButton="0" quotePrefix="0" xfId="1">
      <alignment vertical="top" wrapText="1"/>
    </xf>
    <xf numFmtId="173" fontId="92" fillId="0" borderId="0" applyAlignment="1" pivotButton="0" quotePrefix="0" xfId="0">
      <alignment horizontal="left"/>
    </xf>
    <xf numFmtId="168" fontId="92" fillId="0" borderId="1" applyAlignment="1" pivotButton="0" quotePrefix="0" xfId="1">
      <alignment vertical="center"/>
    </xf>
    <xf numFmtId="174" fontId="92" fillId="0" borderId="0" pivotButton="0" quotePrefix="0" xfId="1"/>
    <xf numFmtId="172" fontId="78" fillId="0" borderId="0" pivotButton="0" quotePrefix="0" xfId="3"/>
    <xf numFmtId="0" fontId="94" fillId="0" borderId="0" applyAlignment="1" pivotButton="0" quotePrefix="0" xfId="26">
      <alignment vertical="center"/>
    </xf>
    <xf numFmtId="0" fontId="94" fillId="0" borderId="0" applyAlignment="1" pivotButton="0" quotePrefix="0" xfId="0">
      <alignment horizontal="right" vertical="center"/>
    </xf>
    <xf numFmtId="168" fontId="92" fillId="0" borderId="0" applyAlignment="1" pivotButton="0" quotePrefix="0" xfId="1">
      <alignment horizontal="right" vertical="center" wrapText="1"/>
    </xf>
    <xf numFmtId="168" fontId="92" fillId="0" borderId="1" applyAlignment="1" pivotButton="0" quotePrefix="0" xfId="1">
      <alignment horizontal="right" vertical="center"/>
    </xf>
    <xf numFmtId="0" fontId="92" fillId="0" borderId="0" applyAlignment="1" pivotButton="0" quotePrefix="0" xfId="26">
      <alignment horizontal="center" vertical="center"/>
    </xf>
    <xf numFmtId="15" fontId="78" fillId="0" borderId="4" applyAlignment="1" pivotButton="0" quotePrefix="0" xfId="26">
      <alignment horizontal="center" vertical="center"/>
    </xf>
    <xf numFmtId="15" fontId="77" fillId="0" borderId="0" applyAlignment="1" pivotButton="0" quotePrefix="0" xfId="26">
      <alignment vertical="center"/>
    </xf>
    <xf numFmtId="15" fontId="83" fillId="0" borderId="0" pivotButton="0" quotePrefix="0" xfId="26"/>
    <xf numFmtId="168" fontId="77" fillId="0" borderId="4" applyAlignment="1" pivotButton="0" quotePrefix="0" xfId="1">
      <alignment vertical="center"/>
    </xf>
    <xf numFmtId="168" fontId="77" fillId="0" borderId="0" applyAlignment="1" pivotButton="0" quotePrefix="0" xfId="1">
      <alignment vertical="center"/>
    </xf>
    <xf numFmtId="168" fontId="77" fillId="0" borderId="0" pivotButton="0" quotePrefix="0" xfId="1"/>
    <xf numFmtId="168" fontId="83" fillId="0" borderId="0" pivotButton="0" quotePrefix="0" xfId="1"/>
    <xf numFmtId="168" fontId="94" fillId="0" borderId="0" applyAlignment="1" pivotButton="0" quotePrefix="0" xfId="1">
      <alignment vertical="center"/>
    </xf>
    <xf numFmtId="168" fontId="80" fillId="8" borderId="4" applyAlignment="1" pivotButton="0" quotePrefix="0" xfId="1">
      <alignment horizontal="center" vertical="center" wrapText="1"/>
    </xf>
    <xf numFmtId="174" fontId="77" fillId="0" borderId="4" applyAlignment="1" pivotButton="0" quotePrefix="0" xfId="26">
      <alignment vertical="center" wrapText="1"/>
    </xf>
    <xf numFmtId="3" fontId="84" fillId="0" borderId="36" applyAlignment="1" pivotButton="0" quotePrefix="0" xfId="0">
      <alignment horizontal="right" vertical="center" wrapText="1" indent="1"/>
    </xf>
    <xf numFmtId="3" fontId="84" fillId="0" borderId="35" applyAlignment="1" pivotButton="0" quotePrefix="0" xfId="0">
      <alignment horizontal="right" vertical="center" wrapText="1" indent="1"/>
    </xf>
    <xf numFmtId="3" fontId="9" fillId="10" borderId="37" applyAlignment="1" pivotButton="0" quotePrefix="0" xfId="0">
      <alignment horizontal="right" vertical="center" wrapText="1"/>
    </xf>
    <xf numFmtId="0" fontId="9" fillId="10" borderId="37" applyAlignment="1" pivotButton="0" quotePrefix="0" xfId="0">
      <alignment horizontal="right" vertical="center" wrapText="1"/>
    </xf>
    <xf numFmtId="174" fontId="33" fillId="0" borderId="0" pivotButton="0" quotePrefix="0" xfId="0"/>
    <xf numFmtId="0" fontId="77" fillId="0" borderId="11" applyAlignment="1" pivotButton="0" quotePrefix="0" xfId="26">
      <alignment horizontal="center" vertical="center"/>
    </xf>
    <xf numFmtId="15" fontId="84" fillId="0" borderId="4" applyAlignment="1" pivotButton="0" quotePrefix="0" xfId="0">
      <alignment horizontal="center" vertical="center"/>
    </xf>
    <xf numFmtId="0" fontId="78" fillId="0" borderId="0" applyAlignment="1" pivotButton="0" quotePrefix="0" xfId="0">
      <alignment horizontal="center"/>
    </xf>
    <xf numFmtId="0" fontId="84" fillId="0" borderId="4" applyAlignment="1" pivotButton="0" quotePrefix="0" xfId="22">
      <alignment horizontal="left" vertical="center"/>
    </xf>
    <xf numFmtId="168" fontId="14" fillId="0" borderId="0" pivotButton="0" quotePrefix="0" xfId="0"/>
    <xf numFmtId="168" fontId="77" fillId="0" borderId="4" applyAlignment="1" pivotButton="0" quotePrefix="0" xfId="26">
      <alignment vertical="center"/>
    </xf>
    <xf numFmtId="1" fontId="78" fillId="0" borderId="4" applyAlignment="1" pivotButton="0" quotePrefix="0" xfId="26">
      <alignment horizontal="center" vertical="center" wrapText="1"/>
    </xf>
    <xf numFmtId="3" fontId="83" fillId="0" borderId="0" pivotButton="0" quotePrefix="0" xfId="26"/>
    <xf numFmtId="0" fontId="82" fillId="0" borderId="4" applyAlignment="1" pivotButton="0" quotePrefix="0" xfId="26">
      <alignment horizontal="center" vertical="center"/>
    </xf>
    <xf numFmtId="168" fontId="77" fillId="0" borderId="0" applyAlignment="1" pivotButton="0" quotePrefix="0" xfId="26">
      <alignment horizontal="center" vertical="center"/>
    </xf>
    <xf numFmtId="168" fontId="84" fillId="0" borderId="4" applyAlignment="1" pivotButton="0" quotePrefix="0" xfId="1">
      <alignment horizontal="center" vertical="center"/>
    </xf>
    <xf numFmtId="0" fontId="77" fillId="0" borderId="0" applyAlignment="1" pivotButton="0" quotePrefix="0" xfId="30">
      <alignment horizontal="center" vertical="center"/>
    </xf>
    <xf numFmtId="0" fontId="77" fillId="0" borderId="0" applyAlignment="1" pivotButton="0" quotePrefix="0" xfId="30">
      <alignment horizontal="center"/>
    </xf>
    <xf numFmtId="0" fontId="77" fillId="5" borderId="0" applyAlignment="1" pivotButton="0" quotePrefix="0" xfId="30">
      <alignment horizontal="center"/>
    </xf>
    <xf numFmtId="0" fontId="77" fillId="5" borderId="0" applyAlignment="1" pivotButton="0" quotePrefix="0" xfId="30">
      <alignment horizontal="right"/>
    </xf>
    <xf numFmtId="17" fontId="77" fillId="5" borderId="0" applyAlignment="1" pivotButton="0" quotePrefix="0" xfId="30">
      <alignment horizontal="right"/>
    </xf>
    <xf numFmtId="0" fontId="95" fillId="10" borderId="37" applyAlignment="1" pivotButton="0" quotePrefix="0" xfId="0">
      <alignment horizontal="center"/>
    </xf>
    <xf numFmtId="43" fontId="95" fillId="10" borderId="37" applyAlignment="1" pivotButton="0" quotePrefix="0" xfId="1">
      <alignment horizontal="center"/>
    </xf>
    <xf numFmtId="0" fontId="97" fillId="0" borderId="0" pivotButton="0" quotePrefix="0" xfId="0"/>
    <xf numFmtId="15" fontId="97" fillId="0" borderId="0" pivotButton="0" quotePrefix="0" xfId="0"/>
    <xf numFmtId="43" fontId="97" fillId="0" borderId="0" pivotButton="0" quotePrefix="0" xfId="1"/>
    <xf numFmtId="15" fontId="97" fillId="5" borderId="0" pivotButton="0" quotePrefix="0" xfId="0"/>
    <xf numFmtId="179" fontId="97" fillId="0" borderId="0" pivotButton="0" quotePrefix="0" xfId="0"/>
    <xf numFmtId="174" fontId="82" fillId="0" borderId="0" applyAlignment="1" pivotButton="0" quotePrefix="0" xfId="27">
      <alignment vertical="center"/>
    </xf>
    <xf numFmtId="9" fontId="83" fillId="0" borderId="0" pivotButton="0" quotePrefix="0" xfId="31"/>
    <xf numFmtId="14" fontId="99" fillId="11" borderId="37" applyAlignment="1" pivotButton="0" quotePrefix="0" xfId="0">
      <alignment horizontal="left" vertical="top"/>
    </xf>
    <xf numFmtId="0" fontId="99" fillId="11" borderId="37" applyAlignment="1" pivotButton="0" quotePrefix="0" xfId="0">
      <alignment horizontal="left" vertical="top"/>
    </xf>
    <xf numFmtId="0" fontId="99" fillId="11" borderId="37" applyAlignment="1" pivotButton="0" quotePrefix="0" xfId="0">
      <alignment vertical="top"/>
    </xf>
    <xf numFmtId="0" fontId="99" fillId="11" borderId="37" applyAlignment="1" pivotButton="0" quotePrefix="0" xfId="0">
      <alignment vertical="center"/>
    </xf>
    <xf numFmtId="0" fontId="99" fillId="11" borderId="37" applyAlignment="1" pivotButton="0" quotePrefix="0" xfId="0">
      <alignment horizontal="right" vertical="top"/>
    </xf>
    <xf numFmtId="0" fontId="99" fillId="11" borderId="37" applyAlignment="1" pivotButton="0" quotePrefix="0" xfId="0">
      <alignment horizontal="center" vertical="top"/>
    </xf>
    <xf numFmtId="9" fontId="99" fillId="11" borderId="37" applyAlignment="1" pivotButton="0" quotePrefix="0" xfId="0">
      <alignment horizontal="center" vertical="top"/>
    </xf>
    <xf numFmtId="0" fontId="84" fillId="0" borderId="4" applyAlignment="1" pivotButton="0" quotePrefix="0" xfId="0">
      <alignment horizontal="left" vertical="center"/>
    </xf>
    <xf numFmtId="9" fontId="77" fillId="0" borderId="0" applyAlignment="1" pivotButton="0" quotePrefix="0" xfId="31">
      <alignment vertical="center"/>
    </xf>
    <xf numFmtId="0" fontId="77" fillId="5" borderId="4" applyAlignment="1" pivotButton="0" quotePrefix="0" xfId="26">
      <alignment horizontal="center" vertical="center"/>
    </xf>
    <xf numFmtId="0" fontId="77" fillId="5" borderId="4" applyAlignment="1" pivotButton="0" quotePrefix="0" xfId="26">
      <alignment vertical="center"/>
    </xf>
    <xf numFmtId="0" fontId="78" fillId="12" borderId="4" applyAlignment="1" pivotButton="0" quotePrefix="0" xfId="26">
      <alignment horizontal="left" vertical="center"/>
    </xf>
    <xf numFmtId="0" fontId="78" fillId="12" borderId="4" applyAlignment="1" pivotButton="0" quotePrefix="0" xfId="26">
      <alignment horizontal="center" vertical="center"/>
    </xf>
    <xf numFmtId="49" fontId="78" fillId="12" borderId="4" applyAlignment="1" pivotButton="0" quotePrefix="0" xfId="26">
      <alignment horizontal="center" vertical="center" wrapText="1"/>
    </xf>
    <xf numFmtId="15" fontId="78" fillId="12" borderId="4" applyAlignment="1" pivotButton="0" quotePrefix="0" xfId="26">
      <alignment horizontal="center" vertical="center"/>
    </xf>
    <xf numFmtId="43" fontId="78" fillId="12" borderId="4" applyAlignment="1" pivotButton="0" quotePrefix="0" xfId="21">
      <alignment vertical="center"/>
    </xf>
    <xf numFmtId="168" fontId="77" fillId="12" borderId="4" applyAlignment="1" pivotButton="0" quotePrefix="0" xfId="27">
      <alignment vertical="center"/>
    </xf>
    <xf numFmtId="1" fontId="78" fillId="12" borderId="4" applyAlignment="1" pivotButton="0" quotePrefix="0" xfId="26">
      <alignment horizontal="center" vertical="center" wrapText="1"/>
    </xf>
    <xf numFmtId="0" fontId="78" fillId="5" borderId="4" applyAlignment="1" pivotButton="0" quotePrefix="0" xfId="26">
      <alignment horizontal="center" vertical="center"/>
    </xf>
    <xf numFmtId="168" fontId="78" fillId="5" borderId="4" applyAlignment="1" pivotButton="0" quotePrefix="0" xfId="27">
      <alignment horizontal="center" vertical="center"/>
    </xf>
    <xf numFmtId="15" fontId="97" fillId="6" borderId="0" pivotButton="0" quotePrefix="0" xfId="0"/>
    <xf numFmtId="0" fontId="97" fillId="6" borderId="0" pivotButton="0" quotePrefix="0" xfId="0"/>
    <xf numFmtId="43" fontId="97" fillId="6" borderId="0" pivotButton="0" quotePrefix="0" xfId="1"/>
    <xf numFmtId="168" fontId="77" fillId="13" borderId="4" applyAlignment="1" pivotButton="0" quotePrefix="0" xfId="1">
      <alignment horizontal="center" vertical="center"/>
    </xf>
    <xf numFmtId="0" fontId="77" fillId="14" borderId="4" applyAlignment="1" pivotButton="0" quotePrefix="0" xfId="26">
      <alignment vertical="center"/>
    </xf>
    <xf numFmtId="49" fontId="77" fillId="15" borderId="4" applyAlignment="1" pivotButton="0" quotePrefix="0" xfId="1">
      <alignment vertical="center"/>
    </xf>
    <xf numFmtId="49" fontId="77" fillId="15" borderId="0" applyAlignment="1" pivotButton="0" quotePrefix="0" xfId="1">
      <alignment vertical="center"/>
    </xf>
    <xf numFmtId="49" fontId="77" fillId="15" borderId="4" applyAlignment="1" pivotButton="0" quotePrefix="0" xfId="26">
      <alignment vertical="center"/>
    </xf>
    <xf numFmtId="49" fontId="77" fillId="15" borderId="0" applyAlignment="1" pivotButton="0" quotePrefix="0" xfId="26">
      <alignment vertical="center"/>
    </xf>
    <xf numFmtId="49" fontId="97" fillId="15" borderId="0" pivotButton="0" quotePrefix="0" xfId="0"/>
    <xf numFmtId="0" fontId="0" fillId="0" borderId="0" pivotButton="0" quotePrefix="0" xfId="0"/>
    <xf numFmtId="0" fontId="0" fillId="5" borderId="0" applyAlignment="1" pivotButton="0" quotePrefix="0" xfId="0">
      <alignment horizontal="left" vertical="center"/>
    </xf>
    <xf numFmtId="0" fontId="25" fillId="0" borderId="0" applyAlignment="1" pivotButton="0" quotePrefix="0" xfId="0">
      <alignment horizontal="left" vertical="center"/>
    </xf>
    <xf numFmtId="0" fontId="84" fillId="0" borderId="0" applyAlignment="1" pivotButton="0" quotePrefix="0" xfId="0">
      <alignment horizontal="left" vertical="center"/>
    </xf>
    <xf numFmtId="0" fontId="5" fillId="5" borderId="0" applyAlignment="1" pivotButton="0" quotePrefix="0" xfId="0">
      <alignment horizontal="left" vertical="center"/>
    </xf>
    <xf numFmtId="15" fontId="84" fillId="0" borderId="0" applyAlignment="1" pivotButton="0" quotePrefix="0" xfId="0">
      <alignment horizontal="left" vertical="center"/>
    </xf>
    <xf numFmtId="15" fontId="84" fillId="0" borderId="0" applyAlignment="1" pivotButton="0" quotePrefix="0" xfId="0">
      <alignment horizontal="left" vertical="center" wrapText="1"/>
    </xf>
    <xf numFmtId="174" fontId="84" fillId="0" borderId="0" applyAlignment="1" pivotButton="0" quotePrefix="0" xfId="1">
      <alignment horizontal="right" vertical="center"/>
    </xf>
    <xf numFmtId="0" fontId="80" fillId="4" borderId="14" applyAlignment="1" pivotButton="0" quotePrefix="0" xfId="0">
      <alignment horizontal="center" vertical="center"/>
    </xf>
    <xf numFmtId="0" fontId="80" fillId="4" borderId="17" applyAlignment="1" pivotButton="0" quotePrefix="0" xfId="0">
      <alignment horizontal="center" vertical="center"/>
    </xf>
    <xf numFmtId="0" fontId="80" fillId="4" borderId="9" applyAlignment="1" pivotButton="0" quotePrefix="0" xfId="0">
      <alignment horizontal="center" vertical="center"/>
    </xf>
    <xf numFmtId="0" fontId="78" fillId="0" borderId="0" applyAlignment="1" pivotButton="0" quotePrefix="0" xfId="0">
      <alignment horizontal="center" vertical="center"/>
    </xf>
    <xf numFmtId="0" fontId="78" fillId="0" borderId="0" applyAlignment="1" pivotButton="0" quotePrefix="0" xfId="0">
      <alignment horizontal="center"/>
    </xf>
    <xf numFmtId="0" fontId="80" fillId="0" borderId="0" applyAlignment="1" pivotButton="0" quotePrefix="0" xfId="4">
      <alignment horizontal="center" vertical="center"/>
    </xf>
    <xf numFmtId="0" fontId="78" fillId="8" borderId="4" applyAlignment="1" pivotButton="0" quotePrefix="0" xfId="0">
      <alignment horizontal="center" vertical="center"/>
    </xf>
    <xf numFmtId="0" fontId="78" fillId="8" borderId="10" applyAlignment="1" pivotButton="0" quotePrefix="0" xfId="0">
      <alignment horizontal="center" vertical="center"/>
    </xf>
    <xf numFmtId="0" fontId="78" fillId="8" borderId="3" applyAlignment="1" pivotButton="0" quotePrefix="0" xfId="0">
      <alignment horizontal="center" vertical="center"/>
    </xf>
    <xf numFmtId="0" fontId="78" fillId="8" borderId="14" applyAlignment="1" pivotButton="0" quotePrefix="0" xfId="0">
      <alignment horizontal="center" vertical="center"/>
    </xf>
    <xf numFmtId="0" fontId="78" fillId="8" borderId="9" applyAlignment="1" pivotButton="0" quotePrefix="0" xfId="0">
      <alignment horizontal="center" vertical="center"/>
    </xf>
    <xf numFmtId="0" fontId="84" fillId="8" borderId="4" applyAlignment="1" pivotButton="0" quotePrefix="0" xfId="0">
      <alignment horizontal="center" vertical="center"/>
    </xf>
    <xf numFmtId="0" fontId="89" fillId="8" borderId="4" applyAlignment="1" pivotButton="0" quotePrefix="0" xfId="0">
      <alignment horizontal="center" vertical="center" wrapText="1"/>
    </xf>
    <xf numFmtId="0" fontId="89" fillId="8" borderId="4" applyAlignment="1" pivotButton="0" quotePrefix="0" xfId="0">
      <alignment horizontal="center" vertical="center"/>
    </xf>
    <xf numFmtId="0" fontId="84" fillId="8" borderId="14" applyAlignment="1" pivotButton="0" quotePrefix="0" xfId="0">
      <alignment horizontal="center" vertical="center"/>
    </xf>
    <xf numFmtId="0" fontId="84" fillId="8" borderId="9" applyAlignment="1" pivotButton="0" quotePrefix="0" xfId="0">
      <alignment horizontal="center" vertical="center"/>
    </xf>
    <xf numFmtId="0" fontId="84" fillId="8" borderId="10" applyAlignment="1" pivotButton="0" quotePrefix="0" xfId="0">
      <alignment horizontal="center" vertical="center"/>
    </xf>
    <xf numFmtId="0" fontId="84" fillId="8" borderId="3" applyAlignment="1" pivotButton="0" quotePrefix="0" xfId="0">
      <alignment horizontal="center" vertical="center"/>
    </xf>
    <xf numFmtId="0" fontId="100" fillId="0" borderId="0" applyAlignment="1" pivotButton="0" quotePrefix="0" xfId="4">
      <alignment horizontal="center" vertical="center"/>
    </xf>
    <xf numFmtId="0" fontId="91" fillId="4" borderId="4" applyAlignment="1" pivotButton="0" quotePrefix="0" xfId="0">
      <alignment horizontal="center" vertical="center"/>
    </xf>
    <xf numFmtId="168" fontId="78" fillId="0" borderId="0" applyAlignment="1" pivotButton="0" quotePrefix="0" xfId="1">
      <alignment horizontal="right" vertical="center"/>
    </xf>
    <xf numFmtId="174" fontId="78" fillId="0" borderId="1" applyAlignment="1" pivotButton="0" quotePrefix="0" xfId="1">
      <alignment horizontal="right"/>
    </xf>
    <xf numFmtId="168" fontId="96" fillId="0" borderId="4" applyAlignment="1" pivotButton="0" quotePrefix="0" xfId="1">
      <alignment horizontal="center" vertical="center"/>
    </xf>
    <xf numFmtId="0" fontId="94" fillId="0" borderId="4" applyAlignment="1" pivotButton="0" quotePrefix="0" xfId="26">
      <alignment horizontal="center" vertical="center"/>
    </xf>
    <xf numFmtId="0" fontId="77" fillId="0" borderId="0" applyAlignment="1" pivotButton="0" quotePrefix="0" xfId="26">
      <alignment horizontal="center" vertical="center"/>
    </xf>
    <xf numFmtId="0" fontId="77" fillId="0" borderId="0" applyAlignment="1" pivotButton="0" quotePrefix="0" xfId="26">
      <alignment horizontal="center" vertical="center" wrapText="1"/>
    </xf>
    <xf numFmtId="0" fontId="83" fillId="0" borderId="0" applyAlignment="1" pivotButton="0" quotePrefix="0" xfId="26">
      <alignment horizontal="center" vertical="center"/>
    </xf>
    <xf numFmtId="0" fontId="78" fillId="0" borderId="0" applyAlignment="1" pivotButton="0" quotePrefix="0" xfId="26">
      <alignment horizontal="center" vertical="center"/>
    </xf>
    <xf numFmtId="0" fontId="80" fillId="0" borderId="5" applyAlignment="1" pivotButton="0" quotePrefix="0" xfId="26">
      <alignment horizontal="center" vertical="center" wrapText="1"/>
    </xf>
    <xf numFmtId="0" fontId="80" fillId="8" borderId="5" applyAlignment="1" pivotButton="0" quotePrefix="0" xfId="26">
      <alignment horizontal="center" vertical="center" wrapText="1"/>
    </xf>
    <xf numFmtId="0" fontId="80" fillId="8" borderId="10" applyAlignment="1" pivotButton="0" quotePrefix="0" xfId="26">
      <alignment horizontal="center" vertical="center" wrapText="1"/>
    </xf>
    <xf numFmtId="15" fontId="95" fillId="10" borderId="39" applyAlignment="1" pivotButton="0" quotePrefix="0" xfId="0">
      <alignment horizontal="center"/>
    </xf>
    <xf numFmtId="15" fontId="95" fillId="10" borderId="38" applyAlignment="1" pivotButton="0" quotePrefix="0" xfId="0">
      <alignment horizontal="center"/>
    </xf>
    <xf numFmtId="43" fontId="95" fillId="10" borderId="39" applyAlignment="1" pivotButton="0" quotePrefix="0" xfId="1">
      <alignment horizontal="center"/>
    </xf>
    <xf numFmtId="43" fontId="95" fillId="10" borderId="38" applyAlignment="1" pivotButton="0" quotePrefix="0" xfId="1">
      <alignment horizontal="center"/>
    </xf>
    <xf numFmtId="0" fontId="81" fillId="8" borderId="10" applyAlignment="1" pivotButton="0" quotePrefix="0" xfId="26">
      <alignment horizontal="center" vertical="center" wrapText="1"/>
    </xf>
    <xf numFmtId="0" fontId="81" fillId="8" borderId="3" applyAlignment="1" pivotButton="0" quotePrefix="0" xfId="26">
      <alignment horizontal="center" vertical="center" wrapText="1"/>
    </xf>
    <xf numFmtId="0" fontId="95" fillId="10" borderId="39" applyAlignment="1" pivotButton="0" quotePrefix="0" xfId="0">
      <alignment horizontal="center"/>
    </xf>
    <xf numFmtId="0" fontId="95" fillId="10" borderId="38" applyAlignment="1" pivotButton="0" quotePrefix="0" xfId="0">
      <alignment horizontal="center"/>
    </xf>
    <xf numFmtId="0" fontId="95" fillId="10" borderId="40" applyAlignment="1" pivotButton="0" quotePrefix="0" xfId="0">
      <alignment horizontal="center"/>
    </xf>
    <xf numFmtId="0" fontId="95" fillId="10" borderId="42" applyAlignment="1" pivotButton="0" quotePrefix="0" xfId="0">
      <alignment horizontal="center"/>
    </xf>
    <xf numFmtId="0" fontId="95" fillId="10" borderId="41" applyAlignment="1" pivotButton="0" quotePrefix="0" xfId="0">
      <alignment horizontal="center"/>
    </xf>
    <xf numFmtId="0" fontId="81" fillId="8" borderId="5" applyAlignment="1" pivotButton="0" quotePrefix="0" xfId="26">
      <alignment horizontal="center" vertical="center" wrapText="1"/>
    </xf>
    <xf numFmtId="0" fontId="85" fillId="0" borderId="0" applyAlignment="1" pivotButton="0" quotePrefix="0" xfId="25">
      <alignment horizontal="center" vertical="center"/>
    </xf>
    <xf numFmtId="168" fontId="85" fillId="0" borderId="0" applyAlignment="1" pivotButton="0" quotePrefix="0" xfId="1">
      <alignment horizontal="center" vertical="center"/>
    </xf>
    <xf numFmtId="0" fontId="80" fillId="8" borderId="10" applyAlignment="1" pivotButton="0" quotePrefix="0" xfId="26">
      <alignment horizontal="center" vertical="center"/>
    </xf>
    <xf numFmtId="0" fontId="80" fillId="8" borderId="3" applyAlignment="1" pivotButton="0" quotePrefix="0" xfId="26">
      <alignment horizontal="center" vertical="center"/>
    </xf>
    <xf numFmtId="0" fontId="80" fillId="8" borderId="3" applyAlignment="1" pivotButton="0" quotePrefix="0" xfId="26">
      <alignment horizontal="center" vertical="center" wrapText="1"/>
    </xf>
    <xf numFmtId="0" fontId="80" fillId="8" borderId="14" applyAlignment="1" pivotButton="0" quotePrefix="0" xfId="26">
      <alignment horizontal="center" vertical="center"/>
    </xf>
    <xf numFmtId="0" fontId="80" fillId="8" borderId="9" applyAlignment="1" pivotButton="0" quotePrefix="0" xfId="26">
      <alignment horizontal="center" vertical="center"/>
    </xf>
    <xf numFmtId="174" fontId="92" fillId="0" borderId="1" applyAlignment="1" pivotButton="0" quotePrefix="0" xfId="1">
      <alignment horizontal="center"/>
    </xf>
    <xf numFmtId="168" fontId="94" fillId="5" borderId="4" applyAlignment="1" pivotButton="0" quotePrefix="0" xfId="1">
      <alignment horizontal="center" vertical="center"/>
    </xf>
    <xf numFmtId="168" fontId="82" fillId="8" borderId="11" applyAlignment="1" pivotButton="0" quotePrefix="0" xfId="1">
      <alignment horizontal="center" vertical="center"/>
    </xf>
    <xf numFmtId="168" fontId="82" fillId="8" borderId="19" applyAlignment="1" pivotButton="0" quotePrefix="0" xfId="1">
      <alignment horizontal="center" vertical="center"/>
    </xf>
    <xf numFmtId="0" fontId="92" fillId="0" borderId="0" applyAlignment="1" pivotButton="0" quotePrefix="0" xfId="26">
      <alignment horizontal="center" vertical="center"/>
    </xf>
    <xf numFmtId="0" fontId="77" fillId="0" borderId="10" applyAlignment="1" pivotButton="0" quotePrefix="0" xfId="26">
      <alignment horizontal="center" vertical="center"/>
    </xf>
    <xf numFmtId="0" fontId="77" fillId="0" borderId="5" applyAlignment="1" pivotButton="0" quotePrefix="0" xfId="26">
      <alignment horizontal="center" vertical="center"/>
    </xf>
    <xf numFmtId="0" fontId="77" fillId="0" borderId="3" applyAlignment="1" pivotButton="0" quotePrefix="0" xfId="26">
      <alignment horizontal="center" vertical="center"/>
    </xf>
    <xf numFmtId="0" fontId="77" fillId="0" borderId="0" applyAlignment="1" pivotButton="0" quotePrefix="0" xfId="26">
      <alignment horizontal="left" vertical="center" wrapText="1"/>
    </xf>
    <xf numFmtId="0" fontId="80" fillId="8" borderId="17" applyAlignment="1" pivotButton="0" quotePrefix="0" xfId="26">
      <alignment horizontal="center" vertical="center"/>
    </xf>
    <xf numFmtId="0" fontId="91" fillId="4" borderId="14" applyAlignment="1" pivotButton="0" quotePrefix="0" xfId="0">
      <alignment horizontal="center"/>
    </xf>
    <xf numFmtId="0" fontId="91" fillId="4" borderId="17" applyAlignment="1" pivotButton="0" quotePrefix="0" xfId="0">
      <alignment horizontal="center"/>
    </xf>
    <xf numFmtId="0" fontId="91" fillId="4" borderId="9" applyAlignment="1" pivotButton="0" quotePrefix="0" xfId="0">
      <alignment horizontal="center"/>
    </xf>
    <xf numFmtId="0" fontId="80" fillId="4" borderId="4" applyAlignment="1" pivotButton="0" quotePrefix="0" xfId="0">
      <alignment horizontal="center" vertical="center"/>
    </xf>
    <xf numFmtId="0" fontId="85" fillId="0" borderId="0" applyAlignment="1" pivotButton="0" quotePrefix="0" xfId="4">
      <alignment horizontal="center" vertical="center"/>
    </xf>
    <xf numFmtId="0" fontId="12" fillId="7" borderId="4" applyAlignment="1" pivotButton="0" quotePrefix="0" xfId="0">
      <alignment horizontal="center" vertical="center"/>
    </xf>
    <xf numFmtId="0" fontId="25" fillId="0" borderId="9" applyAlignment="1" pivotButton="0" quotePrefix="0" xfId="0">
      <alignment horizontal="center" vertical="center" shrinkToFit="1"/>
    </xf>
    <xf numFmtId="0" fontId="25" fillId="0" borderId="4" applyAlignment="1" pivotButton="0" quotePrefix="0" xfId="0">
      <alignment horizontal="center" vertical="center" shrinkToFit="1"/>
    </xf>
    <xf numFmtId="0" fontId="22" fillId="0" borderId="0" applyAlignment="1" pivotButton="0" quotePrefix="0" xfId="0">
      <alignment horizontal="center" vertical="top" shrinkToFit="1"/>
    </xf>
    <xf numFmtId="0" fontId="34" fillId="0" borderId="0" applyAlignment="1" pivotButton="0" quotePrefix="0" xfId="0">
      <alignment horizontal="left" vertical="center"/>
    </xf>
    <xf numFmtId="0" fontId="19" fillId="0" borderId="1" applyAlignment="1" pivotButton="0" quotePrefix="0" xfId="0">
      <alignment horizontal="left" vertical="center"/>
    </xf>
    <xf numFmtId="0" fontId="25" fillId="0" borderId="10" applyAlignment="1" pivotButton="0" quotePrefix="0" xfId="0">
      <alignment horizontal="center" vertical="center"/>
    </xf>
    <xf numFmtId="0" fontId="25" fillId="0" borderId="5" applyAlignment="1" pivotButton="0" quotePrefix="0" xfId="0">
      <alignment horizontal="center" vertical="center"/>
    </xf>
    <xf numFmtId="0" fontId="25" fillId="0" borderId="3" applyAlignment="1" pivotButton="0" quotePrefix="0" xfId="0">
      <alignment horizontal="center" vertical="center"/>
    </xf>
    <xf numFmtId="0" fontId="25" fillId="0" borderId="18" applyAlignment="1" pivotButton="0" quotePrefix="0" xfId="0">
      <alignment horizontal="center" vertical="center" shrinkToFit="1"/>
    </xf>
    <xf numFmtId="0" fontId="25" fillId="0" borderId="12" applyAlignment="1" pivotButton="0" quotePrefix="0" xfId="0">
      <alignment horizontal="center" vertical="center" shrinkToFit="1"/>
    </xf>
    <xf numFmtId="0" fontId="25" fillId="0" borderId="7" applyAlignment="1" pivotButton="0" quotePrefix="0" xfId="0">
      <alignment horizontal="center" vertical="center" shrinkToFit="1"/>
    </xf>
    <xf numFmtId="0" fontId="25" fillId="0" borderId="9" applyAlignment="1" pivotButton="0" quotePrefix="0" xfId="0">
      <alignment horizontal="center" shrinkToFit="1"/>
    </xf>
    <xf numFmtId="0" fontId="25" fillId="0" borderId="4" applyAlignment="1" pivotButton="0" quotePrefix="0" xfId="0">
      <alignment horizontal="center" shrinkToFit="1"/>
    </xf>
    <xf numFmtId="0" fontId="25" fillId="0" borderId="10" applyAlignment="1" pivotButton="0" quotePrefix="0" xfId="0">
      <alignment horizontal="center" vertical="center" shrinkToFit="1"/>
    </xf>
    <xf numFmtId="0" fontId="25" fillId="0" borderId="5" applyAlignment="1" pivotButton="0" quotePrefix="0" xfId="0">
      <alignment horizontal="center" vertical="center" shrinkToFit="1"/>
    </xf>
    <xf numFmtId="0" fontId="25" fillId="0" borderId="3" applyAlignment="1" pivotButton="0" quotePrefix="0" xfId="0">
      <alignment horizontal="center" vertical="center" shrinkToFit="1"/>
    </xf>
    <xf numFmtId="0" fontId="25" fillId="0" borderId="19" applyAlignment="1" pivotButton="0" quotePrefix="0" xfId="0">
      <alignment horizontal="center" vertical="center" shrinkToFit="1"/>
    </xf>
    <xf numFmtId="0" fontId="25" fillId="0" borderId="1" applyAlignment="1" pivotButton="0" quotePrefix="0" xfId="0">
      <alignment horizontal="center" vertical="center" shrinkToFit="1"/>
    </xf>
    <xf numFmtId="0" fontId="25" fillId="0" borderId="8" applyAlignment="1" pivotButton="0" quotePrefix="0" xfId="0">
      <alignment horizontal="center" vertical="center" shrinkToFit="1"/>
    </xf>
    <xf numFmtId="0" fontId="12" fillId="7" borderId="14" applyAlignment="1" pivotButton="0" quotePrefix="0" xfId="0">
      <alignment horizontal="center" vertical="center"/>
    </xf>
    <xf numFmtId="0" fontId="12" fillId="7" borderId="17" applyAlignment="1" pivotButton="0" quotePrefix="0" xfId="0">
      <alignment horizontal="center" vertical="center"/>
    </xf>
    <xf numFmtId="0" fontId="12" fillId="7" borderId="9" applyAlignment="1" pivotButton="0" quotePrefix="0" xfId="0">
      <alignment horizontal="center" vertical="center"/>
    </xf>
    <xf numFmtId="0" fontId="25" fillId="0" borderId="12" applyAlignment="1" pivotButton="0" quotePrefix="0" xfId="0">
      <alignment horizontal="center"/>
    </xf>
    <xf numFmtId="0" fontId="25" fillId="0" borderId="0" applyAlignment="1" pivotButton="0" quotePrefix="0" xfId="0">
      <alignment horizontal="center"/>
    </xf>
    <xf numFmtId="0" fontId="25" fillId="0" borderId="4" applyAlignment="1" pivotButton="0" quotePrefix="0" xfId="0">
      <alignment horizontal="center"/>
    </xf>
    <xf numFmtId="0" fontId="25" fillId="0" borderId="18" applyAlignment="1" pivotButton="0" quotePrefix="0" xfId="0">
      <alignment horizontal="center" vertical="center"/>
    </xf>
    <xf numFmtId="0" fontId="25" fillId="0" borderId="12" applyAlignment="1" pivotButton="0" quotePrefix="0" xfId="0">
      <alignment horizontal="center" vertical="center"/>
    </xf>
    <xf numFmtId="0" fontId="25" fillId="0" borderId="7" applyAlignment="1" pivotButton="0" quotePrefix="0" xfId="0">
      <alignment horizontal="center" vertical="center"/>
    </xf>
    <xf numFmtId="0" fontId="25" fillId="0" borderId="11" applyAlignment="1" pivotButton="0" quotePrefix="0" xfId="0">
      <alignment horizontal="center" vertical="center"/>
    </xf>
    <xf numFmtId="0" fontId="25" fillId="0" borderId="0" applyAlignment="1" pivotButton="0" quotePrefix="0" xfId="0">
      <alignment horizontal="center" vertical="center"/>
    </xf>
    <xf numFmtId="0" fontId="25" fillId="0" borderId="6" applyAlignment="1" pivotButton="0" quotePrefix="0" xfId="0">
      <alignment horizontal="center" vertical="center"/>
    </xf>
    <xf numFmtId="0" fontId="25" fillId="0" borderId="19" applyAlignment="1" pivotButton="0" quotePrefix="0" xfId="0">
      <alignment horizontal="center" vertical="center"/>
    </xf>
    <xf numFmtId="0" fontId="25" fillId="0" borderId="1" applyAlignment="1" pivotButton="0" quotePrefix="0" xfId="0">
      <alignment horizontal="center" vertical="center"/>
    </xf>
    <xf numFmtId="0" fontId="25" fillId="0" borderId="8" applyAlignment="1" pivotButton="0" quotePrefix="0" xfId="0">
      <alignment horizontal="center" vertical="center"/>
    </xf>
    <xf numFmtId="0" fontId="25" fillId="0" borderId="14" applyAlignment="1" pivotButton="0" quotePrefix="0" xfId="0">
      <alignment horizontal="center" vertical="center"/>
    </xf>
    <xf numFmtId="0" fontId="25" fillId="0" borderId="17" applyAlignment="1" pivotButton="0" quotePrefix="0" xfId="0">
      <alignment horizontal="center" vertical="center"/>
    </xf>
    <xf numFmtId="0" fontId="25" fillId="0" borderId="9" applyAlignment="1" pivotButton="0" quotePrefix="0" xfId="0">
      <alignment horizontal="center" vertical="center"/>
    </xf>
    <xf numFmtId="0" fontId="25" fillId="7" borderId="14" applyAlignment="1" pivotButton="0" quotePrefix="0" xfId="0">
      <alignment horizontal="center" vertical="center"/>
    </xf>
    <xf numFmtId="0" fontId="25" fillId="7" borderId="17" applyAlignment="1" pivotButton="0" quotePrefix="0" xfId="0">
      <alignment horizontal="center" vertical="center"/>
    </xf>
    <xf numFmtId="0" fontId="25" fillId="7" borderId="9" applyAlignment="1" pivotButton="0" quotePrefix="0" xfId="0">
      <alignment horizontal="center" vertical="center"/>
    </xf>
    <xf numFmtId="0" fontId="25" fillId="0" borderId="14" applyAlignment="1" pivotButton="0" quotePrefix="0" xfId="0">
      <alignment horizontal="center" vertical="center" wrapText="1"/>
    </xf>
    <xf numFmtId="0" fontId="25" fillId="0" borderId="17" applyAlignment="1" pivotButton="0" quotePrefix="0" xfId="0">
      <alignment horizontal="center" vertical="center" wrapText="1"/>
    </xf>
    <xf numFmtId="0" fontId="25" fillId="0" borderId="9" applyAlignment="1" pivotButton="0" quotePrefix="0" xfId="0">
      <alignment horizontal="center" vertical="center" wrapText="1"/>
    </xf>
    <xf numFmtId="0" fontId="11" fillId="4" borderId="14" applyAlignment="1" pivotButton="0" quotePrefix="0" xfId="0">
      <alignment horizontal="center" vertical="center"/>
    </xf>
    <xf numFmtId="0" fontId="11" fillId="4" borderId="9" applyAlignment="1" pivotButton="0" quotePrefix="0" xfId="0">
      <alignment horizontal="center" vertical="center"/>
    </xf>
    <xf numFmtId="0" fontId="16" fillId="0" borderId="0" applyAlignment="1" pivotButton="0" quotePrefix="0" xfId="0">
      <alignment horizontal="left" vertical="center"/>
    </xf>
    <xf numFmtId="0" fontId="24" fillId="0" borderId="10" applyAlignment="1" pivotButton="0" quotePrefix="0" xfId="0">
      <alignment horizontal="center" vertical="center"/>
    </xf>
    <xf numFmtId="0" fontId="24" fillId="0" borderId="5" applyAlignment="1" pivotButton="0" quotePrefix="0" xfId="0">
      <alignment horizontal="center" vertical="center"/>
    </xf>
    <xf numFmtId="0" fontId="24" fillId="0" borderId="3" applyAlignment="1" pivotButton="0" quotePrefix="0" xfId="0">
      <alignment horizontal="center" vertical="center"/>
    </xf>
    <xf numFmtId="0" fontId="24" fillId="0" borderId="18" applyAlignment="1" pivotButton="0" quotePrefix="0" xfId="0">
      <alignment horizontal="center" vertical="center" shrinkToFit="1"/>
    </xf>
    <xf numFmtId="0" fontId="24" fillId="0" borderId="12" applyAlignment="1" pivotButton="0" quotePrefix="0" xfId="0">
      <alignment horizontal="center" vertical="center" shrinkToFit="1"/>
    </xf>
    <xf numFmtId="0" fontId="24" fillId="0" borderId="7" applyAlignment="1" pivotButton="0" quotePrefix="0" xfId="0">
      <alignment horizontal="center" vertical="center" shrinkToFit="1"/>
    </xf>
    <xf numFmtId="0" fontId="24" fillId="0" borderId="9" applyAlignment="1" pivotButton="0" quotePrefix="0" xfId="0">
      <alignment horizontal="center" shrinkToFit="1"/>
    </xf>
    <xf numFmtId="0" fontId="24" fillId="0" borderId="4" applyAlignment="1" pivotButton="0" quotePrefix="0" xfId="0">
      <alignment horizontal="center" shrinkToFit="1"/>
    </xf>
    <xf numFmtId="0" fontId="24" fillId="0" borderId="10" applyAlignment="1" pivotButton="0" quotePrefix="0" xfId="0">
      <alignment horizontal="center" vertical="center" shrinkToFit="1"/>
    </xf>
    <xf numFmtId="0" fontId="24" fillId="0" borderId="5" applyAlignment="1" pivotButton="0" quotePrefix="0" xfId="0">
      <alignment horizontal="center" vertical="center" shrinkToFit="1"/>
    </xf>
    <xf numFmtId="0" fontId="24" fillId="0" borderId="3" applyAlignment="1" pivotButton="0" quotePrefix="0" xfId="0">
      <alignment horizontal="center" vertical="center" shrinkToFit="1"/>
    </xf>
    <xf numFmtId="0" fontId="24" fillId="0" borderId="19" applyAlignment="1" pivotButton="0" quotePrefix="0" xfId="0">
      <alignment horizontal="center" vertical="center" shrinkToFit="1"/>
    </xf>
    <xf numFmtId="0" fontId="24" fillId="0" borderId="1" applyAlignment="1" pivotButton="0" quotePrefix="0" xfId="0">
      <alignment horizontal="center" vertical="center" shrinkToFit="1"/>
    </xf>
    <xf numFmtId="0" fontId="24" fillId="0" borderId="8" applyAlignment="1" pivotButton="0" quotePrefix="0" xfId="0">
      <alignment horizontal="center" vertical="center" shrinkToFit="1"/>
    </xf>
    <xf numFmtId="0" fontId="24" fillId="0" borderId="9" applyAlignment="1" pivotButton="0" quotePrefix="0" xfId="0">
      <alignment horizontal="center" vertical="center" shrinkToFit="1"/>
    </xf>
    <xf numFmtId="0" fontId="24" fillId="0" borderId="4" applyAlignment="1" pivotButton="0" quotePrefix="0" xfId="0">
      <alignment horizontal="center" vertical="center" shrinkToFit="1"/>
    </xf>
    <xf numFmtId="0" fontId="9" fillId="4" borderId="14" applyAlignment="1" pivotButton="0" quotePrefix="0" xfId="0">
      <alignment horizontal="center" vertical="center"/>
    </xf>
    <xf numFmtId="0" fontId="9" fillId="4" borderId="9" applyAlignment="1" pivotButton="0" quotePrefix="0" xfId="0">
      <alignment horizontal="center" vertical="center"/>
    </xf>
    <xf numFmtId="0" fontId="65" fillId="0" borderId="0" applyAlignment="1" pivotButton="0" quotePrefix="0" xfId="11">
      <alignment horizontal="left"/>
    </xf>
    <xf numFmtId="168" fontId="59" fillId="0" borderId="0" applyAlignment="1" pivotButton="0" quotePrefix="0" xfId="9">
      <alignment horizontal="center"/>
    </xf>
    <xf numFmtId="168" fontId="62" fillId="0" borderId="0" applyAlignment="1" pivotButton="0" quotePrefix="0" xfId="9">
      <alignment horizontal="center"/>
    </xf>
    <xf numFmtId="0" fontId="53" fillId="0" borderId="4" applyAlignment="1" pivotButton="0" quotePrefix="0" xfId="8">
      <alignment horizontal="center"/>
    </xf>
    <xf numFmtId="180" fontId="58" fillId="0" borderId="4" applyAlignment="1" pivotButton="0" quotePrefix="0" xfId="8">
      <alignment horizontal="center"/>
    </xf>
    <xf numFmtId="180" fontId="58" fillId="0" borderId="28" applyAlignment="1" pivotButton="0" quotePrefix="0" xfId="8">
      <alignment horizontal="center"/>
    </xf>
    <xf numFmtId="180" fontId="58" fillId="0" borderId="29" applyAlignment="1" pivotButton="0" quotePrefix="0" xfId="8">
      <alignment horizontal="center"/>
    </xf>
    <xf numFmtId="0" fontId="61" fillId="0" borderId="0" applyAlignment="1" pivotButton="0" quotePrefix="0" xfId="11">
      <alignment horizontal="center"/>
    </xf>
    <xf numFmtId="0" fontId="63" fillId="0" borderId="0" applyAlignment="1" pivotButton="0" quotePrefix="0" xfId="11">
      <alignment horizontal="center"/>
    </xf>
    <xf numFmtId="0" fontId="38" fillId="0" borderId="0" applyAlignment="1" pivotButton="0" quotePrefix="0" xfId="8">
      <alignment horizontal="center"/>
    </xf>
    <xf numFmtId="0" fontId="41" fillId="0" borderId="0" applyAlignment="1" pivotButton="0" quotePrefix="0" xfId="8">
      <alignment horizontal="center"/>
    </xf>
    <xf numFmtId="0" fontId="50" fillId="0" borderId="20" applyAlignment="1" pivotButton="0" quotePrefix="0" xfId="8">
      <alignment horizontal="center"/>
    </xf>
    <xf numFmtId="0" fontId="50" fillId="0" borderId="21" applyAlignment="1" pivotButton="0" quotePrefix="0" xfId="8">
      <alignment horizontal="center"/>
    </xf>
    <xf numFmtId="0" fontId="50" fillId="0" borderId="22" applyAlignment="1" pivotButton="0" quotePrefix="0" xfId="8">
      <alignment horizontal="center"/>
    </xf>
    <xf numFmtId="0" fontId="52" fillId="0" borderId="4" applyAlignment="1" pivotButton="0" quotePrefix="0" xfId="8">
      <alignment horizontal="center"/>
    </xf>
    <xf numFmtId="0" fontId="53" fillId="0" borderId="8" applyAlignment="1" pivotButton="0" quotePrefix="0" xfId="8">
      <alignment horizontal="center"/>
    </xf>
    <xf numFmtId="0" fontId="53" fillId="0" borderId="3" applyAlignment="1" pivotButton="0" quotePrefix="0" xfId="8">
      <alignment horizontal="center"/>
    </xf>
    <xf numFmtId="168" fontId="62" fillId="0" borderId="0" applyAlignment="1" pivotButton="0" quotePrefix="0" xfId="8">
      <alignment horizontal="center" vertical="center"/>
    </xf>
    <xf numFmtId="0" fontId="52" fillId="0" borderId="14" applyAlignment="1" pivotButton="0" quotePrefix="0" xfId="8">
      <alignment horizontal="center" vertical="center"/>
    </xf>
    <xf numFmtId="0" fontId="52" fillId="0" borderId="17" applyAlignment="1" pivotButton="0" quotePrefix="0" xfId="8">
      <alignment horizontal="center" vertical="center"/>
    </xf>
    <xf numFmtId="0" fontId="52" fillId="0" borderId="9" applyAlignment="1" pivotButton="0" quotePrefix="0" xfId="8">
      <alignment horizontal="center" vertical="center"/>
    </xf>
    <xf numFmtId="174" fontId="84" fillId="0" borderId="0" applyAlignment="1" pivotButton="0" quotePrefix="0" xfId="1">
      <alignment horizontal="right" vertical="center"/>
    </xf>
    <xf numFmtId="168" fontId="78" fillId="0" borderId="0" applyAlignment="1" pivotButton="0" quotePrefix="0" xfId="1">
      <alignment horizontal="right" vertical="center" wrapText="1"/>
    </xf>
    <xf numFmtId="168" fontId="78" fillId="0" borderId="0" applyAlignment="1" pivotButton="0" quotePrefix="0" xfId="1">
      <alignment horizontal="right" vertical="center"/>
    </xf>
    <xf numFmtId="173" fontId="78" fillId="0" borderId="0" applyAlignment="1" pivotButton="0" quotePrefix="0" xfId="0">
      <alignment horizontal="left"/>
    </xf>
    <xf numFmtId="168" fontId="78" fillId="0" borderId="1" applyAlignment="1" pivotButton="0" quotePrefix="0" xfId="1">
      <alignment horizontal="right" vertical="center"/>
    </xf>
    <xf numFmtId="174" fontId="78" fillId="0" borderId="0" pivotButton="0" quotePrefix="0" xfId="1"/>
    <xf numFmtId="0" fontId="0" fillId="0" borderId="9" pivotButton="0" quotePrefix="0" xfId="0"/>
    <xf numFmtId="0" fontId="0" fillId="0" borderId="3" pivotButton="0" quotePrefix="0" xfId="0"/>
    <xf numFmtId="166" fontId="88" fillId="0" borderId="4" applyAlignment="1" pivotButton="0" quotePrefix="0" xfId="0">
      <alignment horizontal="center" vertical="center"/>
    </xf>
    <xf numFmtId="167" fontId="78" fillId="0" borderId="4" applyAlignment="1" pivotButton="0" quotePrefix="1" xfId="24">
      <alignment horizontal="right" vertical="center"/>
    </xf>
    <xf numFmtId="166" fontId="78" fillId="0" borderId="4" applyAlignment="1" pivotButton="0" quotePrefix="0" xfId="23">
      <alignment horizontal="center" vertical="center"/>
    </xf>
    <xf numFmtId="168" fontId="78" fillId="0" borderId="4" applyAlignment="1" pivotButton="0" quotePrefix="0" xfId="1">
      <alignment vertical="center"/>
    </xf>
    <xf numFmtId="177" fontId="78" fillId="0" borderId="4" applyAlignment="1" pivotButton="0" quotePrefix="0" xfId="29">
      <alignment horizontal="center" vertical="center"/>
    </xf>
    <xf numFmtId="166" fontId="78" fillId="0" borderId="4" applyAlignment="1" pivotButton="0" quotePrefix="0" xfId="29">
      <alignment horizontal="center" vertical="center"/>
    </xf>
    <xf numFmtId="167" fontId="78" fillId="0" borderId="4" applyAlignment="1" pivotButton="0" quotePrefix="1" xfId="24">
      <alignment horizontal="center" vertical="center"/>
    </xf>
    <xf numFmtId="174" fontId="78" fillId="0" borderId="4" applyAlignment="1" pivotButton="0" quotePrefix="0" xfId="1">
      <alignment horizontal="center" vertical="center"/>
    </xf>
    <xf numFmtId="168" fontId="78" fillId="0" borderId="4" applyAlignment="1" pivotButton="0" quotePrefix="0" xfId="1">
      <alignment horizontal="center" vertical="center"/>
    </xf>
    <xf numFmtId="0" fontId="0" fillId="0" borderId="17" pivotButton="0" quotePrefix="0" xfId="0"/>
    <xf numFmtId="174" fontId="80" fillId="4" borderId="4" applyAlignment="1" pivotButton="0" quotePrefix="0" xfId="1">
      <alignment vertical="center"/>
    </xf>
    <xf numFmtId="168" fontId="78" fillId="4" borderId="4" applyAlignment="1" pivotButton="0" quotePrefix="0" xfId="1">
      <alignment vertical="center"/>
    </xf>
    <xf numFmtId="172" fontId="79" fillId="0" borderId="0" pivotButton="0" quotePrefix="0" xfId="3"/>
    <xf numFmtId="172" fontId="78" fillId="0" borderId="0" pivotButton="0" quotePrefix="0" xfId="3"/>
    <xf numFmtId="174" fontId="78" fillId="0" borderId="1" applyAlignment="1" pivotButton="0" quotePrefix="0" xfId="1">
      <alignment horizontal="right"/>
    </xf>
    <xf numFmtId="0" fontId="0" fillId="0" borderId="1" pivotButton="0" quotePrefix="0" xfId="0"/>
    <xf numFmtId="166" fontId="84" fillId="0" borderId="4" applyAlignment="1" pivotButton="0" quotePrefix="0" xfId="23">
      <alignment horizontal="center" vertical="center"/>
    </xf>
    <xf numFmtId="167" fontId="84" fillId="0" borderId="4" applyAlignment="1" pivotButton="0" quotePrefix="1" xfId="24">
      <alignment horizontal="right" vertical="center"/>
    </xf>
    <xf numFmtId="168" fontId="84" fillId="0" borderId="4" applyAlignment="1" pivotButton="0" quotePrefix="0" xfId="1">
      <alignment vertical="center"/>
    </xf>
    <xf numFmtId="168" fontId="14" fillId="0" borderId="0" pivotButton="0" quotePrefix="0" xfId="0"/>
    <xf numFmtId="174" fontId="91" fillId="4" borderId="4" applyAlignment="1" pivotButton="0" quotePrefix="0" xfId="1">
      <alignment vertical="center"/>
    </xf>
    <xf numFmtId="168" fontId="84" fillId="4" borderId="4" applyAlignment="1" pivotButton="0" quotePrefix="0" xfId="1">
      <alignment vertical="center"/>
    </xf>
    <xf numFmtId="168" fontId="78" fillId="0" borderId="0" applyAlignment="1" pivotButton="0" quotePrefix="0" xfId="27">
      <alignment vertical="center"/>
    </xf>
    <xf numFmtId="168" fontId="77" fillId="0" borderId="0" applyAlignment="1" pivotButton="0" quotePrefix="0" xfId="1">
      <alignment vertical="center"/>
    </xf>
    <xf numFmtId="168" fontId="94" fillId="0" borderId="0" applyAlignment="1" pivotButton="0" quotePrefix="0" xfId="1">
      <alignment vertical="center"/>
    </xf>
    <xf numFmtId="168" fontId="92" fillId="0" borderId="0" applyAlignment="1" pivotButton="0" quotePrefix="0" xfId="1">
      <alignment vertical="top" wrapText="1"/>
    </xf>
    <xf numFmtId="168" fontId="92" fillId="0" borderId="0" applyAlignment="1" pivotButton="0" quotePrefix="0" xfId="1">
      <alignment horizontal="right" vertical="center" wrapText="1"/>
    </xf>
    <xf numFmtId="168" fontId="92" fillId="0" borderId="0" applyAlignment="1" pivotButton="0" quotePrefix="0" xfId="1">
      <alignment horizontal="right" vertical="center"/>
    </xf>
    <xf numFmtId="168" fontId="94" fillId="5" borderId="4" applyAlignment="1" pivotButton="0" quotePrefix="0" xfId="1">
      <alignment horizontal="center" vertical="center"/>
    </xf>
    <xf numFmtId="0" fontId="0" fillId="0" borderId="12" pivotButton="0" quotePrefix="0" xfId="0"/>
    <xf numFmtId="0" fontId="0" fillId="0" borderId="7" pivotButton="0" quotePrefix="0" xfId="0"/>
    <xf numFmtId="168" fontId="96" fillId="0" borderId="4" applyAlignment="1" pivotButton="0" quotePrefix="0" xfId="1">
      <alignment horizontal="center" vertical="center"/>
    </xf>
    <xf numFmtId="173" fontId="92" fillId="0" borderId="0" applyAlignment="1" pivotButton="0" quotePrefix="0" xfId="0">
      <alignment horizontal="left"/>
    </xf>
    <xf numFmtId="168" fontId="92" fillId="0" borderId="1" applyAlignment="1" pivotButton="0" quotePrefix="0" xfId="1">
      <alignment horizontal="right" vertical="center"/>
    </xf>
    <xf numFmtId="174" fontId="92" fillId="0" borderId="1" applyAlignment="1" pivotButton="0" quotePrefix="0" xfId="1">
      <alignment horizontal="center"/>
    </xf>
    <xf numFmtId="0" fontId="0" fillId="0" borderId="19" pivotButton="0" quotePrefix="0" xfId="0"/>
    <xf numFmtId="0" fontId="0" fillId="0" borderId="8" pivotButton="0" quotePrefix="0" xfId="0"/>
    <xf numFmtId="0" fontId="80" fillId="8" borderId="4" applyAlignment="1" pivotButton="0" quotePrefix="0" xfId="26">
      <alignment horizontal="center" vertical="center" wrapText="1"/>
    </xf>
    <xf numFmtId="168" fontId="82" fillId="8" borderId="19" applyAlignment="1" pivotButton="0" quotePrefix="0" xfId="1">
      <alignment horizontal="center" vertical="center"/>
    </xf>
    <xf numFmtId="0" fontId="81" fillId="8" borderId="4" applyAlignment="1" pivotButton="0" quotePrefix="0" xfId="26">
      <alignment horizontal="center" vertical="center" wrapText="1"/>
    </xf>
    <xf numFmtId="0" fontId="0" fillId="0" borderId="41" pivotButton="0" quotePrefix="0" xfId="0"/>
    <xf numFmtId="0" fontId="0" fillId="0" borderId="42" pivotButton="0" quotePrefix="0" xfId="0"/>
    <xf numFmtId="168" fontId="80" fillId="8" borderId="4" applyAlignment="1" pivotButton="0" quotePrefix="0" xfId="27">
      <alignment horizontal="center" vertical="center"/>
    </xf>
    <xf numFmtId="0" fontId="0" fillId="0" borderId="5" pivotButton="0" quotePrefix="0" xfId="0"/>
    <xf numFmtId="0" fontId="0" fillId="0" borderId="38" pivotButton="0" quotePrefix="0" xfId="0"/>
    <xf numFmtId="168" fontId="78" fillId="5" borderId="4" applyAlignment="1" pivotButton="0" quotePrefix="0" xfId="27">
      <alignment horizontal="center" vertical="center"/>
    </xf>
    <xf numFmtId="168" fontId="78" fillId="8" borderId="4" applyAlignment="1" pivotButton="0" quotePrefix="0" xfId="27">
      <alignment horizontal="center" vertical="center"/>
    </xf>
    <xf numFmtId="168" fontId="80" fillId="8" borderId="4" applyAlignment="1" pivotButton="0" quotePrefix="0" xfId="1">
      <alignment horizontal="center" vertical="center" wrapText="1"/>
    </xf>
    <xf numFmtId="168" fontId="77" fillId="13" borderId="4" applyAlignment="1" pivotButton="0" quotePrefix="0" xfId="1">
      <alignment horizontal="center" vertical="center"/>
    </xf>
    <xf numFmtId="168" fontId="77" fillId="12" borderId="4" applyAlignment="1" pivotButton="0" quotePrefix="0" xfId="27">
      <alignment vertical="center"/>
    </xf>
    <xf numFmtId="169" fontId="78" fillId="0" borderId="4" applyAlignment="1" pivotButton="0" quotePrefix="0" xfId="23">
      <alignment horizontal="center" vertical="center"/>
    </xf>
    <xf numFmtId="168" fontId="77" fillId="0" borderId="4" applyAlignment="1" pivotButton="0" quotePrefix="0" xfId="1">
      <alignment vertical="center"/>
    </xf>
    <xf numFmtId="168" fontId="77" fillId="0" borderId="4" applyAlignment="1" pivotButton="0" quotePrefix="0" xfId="27">
      <alignment vertical="center"/>
    </xf>
    <xf numFmtId="168" fontId="77" fillId="0" borderId="4" applyAlignment="1" pivotButton="0" quotePrefix="0" xfId="26">
      <alignment vertical="center"/>
    </xf>
    <xf numFmtId="179" fontId="97" fillId="0" borderId="0" pivotButton="0" quotePrefix="0" xfId="0"/>
    <xf numFmtId="175" fontId="78" fillId="3" borderId="4" applyAlignment="1" pivotButton="0" quotePrefix="0" xfId="26">
      <alignment horizontal="center" vertical="center" wrapText="1"/>
    </xf>
    <xf numFmtId="176" fontId="78" fillId="3" borderId="4" applyAlignment="1" pivotButton="0" quotePrefix="0" xfId="26">
      <alignment horizontal="center" vertical="center"/>
    </xf>
    <xf numFmtId="168" fontId="78" fillId="0" borderId="4" applyAlignment="1" pivotButton="0" quotePrefix="0" xfId="27">
      <alignment vertical="center"/>
    </xf>
    <xf numFmtId="168" fontId="77" fillId="0" borderId="4" pivotButton="0" quotePrefix="0" xfId="27"/>
    <xf numFmtId="174" fontId="82" fillId="0" borderId="4" applyAlignment="1" pivotButton="0" quotePrefix="0" xfId="27">
      <alignment vertical="center"/>
    </xf>
    <xf numFmtId="174" fontId="82" fillId="0" borderId="0" applyAlignment="1" pivotButton="0" quotePrefix="0" xfId="27">
      <alignment vertical="center"/>
    </xf>
    <xf numFmtId="168" fontId="77" fillId="0" borderId="0" pivotButton="0" quotePrefix="0" xfId="1"/>
    <xf numFmtId="168" fontId="83" fillId="0" borderId="0" pivotButton="0" quotePrefix="0" xfId="1"/>
    <xf numFmtId="174" fontId="77" fillId="0" borderId="4" applyAlignment="1" pivotButton="0" quotePrefix="0" xfId="27">
      <alignment vertical="center"/>
    </xf>
    <xf numFmtId="174" fontId="77" fillId="4" borderId="4" applyAlignment="1" pivotButton="0" quotePrefix="0" xfId="27">
      <alignment vertical="center"/>
    </xf>
    <xf numFmtId="174" fontId="82" fillId="4" borderId="4" applyAlignment="1" pivotButton="0" quotePrefix="0" xfId="27">
      <alignment vertical="center"/>
    </xf>
    <xf numFmtId="174" fontId="77" fillId="0" borderId="4" applyAlignment="1" pivotButton="0" quotePrefix="0" xfId="26">
      <alignment vertical="center" wrapText="1"/>
    </xf>
    <xf numFmtId="174" fontId="83" fillId="0" borderId="0" pivotButton="0" quotePrefix="0" xfId="26"/>
    <xf numFmtId="168" fontId="82" fillId="0" borderId="4" applyAlignment="1" pivotButton="0" quotePrefix="0" xfId="26">
      <alignment horizontal="center" vertical="center"/>
    </xf>
    <xf numFmtId="174" fontId="77" fillId="0" borderId="4" applyAlignment="1" pivotButton="0" quotePrefix="0" xfId="26">
      <alignment vertical="center"/>
    </xf>
    <xf numFmtId="168" fontId="77" fillId="0" borderId="0" applyAlignment="1" pivotButton="0" quotePrefix="0" xfId="26">
      <alignment horizontal="center" vertical="center"/>
    </xf>
    <xf numFmtId="168" fontId="78" fillId="0" borderId="0" applyAlignment="1" pivotButton="0" quotePrefix="0" xfId="1">
      <alignment horizontal="center" vertical="center" wrapText="1"/>
    </xf>
    <xf numFmtId="168" fontId="78" fillId="0" borderId="1" applyAlignment="1" pivotButton="0" quotePrefix="0" xfId="1">
      <alignment vertical="center"/>
    </xf>
    <xf numFmtId="178" fontId="84" fillId="9" borderId="4" applyAlignment="1" pivotButton="0" quotePrefix="0" xfId="23">
      <alignment horizontal="center" vertical="center"/>
    </xf>
    <xf numFmtId="174" fontId="84" fillId="9" borderId="4" pivotButton="0" quotePrefix="0" xfId="1"/>
    <xf numFmtId="0" fontId="91" fillId="4" borderId="4" applyAlignment="1" pivotButton="0" quotePrefix="0" xfId="0">
      <alignment horizontal="center"/>
    </xf>
    <xf numFmtId="174" fontId="80" fillId="4" borderId="4" pivotButton="0" quotePrefix="0" xfId="1"/>
    <xf numFmtId="174" fontId="33" fillId="0" borderId="0" pivotButton="0" quotePrefix="0" xfId="0"/>
    <xf numFmtId="172" fontId="78" fillId="0" borderId="0" applyAlignment="1" pivotButton="0" quotePrefix="0" xfId="3">
      <alignment horizontal="center" vertical="center"/>
    </xf>
    <xf numFmtId="168" fontId="92" fillId="0" borderId="0" applyAlignment="1" pivotButton="0" quotePrefix="0" xfId="1">
      <alignment horizontal="center" vertical="center" wrapText="1"/>
    </xf>
    <xf numFmtId="168" fontId="92" fillId="0" borderId="1" applyAlignment="1" pivotButton="0" quotePrefix="0" xfId="1">
      <alignment vertical="center"/>
    </xf>
    <xf numFmtId="174" fontId="92" fillId="0" borderId="0" pivotButton="0" quotePrefix="0" xfId="1"/>
    <xf numFmtId="168" fontId="92" fillId="0" borderId="0" applyAlignment="1" pivotButton="0" quotePrefix="0" xfId="1">
      <alignment vertical="center"/>
    </xf>
    <xf numFmtId="168" fontId="84" fillId="0" borderId="4" applyAlignment="1" pivotButton="0" quotePrefix="0" xfId="1">
      <alignment horizontal="center" vertical="center"/>
    </xf>
    <xf numFmtId="166" fontId="87" fillId="0" borderId="4" applyAlignment="1" pivotButton="0" quotePrefix="0" xfId="23">
      <alignment horizontal="center" vertical="center"/>
    </xf>
    <xf numFmtId="166" fontId="87" fillId="0" borderId="4" applyAlignment="1" pivotButton="0" quotePrefix="0" xfId="21">
      <alignment vertical="center"/>
    </xf>
    <xf numFmtId="172" fontId="76" fillId="0" borderId="0" pivotButton="0" quotePrefix="0" xfId="3"/>
    <xf numFmtId="165" fontId="20" fillId="5" borderId="4" applyAlignment="1" pivotButton="0" quotePrefix="0" xfId="3">
      <alignment horizontal="right" vertical="center"/>
    </xf>
    <xf numFmtId="165" fontId="20" fillId="7" borderId="4" applyAlignment="1" pivotButton="0" quotePrefix="0" xfId="3">
      <alignment horizontal="right" vertical="center"/>
    </xf>
    <xf numFmtId="169" fontId="12" fillId="7" borderId="4" applyAlignment="1" pivotButton="0" quotePrefix="0" xfId="0">
      <alignment horizontal="center" vertical="center"/>
    </xf>
    <xf numFmtId="168" fontId="12" fillId="7" borderId="4" applyAlignment="1" pivotButton="0" quotePrefix="0" xfId="1">
      <alignment horizontal="center" vertical="center"/>
    </xf>
    <xf numFmtId="168" fontId="18" fillId="7" borderId="10" applyAlignment="1" pivotButton="0" quotePrefix="0" xfId="1">
      <alignment horizontal="center" vertical="center" shrinkToFit="1"/>
    </xf>
    <xf numFmtId="165" fontId="20" fillId="5" borderId="4" applyAlignment="1" pivotButton="0" quotePrefix="0" xfId="3">
      <alignment horizontal="right" vertical="top"/>
    </xf>
    <xf numFmtId="165" fontId="20" fillId="7" borderId="4" applyAlignment="1" pivotButton="0" quotePrefix="0" xfId="3">
      <alignment horizontal="right" vertical="top"/>
    </xf>
    <xf numFmtId="168" fontId="27" fillId="7" borderId="4" applyAlignment="1" pivotButton="0" quotePrefix="0" xfId="1">
      <alignment horizontal="center" vertical="center"/>
    </xf>
    <xf numFmtId="166" fontId="20" fillId="0" borderId="4" applyAlignment="1" pivotButton="0" quotePrefix="0" xfId="0">
      <alignment horizontal="center" vertical="center" wrapText="1"/>
    </xf>
    <xf numFmtId="166" fontId="20" fillId="0" borderId="10" applyAlignment="1" pivotButton="0" quotePrefix="0" xfId="0">
      <alignment horizontal="center" vertical="center" wrapText="1"/>
    </xf>
    <xf numFmtId="165" fontId="20" fillId="5" borderId="10" applyAlignment="1" pivotButton="0" quotePrefix="0" xfId="3">
      <alignment horizontal="right" vertical="center"/>
    </xf>
    <xf numFmtId="165" fontId="20" fillId="7" borderId="10" applyAlignment="1" pivotButton="0" quotePrefix="0" xfId="3">
      <alignment horizontal="right" vertical="center"/>
    </xf>
    <xf numFmtId="168" fontId="18" fillId="0" borderId="10" applyAlignment="1" pivotButton="0" quotePrefix="0" xfId="1">
      <alignment horizontal="center" vertical="center" shrinkToFit="1"/>
    </xf>
    <xf numFmtId="164" fontId="21" fillId="7" borderId="4" applyAlignment="1" pivotButton="0" quotePrefix="0" xfId="3">
      <alignment horizontal="right" vertical="center"/>
    </xf>
    <xf numFmtId="167" fontId="8" fillId="7" borderId="4" applyAlignment="1" pivotButton="0" quotePrefix="0" xfId="0">
      <alignment horizontal="left" vertical="center"/>
    </xf>
    <xf numFmtId="167" fontId="8" fillId="7" borderId="4" applyAlignment="1" pivotButton="0" quotePrefix="0" xfId="0">
      <alignment horizontal="center" vertical="center"/>
    </xf>
    <xf numFmtId="164" fontId="28" fillId="7" borderId="4" applyAlignment="1" pivotButton="0" quotePrefix="0" xfId="3">
      <alignment horizontal="right" vertical="center"/>
    </xf>
    <xf numFmtId="168" fontId="18" fillId="7" borderId="4" applyAlignment="1" pivotButton="0" quotePrefix="0" xfId="1">
      <alignment horizontal="center" vertical="center" shrinkToFit="1"/>
    </xf>
    <xf numFmtId="0" fontId="25" fillId="0" borderId="4" applyAlignment="1" pivotButton="0" quotePrefix="0" xfId="0">
      <alignment horizontal="center" vertical="center" wrapText="1"/>
    </xf>
    <xf numFmtId="168" fontId="11" fillId="0" borderId="4" pivotButton="0" quotePrefix="0" xfId="1"/>
    <xf numFmtId="0" fontId="0" fillId="0" borderId="11" pivotButton="0" quotePrefix="0" xfId="0"/>
    <xf numFmtId="0" fontId="0" fillId="0" borderId="6" pivotButton="0" quotePrefix="0" xfId="0"/>
    <xf numFmtId="168" fontId="11" fillId="7" borderId="4" pivotButton="0" quotePrefix="0" xfId="1"/>
    <xf numFmtId="0" fontId="24" fillId="0" borderId="4" applyAlignment="1" pivotButton="0" quotePrefix="0" xfId="0">
      <alignment horizontal="center" vertical="center"/>
    </xf>
    <xf numFmtId="165" fontId="20" fillId="3" borderId="4" applyAlignment="1" pivotButton="0" quotePrefix="0" xfId="3">
      <alignment horizontal="right" vertical="center"/>
    </xf>
    <xf numFmtId="0" fontId="11" fillId="4" borderId="4" applyAlignment="1" pivotButton="0" quotePrefix="0" xfId="0">
      <alignment horizontal="center" vertical="center"/>
    </xf>
    <xf numFmtId="166" fontId="8" fillId="4" borderId="4" applyAlignment="1" pivotButton="0" quotePrefix="0" xfId="0">
      <alignment horizontal="center" vertical="center"/>
    </xf>
    <xf numFmtId="164" fontId="21" fillId="4" borderId="4" applyAlignment="1" pivotButton="0" quotePrefix="0" xfId="3">
      <alignment horizontal="right" vertical="center"/>
    </xf>
    <xf numFmtId="167" fontId="8" fillId="4" borderId="4" applyAlignment="1" pivotButton="0" quotePrefix="0" xfId="0">
      <alignment horizontal="left" vertical="center"/>
    </xf>
    <xf numFmtId="167" fontId="8" fillId="4" borderId="4" applyAlignment="1" pivotButton="0" quotePrefix="0" xfId="0">
      <alignment horizontal="center" vertical="center"/>
    </xf>
    <xf numFmtId="165" fontId="20" fillId="0" borderId="4" applyAlignment="1" pivotButton="0" quotePrefix="0" xfId="3">
      <alignment horizontal="right" vertical="top"/>
    </xf>
    <xf numFmtId="165" fontId="20" fillId="6" borderId="4" applyAlignment="1" pivotButton="0" quotePrefix="0" xfId="3">
      <alignment horizontal="right" vertical="center"/>
    </xf>
    <xf numFmtId="165" fontId="20" fillId="6" borderId="4" applyAlignment="1" pivotButton="0" quotePrefix="0" xfId="3">
      <alignment horizontal="right" vertical="top"/>
    </xf>
    <xf numFmtId="165" fontId="20" fillId="6" borderId="4" applyAlignment="1" pivotButton="0" quotePrefix="0" xfId="3">
      <alignment horizontal="center" vertical="center"/>
    </xf>
    <xf numFmtId="0" fontId="9" fillId="4" borderId="4" applyAlignment="1" pivotButton="0" quotePrefix="0" xfId="0">
      <alignment horizontal="center" vertical="center"/>
    </xf>
    <xf numFmtId="168" fontId="62" fillId="0" borderId="0" pivotButton="0" quotePrefix="0" xfId="9"/>
    <xf numFmtId="0" fontId="0" fillId="0" borderId="21" pivotButton="0" quotePrefix="0" xfId="0"/>
    <xf numFmtId="0" fontId="0" fillId="0" borderId="49" pivotButton="0" quotePrefix="0" xfId="0"/>
    <xf numFmtId="168" fontId="52" fillId="0" borderId="4" pivotButton="0" quotePrefix="0" xfId="9"/>
    <xf numFmtId="168" fontId="52" fillId="0" borderId="3" pivotButton="0" quotePrefix="0" xfId="9"/>
    <xf numFmtId="166" fontId="30" fillId="0" borderId="13" applyAlignment="1" pivotButton="0" quotePrefix="0" xfId="8">
      <alignment horizontal="center"/>
    </xf>
    <xf numFmtId="168" fontId="30" fillId="0" borderId="4" applyAlignment="1" pivotButton="0" quotePrefix="0" xfId="9">
      <alignment horizontal="center" vertical="center"/>
    </xf>
    <xf numFmtId="168" fontId="30" fillId="0" borderId="27" applyAlignment="1" pivotButton="0" quotePrefix="0" xfId="9">
      <alignment horizontal="center" vertical="center"/>
    </xf>
    <xf numFmtId="180" fontId="58" fillId="0" borderId="4" applyAlignment="1" pivotButton="0" quotePrefix="0" xfId="8">
      <alignment horizontal="center"/>
    </xf>
    <xf numFmtId="168" fontId="58" fillId="0" borderId="4" applyAlignment="1" pivotButton="0" quotePrefix="0" xfId="9">
      <alignment horizontal="center" vertical="center"/>
    </xf>
    <xf numFmtId="168" fontId="54" fillId="0" borderId="4" applyAlignment="1" pivotButton="0" quotePrefix="0" xfId="9">
      <alignment horizontal="center" vertical="center"/>
    </xf>
    <xf numFmtId="168" fontId="58" fillId="0" borderId="27" applyAlignment="1" pivotButton="0" quotePrefix="0" xfId="9">
      <alignment horizontal="center" vertical="center"/>
    </xf>
    <xf numFmtId="180" fontId="58" fillId="0" borderId="28" applyAlignment="1" pivotButton="0" quotePrefix="0" xfId="8">
      <alignment horizontal="center"/>
    </xf>
    <xf numFmtId="0" fontId="0" fillId="0" borderId="45" pivotButton="0" quotePrefix="0" xfId="0"/>
    <xf numFmtId="0" fontId="0" fillId="0" borderId="46" pivotButton="0" quotePrefix="0" xfId="0"/>
    <xf numFmtId="168" fontId="58" fillId="0" borderId="32" applyAlignment="1" pivotButton="0" quotePrefix="0" xfId="9">
      <alignment horizontal="center" vertical="center"/>
    </xf>
    <xf numFmtId="164" fontId="54" fillId="0" borderId="32" applyAlignment="1" pivotButton="0" quotePrefix="0" xfId="10">
      <alignment horizontal="center" vertical="center"/>
    </xf>
    <xf numFmtId="164" fontId="55" fillId="0" borderId="32" applyAlignment="1" pivotButton="0" quotePrefix="0" xfId="10">
      <alignment horizontal="center" vertical="center"/>
    </xf>
    <xf numFmtId="164" fontId="54" fillId="0" borderId="33" applyAlignment="1" pivotButton="0" quotePrefix="0" xfId="10">
      <alignment horizontal="center" vertical="center"/>
    </xf>
    <xf numFmtId="168" fontId="55" fillId="0" borderId="0" applyAlignment="1" pivotButton="0" quotePrefix="0" xfId="9">
      <alignment horizontal="center"/>
    </xf>
    <xf numFmtId="168" fontId="55" fillId="0" borderId="0" pivotButton="0" quotePrefix="0" xfId="9"/>
    <xf numFmtId="168" fontId="42" fillId="0" borderId="0" applyAlignment="1" pivotButton="0" quotePrefix="0" xfId="9">
      <alignment vertical="center"/>
    </xf>
    <xf numFmtId="168" fontId="64" fillId="0" borderId="0" pivotButton="0" quotePrefix="0" xfId="11"/>
    <xf numFmtId="171" fontId="67" fillId="0" borderId="0" applyAlignment="1" pivotButton="0" quotePrefix="0" xfId="17">
      <alignment vertical="center"/>
    </xf>
    <xf numFmtId="168" fontId="62" fillId="0" borderId="0" applyAlignment="1" pivotButton="0" quotePrefix="0" xfId="8">
      <alignment vertical="center"/>
    </xf>
    <xf numFmtId="168" fontId="0" fillId="0" borderId="0" pivotButton="0" quotePrefix="0" xfId="9"/>
    <xf numFmtId="168" fontId="72" fillId="0" borderId="0" applyAlignment="1" pivotButton="0" quotePrefix="0" xfId="8">
      <alignment horizontal="left" vertical="center"/>
    </xf>
    <xf numFmtId="168" fontId="59" fillId="0" borderId="0" pivotButton="0" quotePrefix="0" xfId="1"/>
    <xf numFmtId="168" fontId="59" fillId="0" borderId="0" pivotButton="0" quotePrefix="0" xfId="9"/>
    <xf numFmtId="168" fontId="59" fillId="0" borderId="0" applyAlignment="1" pivotButton="0" quotePrefix="0" xfId="1">
      <alignment vertical="center"/>
    </xf>
    <xf numFmtId="168" fontId="59" fillId="0" borderId="0" applyAlignment="1" pivotButton="0" quotePrefix="0" xfId="1">
      <alignment horizontal="right"/>
    </xf>
    <xf numFmtId="168" fontId="59" fillId="0" borderId="34" applyAlignment="1" pivotButton="0" quotePrefix="0" xfId="1">
      <alignment horizontal="right"/>
    </xf>
    <xf numFmtId="168" fontId="59" fillId="0" borderId="0" applyAlignment="1" pivotButton="0" quotePrefix="0" xfId="9">
      <alignment vertical="center"/>
    </xf>
    <xf numFmtId="168" fontId="59" fillId="0" borderId="0" applyAlignment="1" pivotButton="0" quotePrefix="0" xfId="9">
      <alignment horizontal="right"/>
    </xf>
    <xf numFmtId="168" fontId="59" fillId="0" borderId="0" applyAlignment="1" pivotButton="0" quotePrefix="0" xfId="9">
      <alignment horizontal="center"/>
    </xf>
    <xf numFmtId="168" fontId="59" fillId="0" borderId="0" applyAlignment="1" pivotButton="0" quotePrefix="0" xfId="8">
      <alignment vertical="center"/>
    </xf>
    <xf numFmtId="168" fontId="62" fillId="0" borderId="0" applyAlignment="1" pivotButton="0" quotePrefix="0" xfId="9">
      <alignment horizontal="center"/>
    </xf>
    <xf numFmtId="171" fontId="67" fillId="0" borderId="0" applyAlignment="1" pivotButton="0" quotePrefix="0" xfId="16">
      <alignment vertical="center"/>
    </xf>
    <xf numFmtId="168" fontId="62" fillId="0" borderId="0" applyAlignment="1" pivotButton="0" quotePrefix="0" xfId="8">
      <alignment horizontal="center" vertical="center"/>
    </xf>
    <xf numFmtId="168" fontId="30" fillId="0" borderId="14" pivotButton="0" quotePrefix="0" xfId="9"/>
    <xf numFmtId="168" fontId="58" fillId="0" borderId="30" applyAlignment="1" pivotButton="0" quotePrefix="0" xfId="9">
      <alignment vertical="center"/>
    </xf>
    <xf numFmtId="168" fontId="58" fillId="0" borderId="31" applyAlignment="1" pivotButton="0" quotePrefix="0" xfId="9">
      <alignment vertical="center"/>
    </xf>
    <xf numFmtId="171" fontId="67" fillId="0" borderId="0" applyAlignment="1" pivotButton="0" quotePrefix="0" xfId="12">
      <alignment vertical="center"/>
    </xf>
  </cellXfs>
  <cellStyles count="47">
    <cellStyle name="Normal" xfId="0" builtinId="0"/>
    <cellStyle name="Comma" xfId="1" builtinId="3"/>
    <cellStyle name="Comma 2" xfId="2"/>
    <cellStyle name="Currency" xfId="3" builtinId="4"/>
    <cellStyle name="Normal 2" xfId="4"/>
    <cellStyle name="Normal 3" xfId="5"/>
    <cellStyle name="Normal 3 2" xfId="6"/>
    <cellStyle name="Style 1" xfId="7"/>
    <cellStyle name="Normal 4" xfId="8"/>
    <cellStyle name="Comma 3" xfId="9"/>
    <cellStyle name="Currency 2" xfId="10"/>
    <cellStyle name="常规_Sheet1" xfId="11"/>
    <cellStyle name="千位分隔_Sheet1" xfId="12"/>
    <cellStyle name="一般" xfId="13"/>
    <cellStyle name="千位分隔 30" xfId="14"/>
    <cellStyle name="千位分隔 32" xfId="15"/>
    <cellStyle name="千位分隔_Sheet1 2" xfId="16"/>
    <cellStyle name="千位分隔_Sheet1 3" xfId="17"/>
    <cellStyle name="Normal 18" xfId="18"/>
    <cellStyle name="Comma 10" xfId="19"/>
    <cellStyle name="%_WHT .Return" xfId="20"/>
    <cellStyle name="Comma 2 2 3" xfId="21"/>
    <cellStyle name="Comma 10 3" xfId="22"/>
    <cellStyle name="Normal_PJ0406" xfId="23"/>
    <cellStyle name="Normal_PJ0506" xfId="24"/>
    <cellStyle name="Normal 2 2" xfId="25"/>
    <cellStyle name="Normal 5" xfId="26"/>
    <cellStyle name="Comma 4" xfId="27"/>
    <cellStyle name="Percent 2" xfId="28"/>
    <cellStyle name="Normal_Oct 04" xfId="29"/>
    <cellStyle name="Normal 6" xfId="30"/>
    <cellStyle name="Percent" xfId="31" builtinId="5"/>
    <cellStyle name="Normal 7" xfId="32"/>
    <cellStyle name="Comma 2 2" xfId="33"/>
    <cellStyle name="Normal 2 4" xfId="34"/>
    <cellStyle name="Normal 3 3" xfId="35"/>
    <cellStyle name="Normal 3 2 2" xfId="36"/>
    <cellStyle name="Normal 4 2" xfId="37"/>
    <cellStyle name="Comma 3 2" xfId="38"/>
    <cellStyle name="Currency 2 2" xfId="39"/>
    <cellStyle name="Normal 5 3" xfId="40"/>
    <cellStyle name="Comma 4 2" xfId="41"/>
    <cellStyle name="Percent 2 2" xfId="42"/>
    <cellStyle name="Normal 6 2" xfId="43"/>
    <cellStyle name="Percent 3" xfId="44"/>
    <cellStyle name="Normal 2 3" xfId="45"/>
    <cellStyle name="Normal 5 2" xfId="46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externalLink" Target="/xl/externalLinks/externalLink1.xml" Id="rId15"/><Relationship Type="http://schemas.openxmlformats.org/officeDocument/2006/relationships/externalLink" Target="/xl/externalLinks/externalLink2.xml" Id="rId16"/><Relationship Type="http://schemas.openxmlformats.org/officeDocument/2006/relationships/externalLink" Target="/xl/externalLinks/externalLink3.xml" Id="rId17"/><Relationship Type="http://schemas.openxmlformats.org/officeDocument/2006/relationships/externalLink" Target="/xl/externalLinks/externalLink4.xml" Id="rId18"/><Relationship Type="http://schemas.openxmlformats.org/officeDocument/2006/relationships/externalLink" Target="/xl/externalLinks/externalLink5.xml" Id="rId19"/><Relationship Type="http://schemas.openxmlformats.org/officeDocument/2006/relationships/externalLink" Target="/xl/externalLinks/externalLink6.xml" Id="rId20"/><Relationship Type="http://schemas.openxmlformats.org/officeDocument/2006/relationships/externalLink" Target="/xl/externalLinks/externalLink7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comments/comment1.xml><?xml version="1.0" encoding="utf-8"?>
<comments xmlns="http://schemas.openxmlformats.org/spreadsheetml/2006/main">
  <authors>
    <author>Lenovo</author>
  </authors>
  <commentList>
    <comment ref="K3" authorId="0" shapeId="0">
      <text>
        <t>Leno</t>
      </text>
    </comment>
  </commentList>
</comments>
</file>

<file path=xl/comments/comment2.xml><?xml version="1.0" encoding="utf-8"?>
<comments xmlns="http://schemas.openxmlformats.org/spreadsheetml/2006/main">
  <authors>
    <author>Lenovo</author>
  </authors>
  <commentList>
    <comment ref="K3" authorId="0" shapeId="0">
      <text>
        <t>Leno</t>
      </text>
    </comment>
  </commentList>
</comments>
</file>

<file path=xl/comments/comment3.xml><?xml version="1.0" encoding="utf-8"?>
<comments xmlns="http://schemas.openxmlformats.org/spreadsheetml/2006/main">
  <authors>
    <author>Lenovo</author>
  </authors>
  <commentList>
    <comment ref="L3" authorId="0" shapeId="0">
      <text>
        <t>Leno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file:///H:\MSOffice\Excel\ARBEIT\UPL\UPL-PLPA.XLS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O:\Users\DarySo\AppData\Local\Microsoft\Windows\Temporary%20Internet%20Files\Content.Outlook\R252VFRG\Documents%20and%20Settings\lpauline.VN\Local%20Settings\Temp\KPMG05-Info%20require%20for%20preparing%20Sal%20tax-S1412-LPL.xls" TargetMode="External" Id="rId1"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file:///A:\HH-AUDIT\OLY017\DIAGNOST\ENGLISCH\OLYMPUS\ANLAGEN.XLS" TargetMode="External" Id="rId1"/></Relationships>
</file>

<file path=xl/externalLinks/_rels/externalLink4.xml.rels><Relationships xmlns="http://schemas.openxmlformats.org/package/2006/relationships"><Relationship Type="http://schemas.microsoft.com/office/2006/relationships/xlExternalLinkPath/xlPathMissing" Target="Purchase%20Order1" TargetMode="External" Id="rId1"/></Relationships>
</file>

<file path=xl/externalLinks/_rels/externalLink5.xml.rels><Relationships xmlns="http://schemas.openxmlformats.org/package/2006/relationships"><Relationship Type="http://schemas.openxmlformats.org/officeDocument/2006/relationships/externalLinkPath" Target="file:///S:\QA%20report\Financial\Sale%20report_for%20accounting_Version%202.xls" TargetMode="External" Id="rId1"/></Relationships>
</file>

<file path=xl/externalLinks/_rels/externalLink6.xml.rels><Relationships xmlns="http://schemas.openxmlformats.org/package/2006/relationships"><Relationship Type="http://schemas.openxmlformats.org/officeDocument/2006/relationships/externalLinkPath" Target="file:///A:\GC-A\SoF_UPL00\SoF%20Company\UPL-PLPA.XLS" TargetMode="External" Id="rId1"/></Relationships>
</file>

<file path=xl/externalLinks/_rels/externalLink7.xml.rels><Relationships xmlns="http://schemas.openxmlformats.org/package/2006/relationships"><Relationship Type="http://schemas.openxmlformats.org/officeDocument/2006/relationships/externalLinkPath" Target="file:///D:\Documents%20and%20Settings\lpauline.VN\Local%20Settings\Temp\KPMG05-Info%20require%20for%20preparing%20Sal%20tax-S1412-LPL.xls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Company Related Premises"/>
      <sheetName val="S. 5"/>
    </sheetNames>
    <sheetDataSet>
      <sheetData sheetId="0"/>
      <sheetData sheetId="1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al tax"/>
      <sheetName val="Sheet"/>
      <sheetName val="Sal_tax"/>
      <sheetName val="Sal_tax1"/>
      <sheetName val="Sal_tax2"/>
      <sheetName val="Sal_tax3"/>
      <sheetName val="Sal_tax4"/>
      <sheetName val="Purchase Journal"/>
      <sheetName val="cost27-09-08"/>
      <sheetName val="Dist-AD"/>
      <sheetName val="Sal_tax5"/>
      <sheetName val="Sal_tax6"/>
      <sheetName val="Sal_tax7"/>
      <sheetName val="Sal_tax8"/>
      <sheetName val="Purchase_Journal"/>
      <sheetName val="Sal_tax9"/>
      <sheetName val="Purchase_Journal1"/>
      <sheetName val="NOTED"/>
      <sheetName val="Dropdown data"/>
      <sheetName val="cwip on 31.03.2003"/>
      <sheetName val="Purchase"/>
      <sheetName val="차수"/>
      <sheetName val="FO1"/>
      <sheetName val="Cost"/>
      <sheetName val="Sal_tax10"/>
      <sheetName val="Purchase_Journal2"/>
      <sheetName val="Sheet8"/>
      <sheetName val="Exchange"/>
      <sheetName val="Plan"/>
      <sheetName val="Sal_tax11"/>
      <sheetName val="Purchase_Journal3"/>
      <sheetName val="SFBT"/>
      <sheetName val="Vendor"/>
      <sheetName val="COA"/>
      <sheetName val="v (104)"/>
      <sheetName val="v (103)"/>
      <sheetName val="v (105)"/>
      <sheetName val="v (106)"/>
      <sheetName val="v (107)"/>
      <sheetName val="v (108)"/>
      <sheetName val="v (109)"/>
      <sheetName val="v (110)"/>
      <sheetName val="v (111)"/>
      <sheetName val="v (112)"/>
      <sheetName val="v (113)"/>
      <sheetName val="v (114)"/>
      <sheetName val="v (115)"/>
      <sheetName val="v (116)"/>
      <sheetName val="v (117)"/>
      <sheetName val="v (118)"/>
      <sheetName val="v (119)"/>
      <sheetName val="v (120)"/>
      <sheetName val="v (121)"/>
      <sheetName val="v (122)"/>
      <sheetName val="v (123)"/>
      <sheetName val="v (124)"/>
      <sheetName val="v (125)"/>
      <sheetName val="v (126)"/>
      <sheetName val="v (127)"/>
      <sheetName val="v (128)"/>
      <sheetName val="v (129)"/>
      <sheetName val="v (130)"/>
      <sheetName val="v (131)"/>
      <sheetName val="v (132)"/>
      <sheetName val="v (133)"/>
      <sheetName val="v (134)"/>
      <sheetName val="v (135)"/>
      <sheetName val="v (136)"/>
      <sheetName val="Sheet10"/>
      <sheetName val="AC17"/>
      <sheetName val="Main Cash"/>
      <sheetName val="Collection"/>
      <sheetName val="Glo_Sales"/>
      <sheetName val="Global"/>
      <sheetName val="Global mth"/>
      <sheetName val="Summary"/>
      <sheetName val="Data Entry"/>
      <sheetName val="mktgwise"/>
      <sheetName val="PBCMemberwise"/>
      <sheetName val="Sheet1"/>
      <sheetName val="april2005"/>
      <sheetName val="nhan cong"/>
      <sheetName val="Stock-06"/>
      <sheetName val="SCE_13"/>
      <sheetName val="2016-12"/>
      <sheetName val="2002"/>
      <sheetName val="Tax Depre"/>
      <sheetName val="Budgets"/>
      <sheetName val="OPL98 - SKK Dec98"/>
      <sheetName val="SCE_12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 refreshError="1"/>
      <sheetData sheetId="27" refreshError="1"/>
      <sheetData sheetId="28" refreshError="1"/>
      <sheetData sheetId="29"/>
      <sheetData sheetId="30"/>
      <sheetData sheetId="31" refreshError="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Anlagevermögen"/>
    </sheetNames>
    <sheetDataSet>
      <sheetData sheetId="0">
        <row r="1">
          <cell r="Z1" t="str">
            <v>EXHIBIT 3</v>
          </cell>
        </row>
        <row r="2">
          <cell r="Z2" t="str">
            <v>Page 3</v>
          </cell>
        </row>
        <row r="5">
          <cell r="C5" t="str">
            <v>Statement of fixed assets movements</v>
          </cell>
        </row>
        <row r="10">
          <cell r="D10" t="str">
            <v>AQUISITION COST</v>
          </cell>
          <cell r="N10" t="str">
            <v>ACCUMULATED DEPRECIATION</v>
          </cell>
          <cell r="X10" t="str">
            <v>NET BOOK VALUE</v>
          </cell>
        </row>
        <row r="11">
          <cell r="J11" t="str">
            <v xml:space="preserve">Exchange </v>
          </cell>
          <cell r="T11" t="str">
            <v>Exchange</v>
          </cell>
        </row>
        <row r="12">
          <cell r="D12" t="str">
            <v>April 1, 1995</v>
          </cell>
          <cell r="F12" t="str">
            <v>Additions</v>
          </cell>
          <cell r="H12" t="str">
            <v>Disposals</v>
          </cell>
          <cell r="J12" t="str">
            <v>Difference</v>
          </cell>
          <cell r="L12" t="str">
            <v>March 31, 1996</v>
          </cell>
          <cell r="N12" t="str">
            <v>April 1, 1995</v>
          </cell>
          <cell r="P12" t="str">
            <v>Additions</v>
          </cell>
          <cell r="R12" t="str">
            <v>Disposals</v>
          </cell>
          <cell r="T12" t="str">
            <v>Difference</v>
          </cell>
          <cell r="V12" t="str">
            <v>March 31, 1996</v>
          </cell>
          <cell r="X12" t="str">
            <v>March 31, 1996</v>
          </cell>
          <cell r="Z12" t="str">
            <v>March 31, 1995</v>
          </cell>
        </row>
        <row r="13">
          <cell r="D13" t="str">
            <v>DM</v>
          </cell>
          <cell r="F13" t="str">
            <v>DM</v>
          </cell>
          <cell r="H13" t="str">
            <v>DM</v>
          </cell>
          <cell r="J13" t="str">
            <v>DM</v>
          </cell>
          <cell r="L13" t="str">
            <v>DM</v>
          </cell>
          <cell r="N13" t="str">
            <v>DM</v>
          </cell>
          <cell r="P13" t="str">
            <v>DM</v>
          </cell>
          <cell r="R13" t="str">
            <v>DM</v>
          </cell>
          <cell r="T13" t="str">
            <v>DM</v>
          </cell>
          <cell r="V13" t="str">
            <v>DM</v>
          </cell>
          <cell r="X13" t="str">
            <v>DM</v>
          </cell>
          <cell r="Z13" t="str">
            <v>DM</v>
          </cell>
        </row>
        <row r="15">
          <cell r="A15" t="str">
            <v>I.</v>
          </cell>
          <cell r="B15" t="str">
            <v>INTANGIBLE ASSETS</v>
          </cell>
        </row>
        <row r="17">
          <cell r="C17" t="str">
            <v>Franchises, trademarks, patents, licences, and similar rights and licences to such rights</v>
          </cell>
          <cell r="D17">
            <v>1177602</v>
          </cell>
          <cell r="F17">
            <v>535543</v>
          </cell>
          <cell r="H17">
            <v>0</v>
          </cell>
          <cell r="J17">
            <v>33507</v>
          </cell>
          <cell r="L17">
            <v>1746652</v>
          </cell>
          <cell r="N17">
            <v>1169056</v>
          </cell>
          <cell r="P17">
            <v>518223</v>
          </cell>
          <cell r="R17">
            <v>0</v>
          </cell>
          <cell r="T17">
            <v>33508</v>
          </cell>
          <cell r="V17">
            <v>1720787</v>
          </cell>
          <cell r="X17">
            <v>25865</v>
          </cell>
          <cell r="Z17">
            <v>8546</v>
          </cell>
        </row>
        <row r="20">
          <cell r="A20" t="str">
            <v>II.</v>
          </cell>
          <cell r="B20" t="str">
            <v>PROPERTY, PLANT AND EQUIPMENT</v>
          </cell>
        </row>
        <row r="22">
          <cell r="B22" t="str">
            <v>1.</v>
          </cell>
          <cell r="C22" t="str">
            <v>Land, leasehold rights and buildings,</v>
          </cell>
        </row>
        <row r="23">
          <cell r="C23" t="str">
            <v>including buildings on non-owned land</v>
          </cell>
          <cell r="D23">
            <v>5044829</v>
          </cell>
          <cell r="F23">
            <v>0</v>
          </cell>
          <cell r="H23">
            <v>0</v>
          </cell>
          <cell r="J23">
            <v>147080</v>
          </cell>
          <cell r="L23">
            <v>5191909</v>
          </cell>
          <cell r="N23">
            <v>2608657</v>
          </cell>
          <cell r="P23">
            <v>129397</v>
          </cell>
          <cell r="R23">
            <v>0</v>
          </cell>
          <cell r="T23">
            <v>77093</v>
          </cell>
          <cell r="V23">
            <v>2815147</v>
          </cell>
          <cell r="X23">
            <v>2376762</v>
          </cell>
          <cell r="Z23">
            <v>2436172</v>
          </cell>
        </row>
        <row r="24">
          <cell r="B24" t="str">
            <v>2.</v>
          </cell>
          <cell r="C24" t="str">
            <v xml:space="preserve">Other equipment, operational and </v>
          </cell>
        </row>
        <row r="25">
          <cell r="C25" t="str">
            <v>office equipment</v>
          </cell>
          <cell r="D25">
            <v>11635933</v>
          </cell>
          <cell r="F25">
            <v>4656110</v>
          </cell>
          <cell r="H25">
            <v>-1917556</v>
          </cell>
          <cell r="J25">
            <v>245073</v>
          </cell>
          <cell r="L25">
            <v>14619560</v>
          </cell>
          <cell r="N25">
            <v>8181318</v>
          </cell>
          <cell r="P25">
            <v>2348299</v>
          </cell>
          <cell r="R25">
            <v>-827341</v>
          </cell>
          <cell r="T25">
            <v>201854</v>
          </cell>
          <cell r="V25">
            <v>9904130</v>
          </cell>
          <cell r="X25">
            <v>4715430</v>
          </cell>
          <cell r="Z25">
            <v>3454615</v>
          </cell>
        </row>
        <row r="27">
          <cell r="D27">
            <v>16680762</v>
          </cell>
          <cell r="F27">
            <v>4656110</v>
          </cell>
          <cell r="H27">
            <v>-1917556</v>
          </cell>
          <cell r="J27">
            <v>392153</v>
          </cell>
          <cell r="L27">
            <v>19811469</v>
          </cell>
          <cell r="N27">
            <v>10789975.140000001</v>
          </cell>
          <cell r="P27">
            <v>2477696</v>
          </cell>
          <cell r="R27">
            <v>-827341</v>
          </cell>
          <cell r="T27">
            <v>278947</v>
          </cell>
          <cell r="V27">
            <v>12719277.140000001</v>
          </cell>
          <cell r="X27">
            <v>7092192</v>
          </cell>
          <cell r="Z27">
            <v>5890787</v>
          </cell>
        </row>
        <row r="29">
          <cell r="D29">
            <v>17858363.649999999</v>
          </cell>
          <cell r="F29">
            <v>5191653</v>
          </cell>
          <cell r="H29">
            <v>-1917556</v>
          </cell>
          <cell r="I29">
            <v>0</v>
          </cell>
          <cell r="J29">
            <v>425660</v>
          </cell>
          <cell r="L29">
            <v>21558121</v>
          </cell>
          <cell r="N29">
            <v>11959031.140000001</v>
          </cell>
          <cell r="O29">
            <v>0</v>
          </cell>
          <cell r="P29">
            <v>2995919</v>
          </cell>
          <cell r="Q29">
            <v>0</v>
          </cell>
          <cell r="R29">
            <v>-827341</v>
          </cell>
          <cell r="S29">
            <v>0</v>
          </cell>
          <cell r="T29">
            <v>312455</v>
          </cell>
          <cell r="U29">
            <v>0</v>
          </cell>
          <cell r="V29">
            <v>14440064.140000001</v>
          </cell>
          <cell r="X29">
            <v>7118057</v>
          </cell>
          <cell r="Y29">
            <v>0</v>
          </cell>
          <cell r="Z29">
            <v>5899333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AutoOpen Stub Data"/>
      <sheetName val="Customize Your Purchase Order"/>
      <sheetName val="Purchase Order"/>
      <sheetName val="Macros"/>
      <sheetName val="ATW"/>
      <sheetName val="Lock"/>
      <sheetName val="Intl Data Table"/>
      <sheetName val="TemplateInformation"/>
      <sheetName val="Purchase Order1"/>
      <sheetName val="Loan Amortization Schedule"/>
      <sheetName val="APR'09"/>
      <sheetName val="Customize_Your_Purchase_Order"/>
      <sheetName val="Purchase_Order"/>
      <sheetName val="AutoOpen_Stub_Data"/>
      <sheetName val="Customize_Your_Purchase_Order1"/>
      <sheetName val="Purchase_Order1"/>
      <sheetName val="Intl_Data_Table"/>
      <sheetName val="Purchase_Order11"/>
      <sheetName val="Loan_Amortization_Schedule"/>
      <sheetName val="Customize_Your_Purchase_Order2"/>
      <sheetName val="Purchase_Order2"/>
      <sheetName val="AutoOpen_Stub_Data1"/>
      <sheetName val="Customize_Your_Purchase_Order3"/>
      <sheetName val="Purchase_Order3"/>
      <sheetName val="Intl_Data_Table1"/>
      <sheetName val="Purchase_Order12"/>
      <sheetName val="Loan_Amortization_Schedule1"/>
      <sheetName val="Customize_Your_Purchase_Order4"/>
      <sheetName val="Purchase_Order4"/>
      <sheetName val="DETAIL "/>
      <sheetName val="List"/>
      <sheetName val="Boq(1)"/>
      <sheetName val="外気負荷"/>
      <sheetName val="C-LOAD(L-FACTORY.)"/>
      <sheetName val="summary"/>
      <sheetName val="SAN REDUCED 1"/>
      <sheetName val="covere"/>
      <sheetName val="SH-D"/>
      <sheetName val="SH-G"/>
      <sheetName val="ค่าวัสดุ"/>
      <sheetName val="SH-E"/>
      <sheetName val="SH-C"/>
      <sheetName val="Defect Report(M&amp;E)"/>
      <sheetName val="EXF"/>
      <sheetName val="Code"/>
      <sheetName val="Price per model"/>
      <sheetName val="建築代価"/>
      <sheetName val="Data"/>
      <sheetName val="SOURCE"/>
      <sheetName val="A กลาง"/>
      <sheetName val="A กลาง เกสร"/>
      <sheetName val="A แฝด"/>
      <sheetName val="A ริม"/>
      <sheetName val="B กลาง"/>
      <sheetName val="B ริม"/>
      <sheetName val="B แฝด"/>
      <sheetName val="C กลาง"/>
      <sheetName val="C ริม"/>
      <sheetName val="C แฝด"/>
      <sheetName val="สรุป"/>
      <sheetName val="เอกสารแนบ"/>
      <sheetName val="SOR"/>
      <sheetName val="cov-estimate"/>
      <sheetName val="040"/>
      <sheetName val="060"/>
      <sheetName val="TABLES"/>
      <sheetName val="Currency Rate"/>
      <sheetName val="BQ-E20-02(Rp)"/>
      <sheetName val="SILICATE"/>
      <sheetName val="Intro"/>
      <sheetName val="Template"/>
      <sheetName val="Variables"/>
      <sheetName val="Report"/>
      <sheetName val="DETAIL_"/>
      <sheetName val="SAN_REDUCED_1"/>
      <sheetName val="C-LOAD(L-FACTORY_)"/>
      <sheetName val="DETAIL_1"/>
      <sheetName val="SAN_REDUCED_11"/>
      <sheetName val="C-LOAD(L-FACTORY_)1"/>
      <sheetName val="Invoice"/>
      <sheetName val="Sheet1 (3)"/>
      <sheetName val="COMMOND LINE"/>
      <sheetName val="Book 1 Summary"/>
      <sheetName val="Total"/>
      <sheetName val="sort2"/>
      <sheetName val="AutoOpen_Stub_Data2"/>
      <sheetName val="Intl_Data_Table2"/>
      <sheetName val="SAN_REDUCED_12"/>
      <sheetName val="DETAIL_2"/>
      <sheetName val="C-LOAD(L-FACTORY_)2"/>
      <sheetName val="COMP"/>
      <sheetName val="cu_ผลรวม"/>
      <sheetName val="cu_รหัส"/>
      <sheetName val="cu_วัน"/>
      <sheetName val="PO(Thai)"/>
      <sheetName val="IMV"/>
      <sheetName val="CrEstimate"/>
      <sheetName val="797T輸入部品リスト"/>
      <sheetName val="data list"/>
      <sheetName val="Plate_Bumper"/>
      <sheetName val="Nov.'02"/>
      <sheetName val="Man7"/>
      <sheetName val="Record"/>
      <sheetName val="Sheet1"/>
      <sheetName val="Customize Your Invoice"/>
      <sheetName val="CST1198"/>
      <sheetName val="Purchases-April"/>
      <sheetName val="JobOrder"/>
      <sheetName val="ค่าโทรศัพท์ค้างจ่าย"/>
      <sheetName val="Register_Local"/>
      <sheetName val="CODE,NAME"/>
      <sheetName val="Phase 2 project"/>
      <sheetName val="AC"/>
      <sheetName val="일위대가목차"/>
      <sheetName val="COA-17"/>
      <sheetName val="C-18"/>
      <sheetName val="Comsole"/>
      <sheetName val="CRITERIA1"/>
      <sheetName val="55435-0D060"/>
      <sheetName val="55436-0D060"/>
      <sheetName val="ConfigModel"/>
      <sheetName val="ResourceModel"/>
      <sheetName val="ＦＣ～FT"/>
      <sheetName val="New DYNA"/>
      <sheetName val="CRITERIA2"/>
      <sheetName val="PRODUCT MIX TRUCK"/>
      <sheetName val="BOM 043L,351L,299L"/>
      <sheetName val="DailyInput"/>
      <sheetName val="Main Summary"/>
      <sheetName val="2.1.1Take pipe"/>
      <sheetName val="2.1.2Take Copper Pipe"/>
      <sheetName val="MASTER"/>
      <sheetName val="CUSTOMER"/>
      <sheetName val="Order List"/>
      <sheetName val="Construction cost assumption"/>
      <sheetName val="JLL Assumption"/>
      <sheetName val="Retail Program&amp;Rev Assumption"/>
      <sheetName val="Annual Production"/>
      <sheetName val="POV"/>
      <sheetName val="ＴＦ関連Ｐｒｊ日程表"/>
      <sheetName val="FC"/>
      <sheetName val="Evaluation"/>
      <sheetName val="Mat"/>
      <sheetName val="AutoOpen_Stub_Data4"/>
      <sheetName val="Customize_Your_Purchase_Order5"/>
      <sheetName val="Purchase_Order5"/>
      <sheetName val="Intl_Data_Table4"/>
      <sheetName val="DETAIL_4"/>
      <sheetName val="AutoOpen_Stub_Data3"/>
      <sheetName val="Intl_Data_Table3"/>
      <sheetName val="DETAIL_3"/>
      <sheetName val="Cover"/>
      <sheetName val="日程"/>
      <sheetName val="supp_name"/>
      <sheetName val="Fill this out first___"/>
      <sheetName val="ITB COST"/>
      <sheetName val=""/>
      <sheetName val="Direct Cost"/>
      <sheetName val="Rate"/>
      <sheetName val="SH-F"/>
      <sheetName val=" ELECTRICAL ROOM CENTER.xlsx"/>
      <sheetName val="Income Statement"/>
      <sheetName val="Balance Sheet"/>
      <sheetName val="Cost_Categories"/>
      <sheetName val="Cost Data"/>
      <sheetName val="Material"/>
      <sheetName val="boq"/>
      <sheetName val="電気設備表"/>
      <sheetName val="Buy vs. Lease Car"/>
      <sheetName val="gvl"/>
      <sheetName val="UP"/>
      <sheetName val="SUM"/>
      <sheetName val="Pipe"/>
      <sheetName val="Recovered_Sheet1"/>
      <sheetName val="Sheet1_(3)"/>
      <sheetName val="COMMOND_LINE"/>
      <sheetName val="Nov_'02"/>
      <sheetName val="data_list"/>
      <sheetName val="New_DYNA"/>
      <sheetName val="PRODUCT_MIX_TRUCK"/>
      <sheetName val="BOM_043L,351L,299L"/>
      <sheetName val="Defect_Report(M&amp;E)"/>
      <sheetName val="ARM 39C "/>
      <sheetName val="n"/>
      <sheetName val="Supplier Master IF"/>
      <sheetName val="Sh&amp;Hd"/>
      <sheetName val="รวมราคาทั้งสิ้น"/>
      <sheetName val="Database"/>
      <sheetName val="Output"/>
      <sheetName val="코드관리"/>
      <sheetName val="Interial"/>
      <sheetName val="ProductName"/>
      <sheetName val="FS(E)"/>
      <sheetName val="รายละเอียดเสาเข็มที่ใช้แต่ละแบบ"/>
      <sheetName val="Waterg"/>
      <sheetName val="Grand Summary"/>
      <sheetName val="Sub Summary"/>
      <sheetName val="Prelim"/>
      <sheetName val="Hotel A type A"/>
      <sheetName val="Hotel A type B"/>
      <sheetName val="Hotel A type C"/>
      <sheetName val="Hotel B type B"/>
      <sheetName val="Hotel B type C"/>
      <sheetName val="Hote C. type C"/>
      <sheetName val="Hotel A suite"/>
      <sheetName val="Bar&amp;Resturant"/>
      <sheetName val="Gyp Pavilion"/>
      <sheetName val="Reception Pavilion"/>
      <sheetName val="WC. Reception"/>
      <sheetName val="Corridor Hote A."/>
      <sheetName val="Corridor Hote B."/>
      <sheetName val="Corridor Hote C."/>
      <sheetName val="e_test_ผลรวม"/>
      <sheetName val="df_ผลรวม"/>
      <sheetName val="df_รหัส"/>
      <sheetName val="df_วัน"/>
      <sheetName val="Cu1_sample"/>
      <sheetName val="DF_sample"/>
      <sheetName val="MK_sample"/>
      <sheetName val="SM"/>
      <sheetName val="SM_sample"/>
      <sheetName val="v_cut_วัน"/>
      <sheetName val="試作台数"/>
      <sheetName val="dr_ผลรวม"/>
      <sheetName val="dr_รหัส"/>
      <sheetName val="dr_วัน"/>
      <sheetName val="e_test_รหัส"/>
      <sheetName val="e_test_วัน"/>
      <sheetName val="etching_ผลรวม"/>
      <sheetName val="etching_รหัส"/>
      <sheetName val="etching_วัน"/>
      <sheetName val="f_test_ผลรวม"/>
      <sheetName val="f_test_รหัส"/>
      <sheetName val="f_test_วัน"/>
      <sheetName val="fqc_ผลรวม"/>
      <sheetName val="fqc_รหัส"/>
      <sheetName val="fqc_วัน"/>
      <sheetName val="hl_ผลรวม"/>
      <sheetName val="hl_รหัส"/>
      <sheetName val="hl_วัน"/>
      <sheetName val="mk_ผลรวม"/>
      <sheetName val="mk_รหัส"/>
      <sheetName val="mk_วัน"/>
      <sheetName val="sm_ผลรวม"/>
      <sheetName val="sm_รหัส"/>
      <sheetName val="sm_วัน"/>
      <sheetName val="v_cut_ผลรวม"/>
      <sheetName val="v_cut_รหัส"/>
      <sheetName val="LOT_ACCP"/>
      <sheetName val="Jan"/>
      <sheetName val="Sample"/>
      <sheetName val=" Sample request (JC41-00834A) -"/>
      <sheetName val="Group"/>
      <sheetName val="MAN"/>
      <sheetName val="Manufacturability"/>
      <sheetName val="JE786"/>
      <sheetName val="A1.2"/>
      <sheetName val="main sum (hotel &amp; residences)"/>
      <sheetName val="ตารางส่วนลด EE."/>
      <sheetName val="bk unit rate"/>
      <sheetName val="STMspry"/>
      <sheetName val="PsychroData"/>
      <sheetName val="DETAIL"/>
      <sheetName val="#REF"/>
      <sheetName val="BUR4-Rd"/>
      <sheetName val="BUR3-DrnRC"/>
      <sheetName val="SPT vs PHI"/>
      <sheetName val="노무비"/>
      <sheetName val="GAAP Pru"/>
      <sheetName val="SAN_REDUCED_13"/>
      <sheetName val="C-LOAD(L-FACTORY_)3"/>
      <sheetName val="A_กลาง"/>
      <sheetName val="A_กลาง_เกสร"/>
      <sheetName val="A_แฝด"/>
      <sheetName val="A_ริม"/>
      <sheetName val="B_กลาง"/>
      <sheetName val="B_ริม"/>
      <sheetName val="B_แฝด"/>
      <sheetName val="C_กลาง"/>
      <sheetName val="C_ริม"/>
      <sheetName val="C_แฝด"/>
      <sheetName val="Price_per_model"/>
      <sheetName val="Currency_Rate"/>
      <sheetName val="Book_1_Summary"/>
      <sheetName val="Main_Summary"/>
      <sheetName val="2_1_1Take_pipe"/>
      <sheetName val="2_1_2Take_Copper_Pipe"/>
      <sheetName val="Order_List"/>
      <sheetName val="Currency"/>
      <sheetName val="21"/>
      <sheetName val="Ceil."/>
      <sheetName val="งานภายนอก"/>
      <sheetName val="Paint."/>
      <sheetName val="Roof"/>
      <sheetName val="Struc."/>
      <sheetName val="SanFix"/>
      <sheetName val="Wall"/>
      <sheetName val="SH-A"/>
      <sheetName val="stair"/>
      <sheetName val="footing"/>
      <sheetName val="Manpower"/>
      <sheetName val="status"/>
      <sheetName val="ราคาต่ำสุด-721"/>
      <sheetName val="Attendance配合费"/>
      <sheetName val="EFR30696"/>
      <sheetName val="Cert1"/>
      <sheetName val="Customize_Your_Purchase_Order6"/>
      <sheetName val="Purchase_Order6"/>
      <sheetName val="AutoOpen_Stub_Data6"/>
      <sheetName val="Customize_Your_Purchase_Order8"/>
      <sheetName val="Purchase_Order8"/>
      <sheetName val="Intl_Data_Table6"/>
      <sheetName val="DETAIL_6"/>
      <sheetName val="SAN_REDUCED_14"/>
      <sheetName val="C-LOAD(L-FACTORY_)4"/>
      <sheetName val="Purchase_Order13"/>
      <sheetName val="A_กลาง1"/>
      <sheetName val="A_กลาง_เกสร1"/>
      <sheetName val="A_แฝด1"/>
      <sheetName val="A_ริม1"/>
      <sheetName val="B_กลาง1"/>
      <sheetName val="B_ริม1"/>
      <sheetName val="B_แฝด1"/>
      <sheetName val="C_กลาง1"/>
      <sheetName val="C_ริม1"/>
      <sheetName val="C_แฝด1"/>
      <sheetName val="Defect_Report(M&amp;E)2"/>
      <sheetName val="Price_per_model1"/>
      <sheetName val="Currency_Rate1"/>
      <sheetName val="Book_1_Summary1"/>
      <sheetName val="Sheet1_(3)2"/>
      <sheetName val="COMMOND_LINE2"/>
      <sheetName val="2_1_1Take_pipe1"/>
      <sheetName val="2_1_2Take_Copper_Pipe1"/>
      <sheetName val="Main_Summary1"/>
      <sheetName val="Nov_'022"/>
      <sheetName val="data_list2"/>
      <sheetName val="New_DYNA2"/>
      <sheetName val="PRODUCT_MIX_TRUCK2"/>
      <sheetName val="BOM_043L,351L,299L2"/>
      <sheetName val="Order_List1"/>
      <sheetName val="Construction_cost_assumption1"/>
      <sheetName val="JLL_Assumption1"/>
      <sheetName val="Retail_Program&amp;Rev_Assumption1"/>
      <sheetName val="Annual_Production1"/>
      <sheetName val="Fill_this_out_first___1"/>
      <sheetName val="ITB_COST1"/>
      <sheetName val="Direct_Cost1"/>
      <sheetName val="_ELECTRICAL_ROOM_CENTER_xlsx1"/>
      <sheetName val="Income_Statement1"/>
      <sheetName val="Balance_Sheet1"/>
      <sheetName val="ARM_39C_1"/>
      <sheetName val="Supplier_Master_IF1"/>
      <sheetName val="Cost_Data1"/>
      <sheetName val="Buy_vs__Lease_Car1"/>
      <sheetName val="AutoOpen_Stub_Data5"/>
      <sheetName val="Customize_Your_Purchase_Order7"/>
      <sheetName val="Purchase_Order7"/>
      <sheetName val="Intl_Data_Table5"/>
      <sheetName val="DETAIL_5"/>
      <sheetName val="Defect_Report(M&amp;E)1"/>
      <sheetName val="Sheet1_(3)1"/>
      <sheetName val="COMMOND_LINE1"/>
      <sheetName val="Nov_'021"/>
      <sheetName val="data_list1"/>
      <sheetName val="New_DYNA1"/>
      <sheetName val="PRODUCT_MIX_TRUCK1"/>
      <sheetName val="BOM_043L,351L,299L1"/>
      <sheetName val="Construction_cost_assumption"/>
      <sheetName val="JLL_Assumption"/>
      <sheetName val="Retail_Program&amp;Rev_Assumption"/>
      <sheetName val="Annual_Production"/>
      <sheetName val="Fill_this_out_first___"/>
      <sheetName val="ITB_COST"/>
      <sheetName val="Direct_Cost"/>
      <sheetName val="_ELECTRICAL_ROOM_CENTER_xlsx"/>
      <sheetName val="Income_Statement"/>
      <sheetName val="Balance_Sheet"/>
      <sheetName val="ARM_39C_"/>
      <sheetName val="Supplier_Master_IF"/>
      <sheetName val="Cost_Data"/>
      <sheetName val="Buy_vs__Lease_Car"/>
      <sheetName val="Sch  3"/>
      <sheetName val="Equipment"/>
      <sheetName val="unitcost"/>
      <sheetName val="inWords"/>
      <sheetName val="Breakdown"/>
      <sheetName val="402"/>
      <sheetName val="sheetNO"/>
      <sheetName val="ｺｽﾄｾﾝﾀｰ別設備稼働費ﾚｰﾄ算出表"/>
      <sheetName val="基準ｲﾝﾌﾟｯﾄ"/>
      <sheetName val="2nd"/>
      <sheetName val="A1_2"/>
      <sheetName val="_Sample_request_(JC41-00834A)_-"/>
      <sheetName val="GAAP_Pru"/>
      <sheetName val="bp bill"/>
      <sheetName val="A1_Summary"/>
      <sheetName val="A"/>
      <sheetName val="Discounted Cash Flow"/>
      <sheetName val="LpC"/>
      <sheetName val="Form"/>
      <sheetName val="Structure"/>
      <sheetName val="Artisan一类材料进度表-丽萍更新"/>
      <sheetName val="Sheet1 _2_"/>
      <sheetName val="Sheet5"/>
      <sheetName val="Sheet2"/>
      <sheetName val="Sheet3"/>
      <sheetName val="รวม"/>
      <sheetName val="HTP"/>
      <sheetName val="Purchase"/>
      <sheetName val="Extract"/>
      <sheetName val="Fagor04-A3112e"/>
      <sheetName val="Assumptions"/>
      <sheetName val="FORM6"/>
      <sheetName val="FORM8(1)"/>
      <sheetName val="FORM1"/>
      <sheetName val="Employee"/>
      <sheetName val="table"/>
      <sheetName val="Sale 0407"/>
      <sheetName val="Account"/>
      <sheetName val="Data3"/>
      <sheetName val="วงเครดิต 3"/>
      <sheetName val="description"/>
      <sheetName val="ExRates"/>
      <sheetName val="2006"/>
      <sheetName val="COST_RM_0208"/>
      <sheetName val="JOB_FO"/>
      <sheetName val="Table Master"/>
      <sheetName val="HYO"/>
      <sheetName val="PASTE N CUT"/>
      <sheetName val="Sheet1 (2)"/>
      <sheetName val="Amortization Table"/>
      <sheetName val="SEA"/>
      <sheetName val="FF-3"/>
      <sheetName val="IP標時xls"/>
      <sheetName val="Loan_Amortization_Schedule2"/>
      <sheetName val="Allocate96-98"/>
      <sheetName val="Parameters"/>
      <sheetName val="Drop_list"/>
      <sheetName val="mnly"/>
      <sheetName val="COST"/>
      <sheetName val="計算結果"/>
      <sheetName val="Ref"/>
    </sheetNames>
    <sheetDataSet>
      <sheetData sheetId="0" refreshError="1"/>
      <sheetData sheetId="1" refreshError="1">
        <row r="21">
          <cell r="E21" t="b">
            <v>0</v>
          </cell>
        </row>
        <row r="24">
          <cell r="F24">
            <v>0.22</v>
          </cell>
        </row>
        <row r="25">
          <cell r="E25" t="b">
            <v>1</v>
          </cell>
        </row>
      </sheetData>
      <sheetData sheetId="2" refreshError="1">
        <row r="23">
          <cell r="F23" t="str">
            <v>State</v>
          </cell>
        </row>
        <row r="40">
          <cell r="E40">
            <v>1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/>
      <sheetData sheetId="18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/>
      <sheetData sheetId="224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/>
      <sheetData sheetId="352" refreshError="1"/>
      <sheetData sheetId="353" refreshError="1"/>
      <sheetData sheetId="354" refreshError="1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Main"/>
      <sheetName val="AGE"/>
      <sheetName val="Ls_AgXLB_WorkbookFile"/>
      <sheetName val="SBC"/>
      <sheetName val="SBI"/>
      <sheetName val="SAP"/>
      <sheetName val="SAPTEMP"/>
      <sheetName val="DSC"/>
      <sheetName val="DSCTEMP"/>
      <sheetName val="SBP"/>
      <sheetName val="SBPTEMP"/>
      <sheetName val="SBPDATE"/>
      <sheetName val="SBPMTD"/>
      <sheetName val="SBPYTD"/>
      <sheetName val="SBPLASTY"/>
      <sheetName val="Sheet1"/>
      <sheetName val="Ls_XLB_WorkbookFile"/>
      <sheetName val="Purchase Order"/>
      <sheetName val="Customize Your Purchase Order"/>
      <sheetName val="Purchase_Order1"/>
      <sheetName val="Customize_Your_Purchase_Order1"/>
      <sheetName val="Purchase_Order"/>
      <sheetName val="Customize_Your_Purchase_Order"/>
      <sheetName val="Purchase_Order2"/>
      <sheetName val="Customize_Your_Purchase_Order2"/>
      <sheetName val="Purchase_Order3"/>
      <sheetName val="Customize_Your_Purchase_Order3"/>
      <sheetName val="Purchase_Order4"/>
      <sheetName val="Customize_Your_Purchase_Order4"/>
      <sheetName val="dpc cost"/>
      <sheetName val="SUMMERY"/>
      <sheetName val="12"/>
      <sheetName val="10-Invt."/>
      <sheetName val="6-SAAGLEDGER"/>
      <sheetName val="5 Analysis"/>
      <sheetName val="Lead Time"/>
      <sheetName val="#REF"/>
      <sheetName val="G. Ledger Crescent"/>
      <sheetName val="Trial balance"/>
      <sheetName val="ARDEBT"/>
      <sheetName val="10-Invt_"/>
      <sheetName val="5_Analysis"/>
      <sheetName val="Lead_Time"/>
      <sheetName val="G__Ledger_Crescent"/>
      <sheetName val="Trial_balance"/>
      <sheetName val="Transition Calculations"/>
      <sheetName val="BFM"/>
      <sheetName val="Transition Resourcing"/>
      <sheetName val="Skill_Matrix"/>
      <sheetName val="10-Invt_1"/>
      <sheetName val="5_Analysis1"/>
      <sheetName val="Lead_Time1"/>
      <sheetName val="G__Ledger_Crescent1"/>
      <sheetName val="Trial_balance1"/>
      <sheetName val="Transition_Calculations"/>
      <sheetName val="Transition_Resourcing"/>
      <sheetName val="inputs"/>
      <sheetName val="operating"/>
      <sheetName val="NOTED"/>
      <sheetName val="Summary Allocation"/>
      <sheetName val="Purchase_Order5"/>
      <sheetName val="Customize_Your_Purchase_Order5"/>
      <sheetName val="dpc_cost"/>
      <sheetName val="Purchase_Order6"/>
      <sheetName val="Customize_Your_Purchase_Order6"/>
      <sheetName val="dpc_cost1"/>
      <sheetName val="Purchase_Order7"/>
      <sheetName val="Customize_Your_Purchase_Order7"/>
      <sheetName val="dpc_cost2"/>
      <sheetName val="10-Invt_2"/>
      <sheetName val="5_Analysis2"/>
      <sheetName val="Lead_Time2"/>
      <sheetName val="G__Ledger_Crescent2"/>
      <sheetName val="Trial_balance2"/>
      <sheetName val="Cover"/>
      <sheetName val="Send to bank"/>
      <sheetName val="Memo"/>
      <sheetName val="Pay by COH"/>
      <sheetName val="Pay by Bank "/>
      <sheetName val="New Tax"/>
      <sheetName val="YLP"/>
      <sheetName val="EKP"/>
      <sheetName val="PEP"/>
      <sheetName val="IEP"/>
      <sheetName val="Sing"/>
      <sheetName val="Purchase_Order8"/>
      <sheetName val="Customize_Your_Purchase_Order8"/>
      <sheetName val="dpc_cost3"/>
      <sheetName val="10-Invt_3"/>
      <sheetName val="5_Analysis3"/>
      <sheetName val="Lead_Time3"/>
      <sheetName val="G__Ledger_Crescent3"/>
      <sheetName val="Trial_balance3"/>
      <sheetName val="Purchase"/>
      <sheetName val="H1b Accounts Payable"/>
      <sheetName val="W"/>
      <sheetName val="Summary_Allocation"/>
      <sheetName val="Purchase_Order9"/>
      <sheetName val="Customize_Your_Purchase_Order9"/>
      <sheetName val="dpc_cost4"/>
      <sheetName val="10-Invt_4"/>
      <sheetName val="5_Analysis4"/>
      <sheetName val="Lead_Time4"/>
      <sheetName val="G__Ledger_Crescent4"/>
      <sheetName val="Trial_balance4"/>
      <sheetName val="Transition_Calculations1"/>
      <sheetName val="Transition_Resourcing1"/>
      <sheetName val="DONVIBAN"/>
      <sheetName val="NGUON"/>
      <sheetName val="Purchase_Order10"/>
      <sheetName val="Customize_Your_Purchase_Order10"/>
      <sheetName val="dpc_cost5"/>
      <sheetName val="10-Invt_5"/>
      <sheetName val="5_Analysis5"/>
      <sheetName val="Lead_Time5"/>
      <sheetName val="G__Ledger_Crescent5"/>
      <sheetName val="Trial_balance5"/>
      <sheetName val="Transition_Calculations2"/>
      <sheetName val="Transition_Resourcing2"/>
      <sheetName val="Summary_Allocation1"/>
      <sheetName val="H1b_Accounts_Payable"/>
      <sheetName val="Send_to_bank"/>
      <sheetName val="Pay_by_COH"/>
      <sheetName val="Pay_by_Bank_"/>
      <sheetName val="New_Tax"/>
      <sheetName val="PD EXP 201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>
        <row r="1">
          <cell r="A1"/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 refreshError="1"/>
      <sheetData sheetId="108" refreshError="1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Company Related Premises"/>
    </sheetNames>
    <sheetDataSet>
      <sheetData sheetId="0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Sal tax"/>
      <sheetName val="Sheet"/>
      <sheetName val="Sal_tax"/>
      <sheetName val="Sal_tax1"/>
      <sheetName val="Sal_tax2"/>
      <sheetName val="Sal_tax3"/>
      <sheetName val="Sal_tax4"/>
      <sheetName val="Purchase Journal"/>
      <sheetName val="Collection"/>
      <sheetName val="Glo_Sales"/>
      <sheetName val="Global"/>
      <sheetName val="Global mth"/>
      <sheetName val="Summary"/>
      <sheetName val="Data Entry"/>
      <sheetName val="mktgwise"/>
      <sheetName val="PBCMemberwise"/>
      <sheetName val="cost27-09-08"/>
      <sheetName val="Dist-AD"/>
      <sheetName val="Sal_tax5"/>
      <sheetName val="Sal_tax6"/>
      <sheetName val="Sal_tax7"/>
      <sheetName val="Sal_tax8"/>
      <sheetName val="Purchase_Journal"/>
      <sheetName val="Sal_tax9"/>
      <sheetName val="Purchase_Journal1"/>
      <sheetName val="NOTED"/>
      <sheetName val="Dropdown data"/>
      <sheetName val="cwip on 31.03.2003"/>
      <sheetName val="Purchase"/>
      <sheetName val="차수"/>
      <sheetName val="FO1"/>
      <sheetName val="Cost"/>
      <sheetName val="Sal_tax10"/>
      <sheetName val="Purchase_Journal2"/>
      <sheetName val="Sheet8"/>
      <sheetName val="Exchange"/>
      <sheetName val="Plan"/>
      <sheetName val="Sheet1"/>
      <sheetName val="april2005"/>
      <sheetName val="nhan cong"/>
      <sheetName val="Stock-06"/>
      <sheetName val="Sheet2"/>
      <sheetName val="Balance"/>
      <sheetName val="DO AM DT"/>
      <sheetName val="Sal_tax11"/>
      <sheetName val="Purchase_Journal3"/>
      <sheetName val="SFBT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 refreshError="1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/>
      <sheetData sheetId="29" refreshError="1"/>
      <sheetData sheetId="30" refreshError="1"/>
      <sheetData sheetId="31" refreshError="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/>
      <sheetData sheetId="41"/>
      <sheetData sheetId="42" refreshError="1"/>
      <sheetData sheetId="43" refreshError="1"/>
      <sheetData sheetId="44"/>
      <sheetData sheetId="45"/>
      <sheetData sheetId="4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1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1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S36"/>
  <sheetViews>
    <sheetView tabSelected="1" zoomScale="70" zoomScaleNormal="70" workbookViewId="0">
      <selection activeCell="D10" sqref="D10"/>
    </sheetView>
  </sheetViews>
  <sheetFormatPr baseColWidth="8" defaultRowHeight="21.6"/>
  <cols>
    <col width="37" customWidth="1" style="408" min="2" max="2"/>
    <col width="16.88671875" customWidth="1" style="408" min="3" max="3"/>
    <col width="25.5546875" customWidth="1" style="293" min="4" max="4"/>
    <col width="13.33203125" customWidth="1" style="293" min="5" max="5"/>
    <col width="29.6640625" customWidth="1" style="408" min="6" max="6"/>
    <col width="25.6640625" customWidth="1" style="408" min="8" max="8"/>
  </cols>
  <sheetData>
    <row r="1" ht="25.2" customHeight="1" s="408">
      <c r="C1" s="197" t="n"/>
      <c r="F1" s="197" t="n"/>
      <c r="G1" s="197" t="n"/>
      <c r="H1" s="197" t="n"/>
      <c r="I1" s="197" t="n"/>
      <c r="J1" s="197" t="n"/>
      <c r="K1" s="197" t="n"/>
      <c r="L1" s="197" t="n"/>
      <c r="M1" s="197" t="n"/>
      <c r="N1" s="197" t="n"/>
      <c r="O1" s="197" t="n"/>
      <c r="P1" s="197" t="n"/>
      <c r="Q1" s="197" t="n"/>
      <c r="R1" s="197" t="n"/>
      <c r="S1" s="197" t="n"/>
    </row>
    <row r="2" ht="25.2" customHeight="1" s="408">
      <c r="B2" s="409" t="inlineStr">
        <is>
          <t>COMPANY NAME (KHMER)</t>
        </is>
      </c>
      <c r="C2" s="411" t="n"/>
      <c r="D2" s="292" t="inlineStr">
        <is>
          <t>វីអ៊ីស៊ិន (ខេមបូឌា) អ៊ិនដាសស្ទ្រី ឯ.ក</t>
        </is>
      </c>
      <c r="F2" s="412" t="inlineStr">
        <is>
          <t>Audit timeline</t>
        </is>
      </c>
      <c r="G2" s="410" t="n"/>
      <c r="H2" s="411" t="n"/>
      <c r="I2" s="197" t="n"/>
      <c r="J2" s="197" t="n"/>
      <c r="K2" s="197" t="n"/>
      <c r="L2" s="197" t="n"/>
      <c r="M2" s="197" t="n"/>
      <c r="N2" s="197" t="n"/>
      <c r="O2" s="197" t="n"/>
      <c r="P2" s="197" t="n"/>
      <c r="Q2" s="197" t="n"/>
      <c r="R2" s="197" t="n"/>
      <c r="S2" s="197" t="n"/>
    </row>
    <row r="3" ht="25.2" customHeight="1" s="408">
      <c r="B3" s="409" t="inlineStr">
        <is>
          <t>COMPANY NAME (ENGLISH)</t>
        </is>
      </c>
      <c r="C3" s="411" t="n"/>
      <c r="D3" s="292" t="inlineStr">
        <is>
          <t>Viiition (Cambodia)</t>
        </is>
      </c>
      <c r="F3" s="409" t="n"/>
      <c r="G3" s="410" t="n"/>
      <c r="H3" s="411" t="n"/>
      <c r="I3" s="197" t="n"/>
      <c r="J3" s="197" t="n"/>
      <c r="K3" s="197" t="n"/>
      <c r="L3" s="197" t="n"/>
      <c r="M3" s="197" t="n"/>
      <c r="N3" s="197" t="n"/>
      <c r="O3" s="197" t="n"/>
      <c r="P3" s="197" t="n"/>
      <c r="Q3" s="197" t="n"/>
      <c r="R3" s="197" t="n"/>
      <c r="S3" s="197" t="n"/>
    </row>
    <row r="4" ht="25.2" customHeight="1" s="408">
      <c r="B4" s="409" t="inlineStr">
        <is>
          <t>VAT NUMBER</t>
        </is>
      </c>
      <c r="C4" s="411" t="n"/>
      <c r="D4" s="292" t="inlineStr">
        <is>
          <t>L001-901905215</t>
        </is>
      </c>
      <c r="F4" s="412" t="inlineStr">
        <is>
          <t>MOC NUMBER</t>
        </is>
      </c>
      <c r="G4" s="410" t="n"/>
      <c r="H4" s="411" t="n"/>
      <c r="I4" s="197" t="n"/>
      <c r="J4" s="197" t="n"/>
      <c r="K4" s="197" t="n"/>
      <c r="L4" s="197" t="n"/>
      <c r="M4" s="197" t="n"/>
      <c r="N4" s="197" t="n"/>
      <c r="O4" s="197" t="n"/>
      <c r="P4" s="197" t="n"/>
      <c r="Q4" s="197" t="n"/>
      <c r="R4" s="197" t="n"/>
      <c r="S4" s="197" t="n"/>
    </row>
    <row r="5" ht="25.2" customHeight="1" s="408">
      <c r="B5" s="409" t="inlineStr">
        <is>
          <t>Business Activity</t>
        </is>
      </c>
      <c r="C5" s="411" t="n"/>
      <c r="D5" s="292" t="inlineStr"/>
      <c r="F5" s="412" t="inlineStr">
        <is>
          <t>MOC DATE OF ISSUE</t>
        </is>
      </c>
      <c r="G5" s="410" t="n"/>
      <c r="H5" s="413" t="n"/>
      <c r="I5" s="197" t="n"/>
      <c r="J5" s="197" t="n"/>
      <c r="K5" s="197" t="n"/>
      <c r="L5" s="197" t="n"/>
      <c r="M5" s="197" t="n"/>
      <c r="N5" s="197" t="n"/>
      <c r="O5" s="197" t="n"/>
      <c r="P5" s="197" t="n"/>
      <c r="Q5" s="197" t="n"/>
      <c r="R5" s="197" t="n"/>
      <c r="S5" s="197" t="n"/>
    </row>
    <row r="6" ht="25.2" customHeight="1" s="408">
      <c r="B6" s="409" t="inlineStr">
        <is>
          <t>Address Main</t>
        </is>
      </c>
      <c r="C6" s="411" t="n"/>
      <c r="D6" s="292" t="inlineStr">
        <is>
          <t>ផ្ទះលេខ ​ ផ្លូវ ​ ភូមិស្រង់ ឃុំស្រង់ ស្រុកគងពិសី ខេត្តកំពង់ស្ពឺ</t>
        </is>
      </c>
      <c r="F6" s="412" t="inlineStr">
        <is>
          <t>PATENT ISSUE DATE</t>
        </is>
      </c>
      <c r="G6" s="410" t="n"/>
      <c r="H6" s="413" t="n"/>
      <c r="I6" s="197" t="n"/>
      <c r="J6" s="197" t="n"/>
      <c r="K6" s="197" t="n"/>
      <c r="L6" s="197" t="n"/>
      <c r="M6" s="197" t="n"/>
      <c r="N6" s="197" t="n"/>
      <c r="O6" s="197" t="n"/>
      <c r="P6" s="197" t="n"/>
      <c r="Q6" s="197" t="n"/>
      <c r="R6" s="197" t="n"/>
      <c r="S6" s="197" t="n"/>
    </row>
    <row r="7" ht="25.2" customHeight="1" s="408">
      <c r="B7" s="409" t="inlineStr">
        <is>
          <t>Request Period</t>
        </is>
      </c>
      <c r="C7" s="411" t="n"/>
      <c r="F7" s="412" t="inlineStr">
        <is>
          <t>VAT CERTIFICATE ISSUE DATE</t>
        </is>
      </c>
      <c r="G7" s="410" t="n"/>
      <c r="H7" s="413" t="n"/>
      <c r="I7" s="197" t="n"/>
      <c r="J7" s="197" t="n"/>
      <c r="K7" s="197" t="n"/>
      <c r="L7" s="197" t="n"/>
      <c r="M7" s="197" t="n"/>
      <c r="N7" s="197" t="n"/>
      <c r="O7" s="197" t="n"/>
      <c r="P7" s="197" t="n"/>
      <c r="Q7" s="197" t="n"/>
      <c r="R7" s="197" t="n"/>
      <c r="S7" s="197" t="n"/>
    </row>
    <row r="8" ht="25.2" customHeight="1" s="408">
      <c r="B8" s="409" t="inlineStr">
        <is>
          <t>Auditor Name</t>
        </is>
      </c>
      <c r="C8" s="411" t="n"/>
      <c r="D8" s="411" t="n"/>
      <c r="F8" s="412" t="inlineStr">
        <is>
          <t>Request Date</t>
        </is>
      </c>
      <c r="G8" s="410" t="n"/>
      <c r="H8" s="414" t="n"/>
      <c r="I8" s="197" t="n"/>
      <c r="J8" s="197" t="n"/>
      <c r="K8" s="197" t="n"/>
      <c r="L8" s="197" t="n"/>
      <c r="M8" s="197" t="n"/>
      <c r="N8" s="197" t="n"/>
      <c r="O8" s="197" t="n"/>
      <c r="P8" s="197" t="n"/>
      <c r="Q8" s="197" t="n"/>
      <c r="R8" s="197" t="n"/>
      <c r="S8" s="197" t="n"/>
    </row>
    <row r="9" ht="25.2" customHeight="1" s="408">
      <c r="B9" s="409" t="n"/>
      <c r="C9" s="411" t="n"/>
      <c r="D9" s="411" t="n"/>
      <c r="F9" s="412" t="inlineStr">
        <is>
          <t>Amount of Request</t>
        </is>
      </c>
      <c r="G9" s="197" t="n"/>
      <c r="H9" s="567" t="n"/>
      <c r="I9" s="197" t="n"/>
      <c r="J9" s="197" t="n"/>
      <c r="K9" s="197" t="n"/>
      <c r="L9" s="197" t="n"/>
      <c r="M9" s="197" t="n"/>
      <c r="N9" s="197" t="n"/>
      <c r="O9" s="197" t="n"/>
      <c r="P9" s="197" t="n"/>
      <c r="Q9" s="197" t="n"/>
      <c r="R9" s="197" t="n"/>
      <c r="S9" s="197" t="n"/>
    </row>
    <row r="10" ht="25.2" customHeight="1" s="408">
      <c r="B10" s="409" t="inlineStr">
        <is>
          <t>Phone Number</t>
        </is>
      </c>
      <c r="C10" s="410" t="n"/>
      <c r="D10" s="213" t="inlineStr">
        <is>
          <t>011777957</t>
        </is>
      </c>
      <c r="F10" s="197" t="n"/>
      <c r="G10" s="197" t="n"/>
      <c r="H10" s="197" t="n"/>
      <c r="I10" s="197" t="n"/>
      <c r="J10" s="197" t="n"/>
      <c r="K10" s="197" t="n"/>
      <c r="L10" s="197" t="n"/>
      <c r="M10" s="197" t="n"/>
      <c r="N10" s="197" t="n"/>
      <c r="O10" s="197" t="n"/>
      <c r="P10" s="197" t="n"/>
      <c r="Q10" s="197" t="n"/>
      <c r="R10" s="197" t="n"/>
      <c r="S10" s="197" t="n"/>
    </row>
    <row r="11" ht="25.2" customHeight="1" s="408">
      <c r="B11" s="412" t="inlineStr">
        <is>
          <t>BANK ACCOUNT NUMBER TO REFUND</t>
        </is>
      </c>
      <c r="C11" s="410" t="n"/>
      <c r="D11" s="213" t="inlineStr"/>
      <c r="F11" s="197" t="n"/>
      <c r="G11" s="197" t="n"/>
      <c r="H11" s="197" t="n"/>
      <c r="I11" s="197" t="n"/>
      <c r="J11" s="197" t="n"/>
      <c r="K11" s="197" t="n"/>
      <c r="L11" s="197" t="n"/>
      <c r="M11" s="197" t="n"/>
      <c r="N11" s="197" t="n"/>
      <c r="O11" s="197" t="n"/>
      <c r="P11" s="197" t="n"/>
      <c r="Q11" s="197" t="n"/>
      <c r="R11" s="197" t="n"/>
      <c r="S11" s="197" t="n"/>
    </row>
    <row r="12" ht="25.2" customHeight="1" s="408">
      <c r="B12" s="409" t="inlineStr">
        <is>
          <t>BANK NAME:</t>
        </is>
      </c>
      <c r="C12" s="410" t="n"/>
      <c r="D12" s="213" t="inlineStr"/>
      <c r="F12" s="197" t="n"/>
      <c r="G12" s="197" t="n"/>
      <c r="H12" s="197" t="n"/>
      <c r="I12" s="197" t="n"/>
      <c r="J12" s="197" t="n"/>
      <c r="K12" s="197" t="n"/>
      <c r="L12" s="197" t="n"/>
      <c r="M12" s="197" t="n"/>
      <c r="N12" s="197" t="n"/>
      <c r="O12" s="197" t="n"/>
      <c r="P12" s="197" t="n"/>
      <c r="Q12" s="197" t="n"/>
      <c r="R12" s="197" t="n"/>
      <c r="S12" s="197" t="n"/>
    </row>
    <row r="13" ht="25.2" customHeight="1" s="408">
      <c r="B13" s="412" t="inlineStr">
        <is>
          <t>Person to Contact</t>
        </is>
      </c>
      <c r="C13" s="410" t="n"/>
      <c r="D13" s="411" t="n"/>
      <c r="F13" s="197" t="n"/>
      <c r="G13" s="197" t="n"/>
      <c r="H13" s="197" t="n"/>
      <c r="I13" s="197" t="n"/>
      <c r="J13" s="197" t="n"/>
      <c r="K13" s="197" t="n"/>
      <c r="L13" s="197" t="n"/>
      <c r="M13" s="197" t="n"/>
      <c r="N13" s="197" t="n"/>
      <c r="O13" s="197" t="n"/>
      <c r="P13" s="197" t="n"/>
      <c r="Q13" s="197" t="n"/>
      <c r="R13" s="197" t="n"/>
      <c r="S13" s="197" t="n"/>
    </row>
    <row r="14" ht="25.2" customHeight="1" s="408">
      <c r="B14" s="412" t="inlineStr">
        <is>
          <t>Position</t>
        </is>
      </c>
      <c r="C14" s="410" t="n"/>
      <c r="F14" s="197" t="n"/>
      <c r="G14" s="197" t="n"/>
      <c r="H14" s="197" t="n"/>
      <c r="I14" s="197" t="n"/>
      <c r="J14" s="197" t="n"/>
      <c r="K14" s="197" t="n"/>
      <c r="L14" s="197" t="n"/>
      <c r="M14" s="197" t="n"/>
      <c r="N14" s="197" t="n"/>
      <c r="O14" s="197" t="n"/>
      <c r="P14" s="197" t="n"/>
      <c r="Q14" s="197" t="n"/>
      <c r="R14" s="197" t="n"/>
      <c r="S14" s="197" t="n"/>
    </row>
    <row r="15" ht="25.2" customHeight="1" s="408">
      <c r="F15" s="197" t="n"/>
      <c r="G15" s="197" t="n"/>
      <c r="H15" s="197" t="n"/>
      <c r="I15" s="197" t="n"/>
      <c r="J15" s="197" t="n"/>
      <c r="K15" s="197" t="n"/>
      <c r="L15" s="197" t="n"/>
      <c r="M15" s="197" t="n"/>
      <c r="N15" s="197" t="n"/>
      <c r="O15" s="197" t="n"/>
      <c r="P15" s="197" t="n"/>
      <c r="Q15" s="197" t="n"/>
      <c r="R15" s="197" t="n"/>
      <c r="S15" s="197" t="n"/>
    </row>
    <row r="16" ht="25.2" customHeight="1" s="408">
      <c r="F16" s="197" t="n"/>
      <c r="G16" s="197" t="n"/>
      <c r="H16" s="197" t="n"/>
      <c r="I16" s="197" t="n"/>
      <c r="J16" s="197" t="n"/>
      <c r="K16" s="197" t="n"/>
      <c r="L16" s="197" t="n"/>
      <c r="M16" s="197" t="n"/>
      <c r="N16" s="197" t="n"/>
      <c r="O16" s="197" t="n"/>
      <c r="P16" s="197" t="n"/>
      <c r="Q16" s="197" t="n"/>
      <c r="R16" s="197" t="n"/>
      <c r="S16" s="197" t="n"/>
    </row>
    <row r="17" ht="25.2" customHeight="1" s="408">
      <c r="F17" s="197" t="n"/>
      <c r="G17" s="197" t="n"/>
      <c r="H17" s="197" t="n"/>
      <c r="I17" s="197" t="n"/>
      <c r="J17" s="197" t="n"/>
      <c r="K17" s="197" t="n"/>
      <c r="L17" s="197" t="n"/>
      <c r="M17" s="197" t="n"/>
      <c r="N17" s="197" t="n"/>
      <c r="O17" s="197" t="n"/>
      <c r="P17" s="197" t="n"/>
      <c r="Q17" s="197" t="n"/>
      <c r="R17" s="197" t="n"/>
      <c r="S17" s="197" t="n"/>
    </row>
    <row r="18" ht="25.2" customHeight="1" s="408">
      <c r="F18" s="197" t="n"/>
      <c r="G18" s="197" t="n"/>
      <c r="H18" s="197" t="n"/>
      <c r="I18" s="197" t="n"/>
      <c r="J18" s="197" t="n"/>
      <c r="K18" s="197" t="n"/>
      <c r="L18" s="197" t="n"/>
      <c r="M18" s="197" t="n"/>
      <c r="N18" s="197" t="n"/>
      <c r="O18" s="197" t="n"/>
      <c r="P18" s="197" t="n"/>
      <c r="Q18" s="197" t="n"/>
      <c r="R18" s="197" t="n"/>
      <c r="S18" s="197" t="n"/>
    </row>
    <row r="19" ht="25.2" customHeight="1" s="408">
      <c r="F19" s="197" t="n"/>
      <c r="G19" s="197" t="n"/>
      <c r="H19" s="197" t="n"/>
      <c r="I19" s="197" t="n"/>
      <c r="J19" s="197" t="n"/>
      <c r="K19" s="197" t="n"/>
      <c r="L19" s="197" t="n"/>
      <c r="M19" s="197" t="n"/>
      <c r="N19" s="197" t="n"/>
      <c r="O19" s="197" t="n"/>
      <c r="P19" s="197" t="n"/>
      <c r="Q19" s="197" t="n"/>
      <c r="R19" s="197" t="n"/>
      <c r="S19" s="197" t="n"/>
    </row>
    <row r="20" ht="25.2" customHeight="1" s="408">
      <c r="F20" s="197" t="n"/>
      <c r="G20" s="197" t="n"/>
      <c r="H20" s="197" t="n"/>
      <c r="I20" s="197" t="n"/>
      <c r="J20" s="197" t="n"/>
      <c r="K20" s="197" t="n"/>
      <c r="L20" s="197" t="n"/>
      <c r="M20" s="197" t="n"/>
      <c r="N20" s="197" t="n"/>
      <c r="O20" s="197" t="n"/>
      <c r="P20" s="197" t="n"/>
      <c r="Q20" s="197" t="n"/>
      <c r="R20" s="197" t="n"/>
      <c r="S20" s="197" t="n"/>
    </row>
    <row r="21" ht="25.2" customHeight="1" s="408">
      <c r="F21" s="197" t="n"/>
      <c r="G21" s="197" t="n"/>
      <c r="H21" s="197" t="n"/>
      <c r="I21" s="197" t="n"/>
      <c r="J21" s="197" t="n"/>
      <c r="K21" s="197" t="n"/>
      <c r="L21" s="197" t="n"/>
      <c r="M21" s="197" t="n"/>
      <c r="N21" s="197" t="n"/>
      <c r="O21" s="197" t="n"/>
      <c r="P21" s="197" t="n"/>
      <c r="Q21" s="197" t="n"/>
      <c r="R21" s="197" t="n"/>
      <c r="S21" s="197" t="n"/>
    </row>
    <row r="22" ht="25.2" customHeight="1" s="408">
      <c r="F22" s="197" t="n"/>
      <c r="G22" s="197" t="n"/>
      <c r="H22" s="197" t="n"/>
      <c r="I22" s="197" t="n"/>
      <c r="J22" s="197" t="n"/>
      <c r="K22" s="197" t="n"/>
      <c r="L22" s="197" t="n"/>
      <c r="M22" s="197" t="n"/>
      <c r="N22" s="197" t="n"/>
      <c r="O22" s="197" t="n"/>
      <c r="P22" s="197" t="n"/>
      <c r="Q22" s="197" t="n"/>
      <c r="R22" s="197" t="n"/>
      <c r="S22" s="197" t="n"/>
    </row>
    <row r="23" ht="25.2" customHeight="1" s="408">
      <c r="B23" s="196" t="n"/>
      <c r="C23" s="197" t="n"/>
      <c r="F23" s="197" t="n"/>
      <c r="G23" s="197" t="n"/>
      <c r="H23" s="197" t="n"/>
      <c r="I23" s="197" t="n"/>
      <c r="J23" s="197" t="n"/>
      <c r="K23" s="197" t="n"/>
      <c r="L23" s="197" t="n"/>
      <c r="M23" s="197" t="n"/>
      <c r="N23" s="197" t="n"/>
      <c r="O23" s="197" t="n"/>
      <c r="P23" s="197" t="n"/>
      <c r="Q23" s="197" t="n"/>
      <c r="R23" s="197" t="n"/>
      <c r="S23" s="197" t="n"/>
    </row>
    <row r="24" ht="25.2" customHeight="1" s="408">
      <c r="C24" s="197" t="n"/>
      <c r="F24" s="197" t="n"/>
      <c r="G24" s="197" t="n"/>
      <c r="H24" s="197" t="n"/>
      <c r="I24" s="197" t="n"/>
      <c r="J24" s="197" t="n"/>
      <c r="K24" s="197" t="n"/>
      <c r="L24" s="197" t="n"/>
      <c r="M24" s="197" t="n"/>
      <c r="N24" s="197" t="n"/>
      <c r="O24" s="197" t="n"/>
      <c r="P24" s="197" t="n"/>
      <c r="Q24" s="197" t="n"/>
      <c r="R24" s="197" t="n"/>
      <c r="S24" s="197" t="n"/>
    </row>
    <row r="25" ht="25.2" customHeight="1" s="408">
      <c r="C25" s="197" t="n"/>
      <c r="F25" s="197" t="n"/>
      <c r="G25" s="197" t="n"/>
      <c r="H25" s="197" t="n"/>
      <c r="I25" s="197" t="n"/>
      <c r="J25" s="197" t="n"/>
      <c r="K25" s="197" t="n"/>
      <c r="L25" s="197" t="n"/>
      <c r="M25" s="197" t="n"/>
      <c r="N25" s="197" t="n"/>
      <c r="O25" s="197" t="n"/>
      <c r="P25" s="197" t="n"/>
      <c r="Q25" s="197" t="n"/>
      <c r="R25" s="197" t="n"/>
      <c r="S25" s="197" t="n"/>
    </row>
    <row r="26" ht="25.2" customHeight="1" s="408">
      <c r="C26" s="197" t="n"/>
      <c r="F26" s="197" t="n"/>
      <c r="G26" s="197" t="n"/>
      <c r="H26" s="197" t="n"/>
      <c r="I26" s="197" t="n"/>
      <c r="J26" s="197" t="n"/>
      <c r="K26" s="197" t="n"/>
      <c r="L26" s="197" t="n"/>
      <c r="M26" s="197" t="n"/>
      <c r="N26" s="197" t="n"/>
      <c r="O26" s="197" t="n"/>
      <c r="P26" s="197" t="n"/>
      <c r="Q26" s="197" t="n"/>
      <c r="R26" s="197" t="n"/>
      <c r="S26" s="197" t="n"/>
    </row>
    <row r="27" ht="25.2" customHeight="1" s="408">
      <c r="C27" s="197" t="n"/>
      <c r="F27" s="197" t="n"/>
      <c r="G27" s="197" t="n"/>
      <c r="H27" s="197" t="n"/>
      <c r="I27" s="197" t="n"/>
      <c r="J27" s="197" t="n"/>
      <c r="K27" s="197" t="n"/>
      <c r="L27" s="197" t="n"/>
      <c r="M27" s="197" t="n"/>
      <c r="N27" s="197" t="n"/>
      <c r="O27" s="197" t="n"/>
      <c r="P27" s="197" t="n"/>
      <c r="Q27" s="197" t="n"/>
      <c r="R27" s="197" t="n"/>
      <c r="S27" s="197" t="n"/>
    </row>
    <row r="28" ht="25.2" customHeight="1" s="408">
      <c r="C28" s="197" t="n"/>
      <c r="F28" s="197" t="n"/>
      <c r="G28" s="197" t="n"/>
      <c r="H28" s="197" t="n"/>
      <c r="I28" s="197" t="n"/>
      <c r="J28" s="197" t="n"/>
      <c r="K28" s="197" t="n"/>
      <c r="L28" s="197" t="n"/>
      <c r="M28" s="197" t="n"/>
      <c r="N28" s="197" t="n"/>
      <c r="O28" s="197" t="n"/>
      <c r="P28" s="197" t="n"/>
      <c r="Q28" s="197" t="n"/>
      <c r="R28" s="197" t="n"/>
      <c r="S28" s="197" t="n"/>
    </row>
    <row r="29" ht="25.2" customHeight="1" s="408">
      <c r="C29" s="197" t="n"/>
      <c r="F29" s="197" t="n"/>
      <c r="G29" s="197" t="n"/>
      <c r="H29" s="197" t="n"/>
      <c r="I29" s="197" t="n"/>
      <c r="J29" s="197" t="n"/>
      <c r="K29" s="197" t="n"/>
      <c r="L29" s="197" t="n"/>
      <c r="M29" s="197" t="n"/>
      <c r="N29" s="197" t="n"/>
      <c r="O29" s="197" t="n"/>
      <c r="P29" s="197" t="n"/>
      <c r="Q29" s="197" t="n"/>
      <c r="R29" s="197" t="n"/>
      <c r="S29" s="197" t="n"/>
    </row>
    <row r="30" ht="25.2" customHeight="1" s="408">
      <c r="C30" s="197" t="n"/>
      <c r="F30" s="197" t="n"/>
      <c r="G30" s="197" t="n"/>
      <c r="H30" s="197" t="n"/>
      <c r="I30" s="197" t="n"/>
      <c r="J30" s="197" t="n"/>
      <c r="K30" s="197" t="n"/>
      <c r="L30" s="197" t="n"/>
      <c r="M30" s="197" t="n"/>
      <c r="N30" s="197" t="n"/>
      <c r="O30" s="197" t="n"/>
      <c r="P30" s="197" t="n"/>
      <c r="Q30" s="197" t="n"/>
      <c r="R30" s="197" t="n"/>
      <c r="S30" s="197" t="n"/>
    </row>
    <row r="31" ht="25.2" customHeight="1" s="408">
      <c r="C31" s="197" t="n"/>
      <c r="F31" s="197" t="n"/>
      <c r="G31" s="197" t="n"/>
      <c r="H31" s="197" t="n"/>
      <c r="I31" s="197" t="n"/>
      <c r="J31" s="197" t="n"/>
      <c r="K31" s="197" t="n"/>
      <c r="L31" s="197" t="n"/>
      <c r="M31" s="197" t="n"/>
      <c r="N31" s="197" t="n"/>
      <c r="O31" s="197" t="n"/>
      <c r="P31" s="197" t="n"/>
      <c r="Q31" s="197" t="n"/>
      <c r="R31" s="197" t="n"/>
      <c r="S31" s="197" t="n"/>
    </row>
    <row r="32" ht="25.2" customHeight="1" s="408">
      <c r="C32" s="197" t="n"/>
      <c r="F32" s="197" t="n"/>
      <c r="G32" s="197" t="n"/>
      <c r="H32" s="197" t="n"/>
      <c r="I32" s="197" t="n"/>
      <c r="J32" s="197" t="n"/>
      <c r="K32" s="197" t="n"/>
      <c r="L32" s="197" t="n"/>
      <c r="M32" s="197" t="n"/>
      <c r="N32" s="197" t="n"/>
      <c r="O32" s="197" t="n"/>
      <c r="P32" s="197" t="n"/>
      <c r="Q32" s="197" t="n"/>
      <c r="R32" s="197" t="n"/>
      <c r="S32" s="197" t="n"/>
    </row>
    <row r="33" ht="25.2" customHeight="1" s="408">
      <c r="C33" s="197" t="n"/>
      <c r="F33" s="197" t="n"/>
      <c r="G33" s="197" t="n"/>
      <c r="H33" s="197" t="n"/>
      <c r="I33" s="197" t="n"/>
      <c r="J33" s="197" t="n"/>
      <c r="K33" s="197" t="n"/>
      <c r="L33" s="197" t="n"/>
      <c r="M33" s="197" t="n"/>
      <c r="N33" s="197" t="n"/>
      <c r="O33" s="197" t="n"/>
      <c r="P33" s="197" t="n"/>
      <c r="Q33" s="197" t="n"/>
      <c r="R33" s="197" t="n"/>
      <c r="S33" s="197" t="n"/>
    </row>
    <row r="34" ht="25.2" customHeight="1" s="408">
      <c r="C34" s="197" t="n"/>
      <c r="F34" s="197" t="n"/>
      <c r="G34" s="197" t="n"/>
      <c r="H34" s="197" t="n"/>
      <c r="I34" s="197" t="n"/>
      <c r="J34" s="197" t="n"/>
      <c r="K34" s="197" t="n"/>
      <c r="L34" s="197" t="n"/>
      <c r="M34" s="197" t="n"/>
      <c r="N34" s="197" t="n"/>
      <c r="O34" s="197" t="n"/>
      <c r="P34" s="197" t="n"/>
      <c r="Q34" s="197" t="n"/>
      <c r="R34" s="197" t="n"/>
      <c r="S34" s="197" t="n"/>
    </row>
    <row r="35" ht="25.2" customHeight="1" s="408">
      <c r="C35" s="197" t="n"/>
      <c r="F35" s="197" t="n"/>
      <c r="G35" s="197" t="n"/>
      <c r="H35" s="197" t="n"/>
      <c r="I35" s="197" t="n"/>
      <c r="J35" s="197" t="n"/>
      <c r="K35" s="197" t="n"/>
      <c r="L35" s="197" t="n"/>
      <c r="M35" s="197" t="n"/>
      <c r="N35" s="197" t="n"/>
      <c r="O35" s="197" t="n"/>
      <c r="P35" s="197" t="n"/>
      <c r="Q35" s="197" t="n"/>
      <c r="R35" s="197" t="n"/>
      <c r="S35" s="197" t="n"/>
    </row>
    <row r="36" ht="25.2" customHeight="1" s="408">
      <c r="C36" s="197" t="n"/>
      <c r="F36" s="197" t="n"/>
      <c r="G36" s="197" t="n"/>
      <c r="H36" s="197" t="n"/>
      <c r="I36" s="197" t="n"/>
      <c r="J36" s="197" t="n"/>
      <c r="K36" s="197" t="n"/>
      <c r="L36" s="197" t="n"/>
      <c r="M36" s="197" t="n"/>
      <c r="N36" s="197" t="n"/>
      <c r="O36" s="197" t="n"/>
      <c r="P36" s="197" t="n"/>
      <c r="Q36" s="197" t="n"/>
      <c r="R36" s="197" t="n"/>
      <c r="S36" s="197" t="n"/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4219"/>
  <sheetViews>
    <sheetView view="pageBreakPreview" zoomScale="85" zoomScaleNormal="100" zoomScaleSheetLayoutView="85" workbookViewId="0">
      <pane ySplit="8" topLeftCell="A9" activePane="bottomLeft" state="frozen"/>
      <selection pane="bottomLeft" activeCell="D17" sqref="D17"/>
    </sheetView>
  </sheetViews>
  <sheetFormatPr baseColWidth="8" defaultColWidth="9.109375" defaultRowHeight="45.6"/>
  <cols>
    <col width="11.33203125" customWidth="1" style="271" min="1" max="1"/>
    <col width="35.33203125" customWidth="1" style="271" min="2" max="2"/>
    <col width="11.88671875" customWidth="1" style="271" min="3" max="3"/>
    <col width="15.6640625" customWidth="1" style="271" min="4" max="4"/>
    <col width="8.6640625" customWidth="1" style="271" min="5" max="5"/>
    <col width="11.6640625" customWidth="1" style="271" min="6" max="6"/>
    <col width="21.88671875" customWidth="1" style="271" min="7" max="7"/>
    <col width="25.33203125" customWidth="1" style="271" min="8" max="8"/>
    <col width="9.109375" customWidth="1" style="1" min="9" max="16384"/>
  </cols>
  <sheetData>
    <row r="1" ht="31.2" customFormat="1" customHeight="1" s="293">
      <c r="A1" s="421" t="inlineStr">
        <is>
          <t>តារាងឧបសម្ព័ន្ធ I</t>
        </is>
      </c>
    </row>
    <row r="2" ht="22.8" customFormat="1" customHeight="1" s="293">
      <c r="A2" s="421" t="inlineStr">
        <is>
          <t>បញ្ជាក់អំពីអាករលើធាតុចូលដែលមិនអាចស្នើសុំជាឥណទាន</t>
        </is>
      </c>
    </row>
    <row r="3" ht="22.8" customFormat="1" customHeight="1" s="293">
      <c r="A3" s="421" t="inlineStr">
        <is>
          <t>( ការនាំចូលជាបន្ទុករបស់រដ្ឋ )</t>
        </is>
      </c>
    </row>
    <row r="4" ht="22.8" customFormat="1" customHeight="1" s="293">
      <c r="A4" s="206" t="inlineStr">
        <is>
          <t>ក្រុមហ៊ុន៖</t>
        </is>
      </c>
      <c r="B4" s="207">
        <f>'Company information'!C2</f>
        <v/>
      </c>
      <c r="C4" s="205" t="n"/>
      <c r="D4" s="208" t="n"/>
      <c r="E4" s="209" t="n"/>
      <c r="F4" s="210" t="n"/>
      <c r="G4" s="568" t="inlineStr">
        <is>
          <t xml:space="preserve">សវនករពន្ធដារ៖ </t>
        </is>
      </c>
      <c r="H4" s="569">
        <f>'Company information'!C8</f>
        <v/>
      </c>
    </row>
    <row r="5" ht="22.8" customFormat="1" customHeight="1" s="293">
      <c r="A5" s="213" t="inlineStr">
        <is>
          <t>លេខ អតប៖</t>
        </is>
      </c>
      <c r="B5" s="207">
        <f>'Company information'!C4</f>
        <v/>
      </c>
      <c r="C5" s="205" t="n"/>
      <c r="D5" s="208" t="n"/>
      <c r="E5" s="209" t="n"/>
      <c r="F5" s="208" t="n"/>
      <c r="G5" s="205" t="n"/>
      <c r="H5" s="569">
        <f>'Company information'!D8</f>
        <v/>
      </c>
    </row>
    <row r="6" ht="25.2" customFormat="1" customHeight="1" s="293">
      <c r="A6" s="570">
        <f>'Company information'!H8</f>
        <v/>
      </c>
      <c r="B6" s="207" t="n"/>
      <c r="D6" s="208" t="n"/>
      <c r="E6" s="209" t="n"/>
      <c r="F6" s="210" t="n"/>
      <c r="G6" s="571" t="inlineStr">
        <is>
          <t>ទឹកប្រាក់ស្នើសុំបង្វិលសងចំនួន៖</t>
        </is>
      </c>
      <c r="H6" s="572">
        <f>'Company information'!H9</f>
        <v/>
      </c>
    </row>
    <row r="7" ht="25.2" customFormat="1" customHeight="1" s="194">
      <c r="A7" s="422" t="inlineStr">
        <is>
          <t>ល.រ</t>
        </is>
      </c>
      <c r="B7" s="422" t="inlineStr">
        <is>
          <t>បរិយាយ</t>
        </is>
      </c>
      <c r="C7" s="422" t="inlineStr">
        <is>
          <t>ប្រតិវេទន៍គយនាំចូល/វិក្កយបត្រ</t>
        </is>
      </c>
      <c r="D7" s="573" t="n"/>
      <c r="E7" s="422" t="inlineStr">
        <is>
          <t>បង្កាន់ដៃទទួលប្រាក់</t>
        </is>
      </c>
      <c r="F7" s="573" t="n"/>
      <c r="G7" s="422" t="inlineStr">
        <is>
          <t>ប្រាក់អាករ (រៀល)</t>
        </is>
      </c>
      <c r="H7" s="422" t="inlineStr">
        <is>
          <t>ផ្សេងៗ</t>
        </is>
      </c>
    </row>
    <row r="8" ht="25.2" customFormat="1" customHeight="1" s="194">
      <c r="A8" s="574" t="n"/>
      <c r="B8" s="574" t="n"/>
      <c r="C8" s="422" t="inlineStr">
        <is>
          <t>លេខ</t>
        </is>
      </c>
      <c r="D8" s="422" t="inlineStr">
        <is>
          <t>ចុះថ្ងៃទី ខែ ឆ្នាំ</t>
        </is>
      </c>
      <c r="E8" s="422" t="inlineStr">
        <is>
          <t>លេខ</t>
        </is>
      </c>
      <c r="F8" s="422" t="inlineStr">
        <is>
          <t>ថ្ងៃ ខែ ឆ្នាំ</t>
        </is>
      </c>
      <c r="G8" s="574" t="n"/>
      <c r="H8" s="574" t="n"/>
    </row>
    <row r="9" ht="19.95" customFormat="1" customHeight="1" s="2">
      <c r="A9" s="277" t="n"/>
      <c r="B9" s="278" t="n"/>
      <c r="C9" s="279" t="n"/>
      <c r="D9" s="575" t="n"/>
      <c r="E9" s="576" t="n"/>
      <c r="F9" s="577" t="n"/>
      <c r="G9" s="283" t="n"/>
      <c r="H9" s="578" t="n"/>
      <c r="I9" s="195" t="n"/>
    </row>
    <row r="10" ht="19.95" customFormat="1" customHeight="1" s="511">
      <c r="A10" s="277" t="n"/>
      <c r="B10" s="285" t="n"/>
      <c r="C10" s="579" t="n"/>
      <c r="D10" s="580" t="n"/>
      <c r="E10" s="581" t="n"/>
      <c r="F10" s="577" t="n"/>
      <c r="G10" s="582" t="n"/>
      <c r="H10" s="583" t="n"/>
      <c r="I10" s="510" t="n"/>
    </row>
    <row r="11" ht="19.95" customFormat="1" customHeight="1" s="511">
      <c r="A11" s="277" t="n"/>
      <c r="B11" s="285" t="n"/>
      <c r="C11" s="579" t="n"/>
      <c r="D11" s="580" t="n"/>
      <c r="E11" s="581" t="n"/>
      <c r="F11" s="577" t="n"/>
      <c r="G11" s="582" t="n"/>
      <c r="H11" s="583" t="n"/>
      <c r="I11" s="510" t="n"/>
    </row>
    <row r="12" ht="19.95" customFormat="1" customHeight="1" s="511">
      <c r="A12" s="277" t="n"/>
      <c r="B12" s="285" t="n"/>
      <c r="C12" s="579" t="n"/>
      <c r="D12" s="580" t="n"/>
      <c r="E12" s="581" t="n"/>
      <c r="F12" s="577" t="n"/>
      <c r="G12" s="582" t="n"/>
      <c r="H12" s="583" t="n"/>
      <c r="I12" s="510" t="n"/>
    </row>
    <row r="13" ht="19.95" customFormat="1" customHeight="1" s="511">
      <c r="A13" s="277" t="n"/>
      <c r="B13" s="285" t="n"/>
      <c r="C13" s="579" t="n"/>
      <c r="D13" s="580" t="n"/>
      <c r="E13" s="581" t="n"/>
      <c r="F13" s="577" t="n"/>
      <c r="G13" s="582" t="n"/>
      <c r="H13" s="583" t="n"/>
      <c r="I13" s="510" t="n"/>
    </row>
    <row r="14" ht="19.95" customFormat="1" customHeight="1" s="511">
      <c r="A14" s="277" t="n"/>
      <c r="B14" s="285" t="n"/>
      <c r="C14" s="579" t="n"/>
      <c r="D14" s="580" t="n"/>
      <c r="E14" s="581" t="n"/>
      <c r="F14" s="577" t="n"/>
      <c r="G14" s="582" t="n"/>
      <c r="H14" s="583" t="n"/>
      <c r="I14" s="510" t="n"/>
    </row>
    <row r="15" ht="19.95" customFormat="1" customHeight="1" s="511">
      <c r="A15" s="277" t="n"/>
      <c r="B15" s="285" t="n"/>
      <c r="C15" s="579" t="n"/>
      <c r="D15" s="580" t="n"/>
      <c r="E15" s="581" t="n"/>
      <c r="F15" s="577" t="n"/>
      <c r="G15" s="582" t="n"/>
      <c r="H15" s="583" t="n"/>
      <c r="I15" s="510" t="n"/>
    </row>
    <row r="16" ht="19.95" customFormat="1" customHeight="1" s="511">
      <c r="A16" s="277" t="n"/>
      <c r="B16" s="285" t="n"/>
      <c r="C16" s="579" t="n"/>
      <c r="D16" s="580" t="n"/>
      <c r="E16" s="581" t="n"/>
      <c r="F16" s="577" t="n"/>
      <c r="G16" s="582" t="n"/>
      <c r="H16" s="583" t="n"/>
      <c r="I16" s="510" t="n"/>
    </row>
    <row r="17" ht="19.95" customFormat="1" customHeight="1" s="511">
      <c r="A17" s="277" t="n"/>
      <c r="B17" s="285" t="n"/>
      <c r="C17" s="579" t="n"/>
      <c r="D17" s="580" t="n"/>
      <c r="E17" s="581" t="n"/>
      <c r="F17" s="577" t="n"/>
      <c r="G17" s="582" t="n"/>
      <c r="H17" s="583" t="n"/>
      <c r="I17" s="510" t="n"/>
    </row>
    <row r="18" ht="19.95" customFormat="1" customHeight="1" s="511">
      <c r="A18" s="277" t="n"/>
      <c r="B18" s="285" t="n"/>
      <c r="C18" s="579" t="n"/>
      <c r="D18" s="580" t="n"/>
      <c r="E18" s="581" t="n"/>
      <c r="F18" s="577" t="n"/>
      <c r="G18" s="582" t="n"/>
      <c r="H18" s="583" t="n"/>
      <c r="I18" s="510" t="n"/>
    </row>
    <row r="19" ht="19.95" customFormat="1" customHeight="1" s="511">
      <c r="A19" s="277" t="n"/>
      <c r="B19" s="285" t="n"/>
      <c r="C19" s="579" t="n"/>
      <c r="D19" s="580" t="n"/>
      <c r="E19" s="581" t="n"/>
      <c r="F19" s="577" t="n"/>
      <c r="G19" s="582" t="n"/>
      <c r="H19" s="583" t="n"/>
      <c r="I19" s="510" t="n"/>
    </row>
    <row r="20" ht="19.95" customFormat="1" customHeight="1" s="511">
      <c r="A20" s="277" t="n"/>
      <c r="B20" s="285" t="n"/>
      <c r="C20" s="579" t="n"/>
      <c r="D20" s="580" t="n"/>
      <c r="E20" s="581" t="n"/>
      <c r="F20" s="577" t="n"/>
      <c r="G20" s="582" t="n"/>
      <c r="H20" s="583" t="n"/>
      <c r="I20" s="510" t="n"/>
    </row>
    <row r="21" ht="19.95" customFormat="1" customHeight="1" s="511">
      <c r="A21" s="277" t="n"/>
      <c r="B21" s="285" t="n"/>
      <c r="C21" s="579" t="n"/>
      <c r="D21" s="580" t="n"/>
      <c r="E21" s="581" t="n"/>
      <c r="F21" s="577" t="n"/>
      <c r="G21" s="582" t="n"/>
      <c r="H21" s="583" t="n"/>
      <c r="I21" s="510" t="n"/>
    </row>
    <row r="22" ht="19.95" customFormat="1" customHeight="1" s="511">
      <c r="A22" s="277" t="n"/>
      <c r="B22" s="285" t="n"/>
      <c r="C22" s="579" t="n"/>
      <c r="D22" s="580" t="n"/>
      <c r="E22" s="581" t="n"/>
      <c r="F22" s="577" t="n"/>
      <c r="G22" s="582" t="n"/>
      <c r="H22" s="583" t="n"/>
      <c r="I22" s="510" t="n"/>
    </row>
    <row r="23" ht="19.95" customFormat="1" customHeight="1" s="511">
      <c r="A23" s="277" t="n"/>
      <c r="B23" s="285" t="n"/>
      <c r="C23" s="579" t="n"/>
      <c r="D23" s="580" t="n"/>
      <c r="E23" s="581" t="n"/>
      <c r="F23" s="577" t="n"/>
      <c r="G23" s="582" t="n"/>
      <c r="H23" s="583" t="n"/>
      <c r="I23" s="510" t="n"/>
    </row>
    <row r="24" ht="19.95" customFormat="1" customHeight="1" s="511">
      <c r="A24" s="277" t="n"/>
      <c r="B24" s="285" t="n"/>
      <c r="C24" s="579" t="n"/>
      <c r="D24" s="580" t="n"/>
      <c r="E24" s="581" t="n"/>
      <c r="F24" s="577" t="n"/>
      <c r="G24" s="582" t="n"/>
      <c r="H24" s="583" t="n"/>
      <c r="I24" s="510" t="n"/>
    </row>
    <row r="25" ht="19.95" customFormat="1" customHeight="1" s="511">
      <c r="A25" s="277" t="n"/>
      <c r="B25" s="285" t="n"/>
      <c r="C25" s="579" t="n"/>
      <c r="D25" s="580" t="n"/>
      <c r="E25" s="581" t="n"/>
      <c r="F25" s="577" t="n"/>
      <c r="G25" s="582" t="n"/>
      <c r="H25" s="583" t="n"/>
      <c r="I25" s="510" t="n"/>
    </row>
    <row r="26" ht="19.95" customFormat="1" customHeight="1" s="511">
      <c r="A26" s="277" t="n"/>
      <c r="B26" s="285" t="n"/>
      <c r="C26" s="579" t="n"/>
      <c r="D26" s="580" t="n"/>
      <c r="E26" s="581" t="n"/>
      <c r="F26" s="577" t="n"/>
      <c r="G26" s="582" t="n"/>
      <c r="H26" s="583" t="n"/>
      <c r="I26" s="510" t="n"/>
    </row>
    <row r="27" ht="19.95" customFormat="1" customHeight="1" s="511">
      <c r="A27" s="277" t="n"/>
      <c r="B27" s="285" t="n"/>
      <c r="C27" s="579" t="n"/>
      <c r="D27" s="580" t="n"/>
      <c r="E27" s="581" t="n"/>
      <c r="F27" s="577" t="n"/>
      <c r="G27" s="582" t="n"/>
      <c r="H27" s="583" t="n"/>
      <c r="I27" s="510" t="n"/>
    </row>
    <row r="28" ht="19.95" customFormat="1" customHeight="1" s="511">
      <c r="A28" s="277" t="n"/>
      <c r="B28" s="285" t="n"/>
      <c r="C28" s="579" t="n"/>
      <c r="D28" s="580" t="n"/>
      <c r="E28" s="581" t="n"/>
      <c r="F28" s="577" t="n"/>
      <c r="G28" s="582" t="n"/>
      <c r="H28" s="583" t="n"/>
      <c r="I28" s="510" t="n"/>
    </row>
    <row r="29" ht="19.95" customFormat="1" customHeight="1" s="511">
      <c r="A29" s="277" t="n"/>
      <c r="B29" s="285" t="n"/>
      <c r="C29" s="579" t="n"/>
      <c r="D29" s="580" t="n"/>
      <c r="E29" s="581" t="n"/>
      <c r="F29" s="577" t="n"/>
      <c r="G29" s="582" t="n"/>
      <c r="H29" s="583" t="n"/>
      <c r="I29" s="510" t="n"/>
    </row>
    <row r="30" ht="19.95" customFormat="1" customHeight="1" s="511">
      <c r="A30" s="277" t="n"/>
      <c r="B30" s="285" t="n"/>
      <c r="C30" s="579" t="n"/>
      <c r="D30" s="580" t="n"/>
      <c r="E30" s="581" t="n"/>
      <c r="F30" s="577" t="n"/>
      <c r="G30" s="582" t="n"/>
      <c r="H30" s="583" t="n"/>
      <c r="I30" s="510" t="n"/>
    </row>
    <row r="31" ht="19.95" customFormat="1" customHeight="1" s="511">
      <c r="A31" s="277" t="n"/>
      <c r="B31" s="285" t="n"/>
      <c r="C31" s="579" t="n"/>
      <c r="D31" s="580" t="n"/>
      <c r="E31" s="581" t="n"/>
      <c r="F31" s="577" t="n"/>
      <c r="G31" s="582" t="n"/>
      <c r="H31" s="583" t="n"/>
      <c r="I31" s="510" t="n"/>
    </row>
    <row r="32" ht="19.95" customFormat="1" customHeight="1" s="511">
      <c r="A32" s="277" t="n"/>
      <c r="B32" s="285" t="n"/>
      <c r="C32" s="579" t="n"/>
      <c r="D32" s="580" t="n"/>
      <c r="E32" s="581" t="n"/>
      <c r="F32" s="577" t="n"/>
      <c r="G32" s="582" t="n"/>
      <c r="H32" s="583" t="n"/>
      <c r="I32" s="510" t="n"/>
    </row>
    <row r="33" ht="19.95" customFormat="1" customHeight="1" s="511">
      <c r="A33" s="277" t="n"/>
      <c r="B33" s="285" t="n"/>
      <c r="C33" s="579" t="n"/>
      <c r="D33" s="580" t="n"/>
      <c r="E33" s="581" t="n"/>
      <c r="F33" s="577" t="n"/>
      <c r="G33" s="582" t="n"/>
      <c r="H33" s="583" t="n"/>
      <c r="I33" s="510" t="n"/>
    </row>
    <row r="34" ht="19.95" customFormat="1" customHeight="1" s="511">
      <c r="A34" s="277" t="n"/>
      <c r="B34" s="285" t="n"/>
      <c r="C34" s="579" t="n"/>
      <c r="D34" s="580" t="n"/>
      <c r="E34" s="581" t="n"/>
      <c r="F34" s="577" t="n"/>
      <c r="G34" s="582" t="n"/>
      <c r="H34" s="583" t="n"/>
      <c r="I34" s="510" t="n"/>
    </row>
    <row r="35" ht="19.95" customFormat="1" customHeight="1" s="511">
      <c r="A35" s="277" t="n"/>
      <c r="B35" s="285" t="n"/>
      <c r="C35" s="579" t="n"/>
      <c r="D35" s="580" t="n"/>
      <c r="E35" s="581" t="n"/>
      <c r="F35" s="577" t="n"/>
      <c r="G35" s="582" t="n"/>
      <c r="H35" s="583" t="n"/>
      <c r="I35" s="510" t="n"/>
    </row>
    <row r="36" ht="19.95" customFormat="1" customHeight="1" s="511">
      <c r="A36" s="277" t="n"/>
      <c r="B36" s="285" t="n"/>
      <c r="C36" s="579" t="n"/>
      <c r="D36" s="580" t="n"/>
      <c r="E36" s="581" t="n"/>
      <c r="F36" s="577" t="n"/>
      <c r="G36" s="582" t="n"/>
      <c r="H36" s="583" t="n"/>
      <c r="I36" s="510" t="n"/>
    </row>
    <row r="37" ht="19.95" customFormat="1" customHeight="1" s="511">
      <c r="A37" s="277" t="n"/>
      <c r="B37" s="285" t="n"/>
      <c r="C37" s="579" t="n"/>
      <c r="D37" s="580" t="n"/>
      <c r="E37" s="581" t="n"/>
      <c r="F37" s="577" t="n"/>
      <c r="G37" s="582" t="n"/>
      <c r="H37" s="583" t="n"/>
      <c r="I37" s="510" t="n"/>
    </row>
    <row r="38" ht="19.95" customFormat="1" customHeight="1" s="511">
      <c r="A38" s="277" t="n"/>
      <c r="B38" s="285" t="n"/>
      <c r="C38" s="579" t="n"/>
      <c r="D38" s="580" t="n"/>
      <c r="E38" s="581" t="n"/>
      <c r="F38" s="577" t="n"/>
      <c r="G38" s="582" t="n"/>
      <c r="H38" s="583" t="n"/>
      <c r="I38" s="510" t="n"/>
    </row>
    <row r="39" ht="19.95" customFormat="1" customHeight="1" s="511">
      <c r="A39" s="277" t="n"/>
      <c r="B39" s="285" t="n"/>
      <c r="C39" s="579" t="n"/>
      <c r="D39" s="580" t="n"/>
      <c r="E39" s="581" t="n"/>
      <c r="F39" s="577" t="n"/>
      <c r="G39" s="582" t="n"/>
      <c r="H39" s="583" t="n"/>
      <c r="I39" s="510" t="n"/>
    </row>
    <row r="40" ht="19.95" customFormat="1" customHeight="1" s="511">
      <c r="A40" s="277" t="n"/>
      <c r="B40" s="285" t="n"/>
      <c r="C40" s="579" t="n"/>
      <c r="D40" s="580" t="n"/>
      <c r="E40" s="581" t="n"/>
      <c r="F40" s="577" t="n"/>
      <c r="G40" s="582" t="n"/>
      <c r="H40" s="583" t="n"/>
      <c r="I40" s="510" t="n"/>
    </row>
    <row r="41" ht="19.95" customFormat="1" customHeight="1" s="511">
      <c r="A41" s="277" t="n"/>
      <c r="B41" s="285" t="n"/>
      <c r="C41" s="579" t="n"/>
      <c r="D41" s="580" t="n"/>
      <c r="E41" s="581" t="n"/>
      <c r="F41" s="577" t="n"/>
      <c r="G41" s="582" t="n"/>
      <c r="H41" s="583" t="n"/>
      <c r="I41" s="510" t="n"/>
    </row>
    <row r="42" ht="19.95" customFormat="1" customHeight="1" s="511">
      <c r="A42" s="277" t="n"/>
      <c r="B42" s="285" t="n"/>
      <c r="C42" s="579" t="n"/>
      <c r="D42" s="580" t="n"/>
      <c r="E42" s="581" t="n"/>
      <c r="F42" s="577" t="n"/>
      <c r="G42" s="582" t="n"/>
      <c r="H42" s="583" t="n"/>
      <c r="I42" s="510" t="n"/>
    </row>
    <row r="43" ht="19.95" customFormat="1" customHeight="1" s="511">
      <c r="A43" s="277" t="n"/>
      <c r="B43" s="285" t="n"/>
      <c r="C43" s="579" t="n"/>
      <c r="D43" s="580" t="n"/>
      <c r="E43" s="581" t="n"/>
      <c r="F43" s="577" t="n"/>
      <c r="G43" s="582" t="n"/>
      <c r="H43" s="583" t="n"/>
      <c r="I43" s="510" t="n"/>
    </row>
    <row r="44" ht="19.95" customFormat="1" customHeight="1" s="511">
      <c r="A44" s="277" t="n"/>
      <c r="B44" s="285" t="n"/>
      <c r="C44" s="579" t="n"/>
      <c r="D44" s="580" t="n"/>
      <c r="E44" s="581" t="n"/>
      <c r="F44" s="577" t="n"/>
      <c r="G44" s="582" t="n"/>
      <c r="H44" s="583" t="n"/>
      <c r="I44" s="510" t="n"/>
    </row>
    <row r="45" ht="19.95" customFormat="1" customHeight="1" s="511">
      <c r="A45" s="277" t="n"/>
      <c r="B45" s="285" t="n"/>
      <c r="C45" s="579" t="n"/>
      <c r="D45" s="580" t="n"/>
      <c r="E45" s="581" t="n"/>
      <c r="F45" s="577" t="n"/>
      <c r="G45" s="582" t="n"/>
      <c r="H45" s="583" t="n"/>
      <c r="I45" s="510" t="n"/>
    </row>
    <row r="46" ht="19.95" customFormat="1" customHeight="1" s="511">
      <c r="A46" s="277" t="n"/>
      <c r="B46" s="285" t="n"/>
      <c r="C46" s="579" t="n"/>
      <c r="D46" s="580" t="n"/>
      <c r="E46" s="581" t="n"/>
      <c r="F46" s="577" t="n"/>
      <c r="G46" s="582" t="n"/>
      <c r="H46" s="583" t="n"/>
      <c r="I46" s="510" t="n"/>
    </row>
    <row r="47" ht="19.95" customFormat="1" customHeight="1" s="511">
      <c r="A47" s="277" t="n"/>
      <c r="B47" s="285" t="n"/>
      <c r="C47" s="579" t="n"/>
      <c r="D47" s="580" t="n"/>
      <c r="E47" s="581" t="n"/>
      <c r="F47" s="577" t="n"/>
      <c r="G47" s="582" t="n"/>
      <c r="H47" s="583" t="n"/>
      <c r="I47" s="510" t="n"/>
    </row>
    <row r="48" ht="19.95" customFormat="1" customHeight="1" s="511">
      <c r="A48" s="277" t="n"/>
      <c r="B48" s="285" t="n"/>
      <c r="C48" s="579" t="n"/>
      <c r="D48" s="580" t="n"/>
      <c r="E48" s="581" t="n"/>
      <c r="F48" s="577" t="n"/>
      <c r="G48" s="582" t="n"/>
      <c r="H48" s="583" t="n"/>
      <c r="I48" s="510" t="n"/>
    </row>
    <row r="49" ht="19.95" customFormat="1" customHeight="1" s="511">
      <c r="A49" s="277" t="n"/>
      <c r="B49" s="285" t="n"/>
      <c r="C49" s="579" t="n"/>
      <c r="D49" s="580" t="n"/>
      <c r="E49" s="581" t="n"/>
      <c r="F49" s="577" t="n"/>
      <c r="G49" s="582" t="n"/>
      <c r="H49" s="583" t="n"/>
      <c r="I49" s="510" t="n"/>
    </row>
    <row r="50" ht="19.95" customFormat="1" customHeight="1" s="511">
      <c r="A50" s="277" t="n"/>
      <c r="B50" s="285" t="n"/>
      <c r="C50" s="579" t="n"/>
      <c r="D50" s="580" t="n"/>
      <c r="E50" s="581" t="n"/>
      <c r="F50" s="577" t="n"/>
      <c r="G50" s="582" t="n"/>
      <c r="H50" s="583" t="n"/>
      <c r="I50" s="510" t="n"/>
    </row>
    <row r="51" ht="19.95" customFormat="1" customHeight="1" s="511">
      <c r="A51" s="277" t="n"/>
      <c r="B51" s="285" t="n"/>
      <c r="C51" s="579" t="n"/>
      <c r="D51" s="580" t="n"/>
      <c r="E51" s="581" t="n"/>
      <c r="F51" s="577" t="n"/>
      <c r="G51" s="582" t="n"/>
      <c r="H51" s="583" t="n"/>
      <c r="I51" s="510" t="n"/>
    </row>
    <row r="52" ht="19.95" customFormat="1" customHeight="1" s="511">
      <c r="A52" s="277" t="n"/>
      <c r="B52" s="285" t="n"/>
      <c r="C52" s="579" t="n"/>
      <c r="D52" s="580" t="n"/>
      <c r="E52" s="581" t="n"/>
      <c r="F52" s="577" t="n"/>
      <c r="G52" s="582" t="n"/>
      <c r="H52" s="583" t="n"/>
      <c r="I52" s="510" t="n"/>
    </row>
    <row r="53" ht="19.95" customFormat="1" customHeight="1" s="511">
      <c r="A53" s="277" t="n"/>
      <c r="B53" s="285" t="n"/>
      <c r="C53" s="579" t="n"/>
      <c r="D53" s="580" t="n"/>
      <c r="E53" s="581" t="n"/>
      <c r="F53" s="577" t="n"/>
      <c r="G53" s="582" t="n"/>
      <c r="H53" s="583" t="n"/>
      <c r="I53" s="510" t="n"/>
    </row>
    <row r="54" ht="19.95" customFormat="1" customHeight="1" s="511">
      <c r="A54" s="277" t="n"/>
      <c r="B54" s="285" t="n"/>
      <c r="C54" s="579" t="n"/>
      <c r="D54" s="580" t="n"/>
      <c r="E54" s="581" t="n"/>
      <c r="F54" s="577" t="n"/>
      <c r="G54" s="582" t="n"/>
      <c r="H54" s="583" t="n"/>
      <c r="I54" s="510" t="n"/>
    </row>
    <row r="55" ht="19.95" customFormat="1" customHeight="1" s="511">
      <c r="A55" s="277" t="n"/>
      <c r="B55" s="285" t="n"/>
      <c r="C55" s="579" t="n"/>
      <c r="D55" s="580" t="n"/>
      <c r="E55" s="581" t="n"/>
      <c r="F55" s="577" t="n"/>
      <c r="G55" s="582" t="n"/>
      <c r="H55" s="583" t="n"/>
      <c r="I55" s="510" t="n"/>
    </row>
    <row r="56" ht="19.95" customFormat="1" customHeight="1" s="511">
      <c r="A56" s="277" t="n"/>
      <c r="B56" s="285" t="n"/>
      <c r="C56" s="579" t="n"/>
      <c r="D56" s="580" t="n"/>
      <c r="E56" s="581" t="n"/>
      <c r="F56" s="577" t="n"/>
      <c r="G56" s="582" t="n"/>
      <c r="H56" s="583" t="n"/>
      <c r="I56" s="510" t="n"/>
    </row>
    <row r="57" ht="19.95" customFormat="1" customHeight="1" s="511">
      <c r="A57" s="277" t="n"/>
      <c r="B57" s="285" t="n"/>
      <c r="C57" s="579" t="n"/>
      <c r="D57" s="580" t="n"/>
      <c r="E57" s="581" t="n"/>
      <c r="F57" s="577" t="n"/>
      <c r="G57" s="582" t="n"/>
      <c r="H57" s="583" t="n"/>
      <c r="I57" s="510" t="n"/>
    </row>
    <row r="58" ht="19.95" customFormat="1" customHeight="1" s="511">
      <c r="A58" s="277" t="n"/>
      <c r="B58" s="285" t="n"/>
      <c r="C58" s="579" t="n"/>
      <c r="D58" s="580" t="n"/>
      <c r="E58" s="581" t="n"/>
      <c r="F58" s="577" t="n"/>
      <c r="G58" s="582" t="n"/>
      <c r="H58" s="583" t="n"/>
      <c r="I58" s="510" t="n"/>
    </row>
    <row r="59" ht="19.95" customFormat="1" customHeight="1" s="511">
      <c r="A59" s="277" t="n"/>
      <c r="B59" s="285" t="n"/>
      <c r="C59" s="579" t="n"/>
      <c r="D59" s="580" t="n"/>
      <c r="E59" s="581" t="n"/>
      <c r="F59" s="577" t="n"/>
      <c r="G59" s="582" t="n"/>
      <c r="H59" s="583" t="n"/>
      <c r="I59" s="510" t="n"/>
    </row>
    <row r="60" ht="19.95" customFormat="1" customHeight="1" s="511">
      <c r="A60" s="277" t="n"/>
      <c r="B60" s="285" t="n"/>
      <c r="C60" s="579" t="n"/>
      <c r="D60" s="580" t="n"/>
      <c r="E60" s="581" t="n"/>
      <c r="F60" s="577" t="n"/>
      <c r="G60" s="582" t="n"/>
      <c r="H60" s="583" t="n"/>
      <c r="I60" s="510" t="n"/>
    </row>
    <row r="61" ht="19.95" customFormat="1" customHeight="1" s="511">
      <c r="A61" s="277" t="n"/>
      <c r="B61" s="285" t="n"/>
      <c r="C61" s="579" t="n"/>
      <c r="D61" s="580" t="n"/>
      <c r="E61" s="581" t="n"/>
      <c r="F61" s="577" t="n"/>
      <c r="G61" s="582" t="n"/>
      <c r="H61" s="583" t="n"/>
      <c r="I61" s="510" t="n"/>
    </row>
    <row r="62" ht="19.95" customFormat="1" customHeight="1" s="511">
      <c r="A62" s="277" t="n"/>
      <c r="B62" s="285" t="n"/>
      <c r="C62" s="579" t="n"/>
      <c r="D62" s="580" t="n"/>
      <c r="E62" s="581" t="n"/>
      <c r="F62" s="577" t="n"/>
      <c r="G62" s="582" t="n"/>
      <c r="H62" s="583" t="n"/>
      <c r="I62" s="510" t="n"/>
    </row>
    <row r="63" ht="19.95" customFormat="1" customHeight="1" s="511">
      <c r="A63" s="277" t="n"/>
      <c r="B63" s="285" t="n"/>
      <c r="C63" s="579" t="n"/>
      <c r="D63" s="580" t="n"/>
      <c r="E63" s="581" t="n"/>
      <c r="F63" s="577" t="n"/>
      <c r="G63" s="582" t="n"/>
      <c r="H63" s="583" t="n"/>
      <c r="I63" s="510" t="n"/>
    </row>
    <row r="64" ht="19.95" customFormat="1" customHeight="1" s="511">
      <c r="A64" s="277" t="n"/>
      <c r="B64" s="285" t="n"/>
      <c r="C64" s="579" t="n"/>
      <c r="D64" s="580" t="n"/>
      <c r="E64" s="581" t="n"/>
      <c r="F64" s="577" t="n"/>
      <c r="G64" s="582" t="n"/>
      <c r="H64" s="583" t="n"/>
      <c r="I64" s="510" t="n"/>
    </row>
    <row r="65" ht="19.95" customFormat="1" customHeight="1" s="511">
      <c r="A65" s="277" t="n"/>
      <c r="B65" s="285" t="n"/>
      <c r="C65" s="579" t="n"/>
      <c r="D65" s="580" t="n"/>
      <c r="E65" s="581" t="n"/>
      <c r="F65" s="577" t="n"/>
      <c r="G65" s="582" t="n"/>
      <c r="H65" s="583" t="n"/>
      <c r="I65" s="510" t="n"/>
    </row>
    <row r="66" ht="19.95" customFormat="1" customHeight="1" s="511">
      <c r="A66" s="277" t="n"/>
      <c r="B66" s="285" t="n"/>
      <c r="C66" s="579" t="n"/>
      <c r="D66" s="580" t="n"/>
      <c r="E66" s="581" t="n"/>
      <c r="F66" s="577" t="n"/>
      <c r="G66" s="582" t="n"/>
      <c r="H66" s="583" t="n"/>
      <c r="I66" s="510" t="n"/>
    </row>
    <row r="67" ht="19.95" customFormat="1" customHeight="1" s="511">
      <c r="A67" s="277" t="n"/>
      <c r="B67" s="285" t="n"/>
      <c r="C67" s="579" t="n"/>
      <c r="D67" s="580" t="n"/>
      <c r="E67" s="581" t="n"/>
      <c r="F67" s="577" t="n"/>
      <c r="G67" s="582" t="n"/>
      <c r="H67" s="583" t="n"/>
      <c r="I67" s="510" t="n"/>
    </row>
    <row r="68" ht="19.95" customFormat="1" customHeight="1" s="511">
      <c r="A68" s="277" t="n"/>
      <c r="B68" s="285" t="n"/>
      <c r="C68" s="579" t="n"/>
      <c r="D68" s="580" t="n"/>
      <c r="E68" s="581" t="n"/>
      <c r="F68" s="577" t="n"/>
      <c r="G68" s="582" t="n"/>
      <c r="H68" s="583" t="n"/>
      <c r="I68" s="510" t="n"/>
    </row>
    <row r="69" ht="19.95" customFormat="1" customHeight="1" s="511">
      <c r="A69" s="277" t="n"/>
      <c r="B69" s="285" t="n"/>
      <c r="C69" s="579" t="n"/>
      <c r="D69" s="580" t="n"/>
      <c r="E69" s="581" t="n"/>
      <c r="F69" s="577" t="n"/>
      <c r="G69" s="582" t="n"/>
      <c r="H69" s="583" t="n"/>
      <c r="I69" s="510" t="n"/>
    </row>
    <row r="70" ht="19.95" customFormat="1" customHeight="1" s="511">
      <c r="A70" s="277" t="n"/>
      <c r="B70" s="285" t="n"/>
      <c r="C70" s="579" t="n"/>
      <c r="D70" s="580" t="n"/>
      <c r="E70" s="581" t="n"/>
      <c r="F70" s="577" t="n"/>
      <c r="G70" s="582" t="n"/>
      <c r="H70" s="583" t="n"/>
      <c r="I70" s="510" t="n"/>
    </row>
    <row r="71" ht="19.95" customFormat="1" customHeight="1" s="511">
      <c r="A71" s="277" t="n"/>
      <c r="B71" s="285" t="n"/>
      <c r="C71" s="579" t="n"/>
      <c r="D71" s="580" t="n"/>
      <c r="E71" s="581" t="n"/>
      <c r="F71" s="577" t="n"/>
      <c r="G71" s="582" t="n"/>
      <c r="H71" s="583" t="n"/>
      <c r="I71" s="510" t="n"/>
    </row>
    <row r="72" ht="19.95" customFormat="1" customHeight="1" s="511">
      <c r="A72" s="277" t="n"/>
      <c r="B72" s="285" t="n"/>
      <c r="C72" s="579" t="n"/>
      <c r="D72" s="580" t="n"/>
      <c r="E72" s="581" t="n"/>
      <c r="F72" s="577" t="n"/>
      <c r="G72" s="582" t="n"/>
      <c r="H72" s="583" t="n"/>
      <c r="I72" s="510" t="n"/>
    </row>
    <row r="73" ht="19.95" customFormat="1" customHeight="1" s="511">
      <c r="A73" s="277" t="n"/>
      <c r="B73" s="285" t="n"/>
      <c r="C73" s="579" t="n"/>
      <c r="D73" s="580" t="n"/>
      <c r="E73" s="581" t="n"/>
      <c r="F73" s="577" t="n"/>
      <c r="G73" s="582" t="n"/>
      <c r="H73" s="583" t="n"/>
      <c r="I73" s="510" t="n"/>
    </row>
    <row r="74" ht="19.95" customFormat="1" customHeight="1" s="511">
      <c r="A74" s="277" t="n"/>
      <c r="B74" s="285" t="n"/>
      <c r="C74" s="579" t="n"/>
      <c r="D74" s="580" t="n"/>
      <c r="E74" s="581" t="n"/>
      <c r="F74" s="577" t="n"/>
      <c r="G74" s="582" t="n"/>
      <c r="H74" s="583" t="n"/>
      <c r="I74" s="510" t="n"/>
    </row>
    <row r="75" ht="19.95" customFormat="1" customHeight="1" s="511">
      <c r="A75" s="277" t="n"/>
      <c r="B75" s="285" t="n"/>
      <c r="C75" s="579" t="n"/>
      <c r="D75" s="580" t="n"/>
      <c r="E75" s="581" t="n"/>
      <c r="F75" s="577" t="n"/>
      <c r="G75" s="582" t="n"/>
      <c r="H75" s="583" t="n"/>
      <c r="I75" s="510" t="n"/>
    </row>
    <row r="76" ht="19.95" customFormat="1" customHeight="1" s="511">
      <c r="A76" s="277" t="n"/>
      <c r="B76" s="285" t="n"/>
      <c r="C76" s="579" t="n"/>
      <c r="D76" s="580" t="n"/>
      <c r="E76" s="581" t="n"/>
      <c r="F76" s="577" t="n"/>
      <c r="G76" s="582" t="n"/>
      <c r="H76" s="583" t="n"/>
      <c r="I76" s="510" t="n"/>
    </row>
    <row r="77" ht="19.95" customFormat="1" customHeight="1" s="511">
      <c r="A77" s="277" t="n"/>
      <c r="B77" s="285" t="n"/>
      <c r="C77" s="579" t="n"/>
      <c r="D77" s="580" t="n"/>
      <c r="E77" s="581" t="n"/>
      <c r="F77" s="577" t="n"/>
      <c r="G77" s="582" t="n"/>
      <c r="H77" s="583" t="n"/>
      <c r="I77" s="510" t="n"/>
    </row>
    <row r="78" ht="19.95" customFormat="1" customHeight="1" s="511">
      <c r="A78" s="277" t="n"/>
      <c r="B78" s="285" t="n"/>
      <c r="C78" s="579" t="n"/>
      <c r="D78" s="580" t="n"/>
      <c r="E78" s="581" t="n"/>
      <c r="F78" s="577" t="n"/>
      <c r="G78" s="582" t="n"/>
      <c r="H78" s="583" t="n"/>
      <c r="I78" s="510" t="n"/>
    </row>
    <row r="79" ht="19.95" customFormat="1" customHeight="1" s="511">
      <c r="A79" s="277" t="n"/>
      <c r="B79" s="285" t="n"/>
      <c r="C79" s="579" t="n"/>
      <c r="D79" s="580" t="n"/>
      <c r="E79" s="581" t="n"/>
      <c r="F79" s="577" t="n"/>
      <c r="G79" s="582" t="n"/>
      <c r="H79" s="583" t="n"/>
      <c r="I79" s="510" t="n"/>
    </row>
    <row r="80" ht="19.95" customFormat="1" customHeight="1" s="511">
      <c r="A80" s="277" t="n"/>
      <c r="B80" s="285" t="n"/>
      <c r="C80" s="579" t="n"/>
      <c r="D80" s="580" t="n"/>
      <c r="E80" s="581" t="n"/>
      <c r="F80" s="577" t="n"/>
      <c r="G80" s="582" t="n"/>
      <c r="H80" s="583" t="n"/>
      <c r="I80" s="510" t="n"/>
    </row>
    <row r="81" ht="19.95" customFormat="1" customHeight="1" s="511">
      <c r="A81" s="277" t="n"/>
      <c r="B81" s="285" t="n"/>
      <c r="C81" s="579" t="n"/>
      <c r="D81" s="580" t="n"/>
      <c r="E81" s="581" t="n"/>
      <c r="F81" s="577" t="n"/>
      <c r="G81" s="582" t="n"/>
      <c r="H81" s="583" t="n"/>
      <c r="I81" s="510" t="n"/>
    </row>
    <row r="82" ht="19.95" customFormat="1" customHeight="1" s="511">
      <c r="A82" s="277" t="n"/>
      <c r="B82" s="285" t="n"/>
      <c r="C82" s="579" t="n"/>
      <c r="D82" s="580" t="n"/>
      <c r="E82" s="581" t="n"/>
      <c r="F82" s="577" t="n"/>
      <c r="G82" s="582" t="n"/>
      <c r="H82" s="583" t="n"/>
      <c r="I82" s="510" t="n"/>
    </row>
    <row r="83" ht="19.95" customFormat="1" customHeight="1" s="511">
      <c r="A83" s="277" t="n"/>
      <c r="B83" s="285" t="n"/>
      <c r="C83" s="579" t="n"/>
      <c r="D83" s="580" t="n"/>
      <c r="E83" s="581" t="n"/>
      <c r="F83" s="577" t="n"/>
      <c r="G83" s="582" t="n"/>
      <c r="H83" s="583" t="n"/>
      <c r="I83" s="510" t="n"/>
    </row>
    <row r="84" ht="19.95" customFormat="1" customHeight="1" s="511">
      <c r="A84" s="277" t="n"/>
      <c r="B84" s="285" t="n"/>
      <c r="C84" s="579" t="n"/>
      <c r="D84" s="580" t="n"/>
      <c r="E84" s="581" t="n"/>
      <c r="F84" s="577" t="n"/>
      <c r="G84" s="582" t="n"/>
      <c r="H84" s="583" t="n"/>
      <c r="I84" s="510" t="n"/>
    </row>
    <row r="85" ht="19.95" customFormat="1" customHeight="1" s="511">
      <c r="A85" s="277" t="n"/>
      <c r="B85" s="285" t="n"/>
      <c r="C85" s="579" t="n"/>
      <c r="D85" s="580" t="n"/>
      <c r="E85" s="581" t="n"/>
      <c r="F85" s="577" t="n"/>
      <c r="G85" s="582" t="n"/>
      <c r="H85" s="583" t="n"/>
      <c r="I85" s="510" t="n"/>
    </row>
    <row r="86" ht="19.95" customFormat="1" customHeight="1" s="511">
      <c r="A86" s="277" t="n"/>
      <c r="B86" s="285" t="n"/>
      <c r="C86" s="579" t="n"/>
      <c r="D86" s="580" t="n"/>
      <c r="E86" s="581" t="n"/>
      <c r="F86" s="577" t="n"/>
      <c r="G86" s="582" t="n"/>
      <c r="H86" s="583" t="n"/>
      <c r="I86" s="510" t="n"/>
    </row>
    <row r="87" ht="19.95" customFormat="1" customHeight="1" s="511">
      <c r="A87" s="277" t="n"/>
      <c r="B87" s="285" t="n"/>
      <c r="C87" s="579" t="n"/>
      <c r="D87" s="580" t="n"/>
      <c r="E87" s="581" t="n"/>
      <c r="F87" s="577" t="n"/>
      <c r="G87" s="582" t="n"/>
      <c r="H87" s="583" t="n"/>
      <c r="I87" s="510" t="n"/>
    </row>
    <row r="88" ht="19.95" customFormat="1" customHeight="1" s="511">
      <c r="A88" s="277" t="n"/>
      <c r="B88" s="285" t="n"/>
      <c r="C88" s="579" t="n"/>
      <c r="D88" s="580" t="n"/>
      <c r="E88" s="581" t="n"/>
      <c r="F88" s="577" t="n"/>
      <c r="G88" s="582" t="n"/>
      <c r="H88" s="583" t="n"/>
      <c r="I88" s="510" t="n"/>
    </row>
    <row r="89" ht="19.95" customFormat="1" customHeight="1" s="511">
      <c r="A89" s="277" t="n"/>
      <c r="B89" s="285" t="n"/>
      <c r="C89" s="579" t="n"/>
      <c r="D89" s="580" t="n"/>
      <c r="E89" s="581" t="n"/>
      <c r="F89" s="577" t="n"/>
      <c r="G89" s="582" t="n"/>
      <c r="H89" s="583" t="n"/>
      <c r="I89" s="510" t="n"/>
    </row>
    <row r="90" ht="19.95" customFormat="1" customHeight="1" s="511">
      <c r="A90" s="277" t="n"/>
      <c r="B90" s="285" t="n"/>
      <c r="C90" s="579" t="n"/>
      <c r="D90" s="580" t="n"/>
      <c r="E90" s="581" t="n"/>
      <c r="F90" s="577" t="n"/>
      <c r="G90" s="582" t="n"/>
      <c r="H90" s="583" t="n"/>
      <c r="I90" s="510" t="n"/>
    </row>
    <row r="91" ht="19.95" customFormat="1" customHeight="1" s="511">
      <c r="A91" s="277" t="n"/>
      <c r="B91" s="285" t="n"/>
      <c r="C91" s="579" t="n"/>
      <c r="D91" s="580" t="n"/>
      <c r="E91" s="581" t="n"/>
      <c r="F91" s="577" t="n"/>
      <c r="G91" s="582" t="n"/>
      <c r="H91" s="583" t="n"/>
      <c r="I91" s="510" t="n"/>
    </row>
    <row r="92" ht="19.95" customFormat="1" customHeight="1" s="511">
      <c r="A92" s="277" t="n"/>
      <c r="B92" s="285" t="n"/>
      <c r="C92" s="579" t="n"/>
      <c r="D92" s="580" t="n"/>
      <c r="E92" s="581" t="n"/>
      <c r="F92" s="577" t="n"/>
      <c r="G92" s="582" t="n"/>
      <c r="H92" s="583" t="n"/>
      <c r="I92" s="510" t="n"/>
    </row>
    <row r="93" ht="19.95" customFormat="1" customHeight="1" s="511">
      <c r="A93" s="277" t="n"/>
      <c r="B93" s="285" t="n"/>
      <c r="C93" s="579" t="n"/>
      <c r="D93" s="580" t="n"/>
      <c r="E93" s="581" t="n"/>
      <c r="F93" s="577" t="n"/>
      <c r="G93" s="582" t="n"/>
      <c r="H93" s="583" t="n"/>
      <c r="I93" s="510" t="n"/>
    </row>
    <row r="94" ht="19.95" customFormat="1" customHeight="1" s="511">
      <c r="A94" s="277" t="n"/>
      <c r="B94" s="285" t="n"/>
      <c r="C94" s="579" t="n"/>
      <c r="D94" s="580" t="n"/>
      <c r="E94" s="581" t="n"/>
      <c r="F94" s="577" t="n"/>
      <c r="G94" s="582" t="n"/>
      <c r="H94" s="583" t="n"/>
      <c r="I94" s="510" t="n"/>
    </row>
    <row r="95" ht="19.95" customFormat="1" customHeight="1" s="511">
      <c r="A95" s="277" t="n"/>
      <c r="B95" s="285" t="n"/>
      <c r="C95" s="579" t="n"/>
      <c r="D95" s="580" t="n"/>
      <c r="E95" s="581" t="n"/>
      <c r="F95" s="577" t="n"/>
      <c r="G95" s="582" t="n"/>
      <c r="H95" s="583" t="n"/>
      <c r="I95" s="510" t="n"/>
    </row>
    <row r="96" ht="19.95" customFormat="1" customHeight="1" s="511">
      <c r="A96" s="277" t="n"/>
      <c r="B96" s="285" t="n"/>
      <c r="C96" s="579" t="n"/>
      <c r="D96" s="580" t="n"/>
      <c r="E96" s="581" t="n"/>
      <c r="F96" s="577" t="n"/>
      <c r="G96" s="582" t="n"/>
      <c r="H96" s="583" t="n"/>
      <c r="I96" s="510" t="n"/>
    </row>
    <row r="97" ht="19.95" customFormat="1" customHeight="1" s="511">
      <c r="A97" s="277" t="n"/>
      <c r="B97" s="285" t="n"/>
      <c r="C97" s="579" t="n"/>
      <c r="D97" s="580" t="n"/>
      <c r="E97" s="581" t="n"/>
      <c r="F97" s="577" t="n"/>
      <c r="G97" s="582" t="n"/>
      <c r="H97" s="583" t="n"/>
      <c r="I97" s="510" t="n"/>
    </row>
    <row r="98" ht="19.95" customFormat="1" customHeight="1" s="511">
      <c r="A98" s="277" t="n"/>
      <c r="B98" s="285" t="n"/>
      <c r="C98" s="579" t="n"/>
      <c r="D98" s="580" t="n"/>
      <c r="E98" s="581" t="n"/>
      <c r="F98" s="577" t="n"/>
      <c r="G98" s="582" t="n"/>
      <c r="H98" s="583" t="n"/>
      <c r="I98" s="510" t="n"/>
    </row>
    <row r="99" ht="19.95" customFormat="1" customHeight="1" s="511">
      <c r="A99" s="277" t="n"/>
      <c r="B99" s="285" t="n"/>
      <c r="C99" s="579" t="n"/>
      <c r="D99" s="580" t="n"/>
      <c r="E99" s="581" t="n"/>
      <c r="F99" s="577" t="n"/>
      <c r="G99" s="582" t="n"/>
      <c r="H99" s="583" t="n"/>
      <c r="I99" s="510" t="n"/>
    </row>
    <row r="100" ht="19.95" customFormat="1" customHeight="1" s="511">
      <c r="A100" s="277" t="n"/>
      <c r="B100" s="285" t="n"/>
      <c r="C100" s="579" t="n"/>
      <c r="D100" s="580" t="n"/>
      <c r="E100" s="581" t="n"/>
      <c r="F100" s="577" t="n"/>
      <c r="G100" s="582" t="n"/>
      <c r="H100" s="583" t="n"/>
      <c r="I100" s="510" t="n"/>
    </row>
    <row r="101" ht="19.95" customFormat="1" customHeight="1" s="511">
      <c r="A101" s="277" t="n"/>
      <c r="B101" s="285" t="n"/>
      <c r="C101" s="579" t="n"/>
      <c r="D101" s="580" t="n"/>
      <c r="E101" s="581" t="n"/>
      <c r="F101" s="577" t="n"/>
      <c r="G101" s="582" t="n"/>
      <c r="H101" s="583" t="n"/>
      <c r="I101" s="510" t="n"/>
    </row>
    <row r="102" ht="19.95" customFormat="1" customHeight="1" s="511">
      <c r="A102" s="277" t="n"/>
      <c r="B102" s="285" t="n"/>
      <c r="C102" s="579" t="n"/>
      <c r="D102" s="580" t="n"/>
      <c r="E102" s="581" t="n"/>
      <c r="F102" s="577" t="n"/>
      <c r="G102" s="582" t="n"/>
      <c r="H102" s="583" t="n"/>
      <c r="I102" s="510" t="n"/>
    </row>
    <row r="103" ht="19.95" customFormat="1" customHeight="1" s="511">
      <c r="A103" s="277" t="n"/>
      <c r="B103" s="285" t="n"/>
      <c r="C103" s="579" t="n"/>
      <c r="D103" s="580" t="n"/>
      <c r="E103" s="581" t="n"/>
      <c r="F103" s="577" t="n"/>
      <c r="G103" s="582" t="n"/>
      <c r="H103" s="583" t="n"/>
      <c r="I103" s="510" t="n"/>
    </row>
    <row r="104" ht="19.95" customFormat="1" customHeight="1" s="511">
      <c r="A104" s="277" t="n"/>
      <c r="B104" s="285" t="n"/>
      <c r="C104" s="579" t="n"/>
      <c r="D104" s="580" t="n"/>
      <c r="E104" s="581" t="n"/>
      <c r="F104" s="577" t="n"/>
      <c r="G104" s="582" t="n"/>
      <c r="H104" s="583" t="n"/>
      <c r="I104" s="510" t="n"/>
    </row>
    <row r="105" ht="19.95" customFormat="1" customHeight="1" s="511">
      <c r="A105" s="277" t="n"/>
      <c r="B105" s="285" t="n"/>
      <c r="C105" s="579" t="n"/>
      <c r="D105" s="580" t="n"/>
      <c r="E105" s="581" t="n"/>
      <c r="F105" s="577" t="n"/>
      <c r="G105" s="582" t="n"/>
      <c r="H105" s="583" t="n"/>
      <c r="I105" s="510" t="n"/>
    </row>
    <row r="106" ht="19.95" customFormat="1" customHeight="1" s="511">
      <c r="A106" s="277" t="n"/>
      <c r="B106" s="285" t="n"/>
      <c r="C106" s="579" t="n"/>
      <c r="D106" s="580" t="n"/>
      <c r="E106" s="581" t="n"/>
      <c r="F106" s="577" t="n"/>
      <c r="G106" s="582" t="n"/>
      <c r="H106" s="583" t="n"/>
      <c r="I106" s="510" t="n"/>
    </row>
    <row r="107" ht="19.95" customFormat="1" customHeight="1" s="511">
      <c r="A107" s="277" t="n"/>
      <c r="B107" s="285" t="n"/>
      <c r="C107" s="579" t="n"/>
      <c r="D107" s="580" t="n"/>
      <c r="E107" s="581" t="n"/>
      <c r="F107" s="577" t="n"/>
      <c r="G107" s="582" t="n"/>
      <c r="H107" s="583" t="n"/>
      <c r="I107" s="510" t="n"/>
    </row>
    <row r="108" ht="19.95" customFormat="1" customHeight="1" s="511">
      <c r="A108" s="277" t="n"/>
      <c r="B108" s="285" t="n"/>
      <c r="C108" s="579" t="n"/>
      <c r="D108" s="580" t="n"/>
      <c r="E108" s="581" t="n"/>
      <c r="F108" s="577" t="n"/>
      <c r="G108" s="582" t="n"/>
      <c r="H108" s="583" t="n"/>
      <c r="I108" s="510" t="n"/>
    </row>
    <row r="109" ht="19.95" customFormat="1" customHeight="1" s="511">
      <c r="A109" s="277" t="n"/>
      <c r="B109" s="285" t="n"/>
      <c r="C109" s="579" t="n"/>
      <c r="D109" s="580" t="n"/>
      <c r="E109" s="581" t="n"/>
      <c r="F109" s="577" t="n"/>
      <c r="G109" s="582" t="n"/>
      <c r="H109" s="583" t="n"/>
      <c r="I109" s="510" t="n"/>
    </row>
    <row r="110" ht="19.95" customFormat="1" customHeight="1" s="511">
      <c r="A110" s="277" t="n"/>
      <c r="B110" s="285" t="n"/>
      <c r="C110" s="579" t="n"/>
      <c r="D110" s="580" t="n"/>
      <c r="E110" s="581" t="n"/>
      <c r="F110" s="577" t="n"/>
      <c r="G110" s="582" t="n"/>
      <c r="H110" s="583" t="n"/>
      <c r="I110" s="510" t="n"/>
    </row>
    <row r="111" ht="19.95" customFormat="1" customHeight="1" s="511">
      <c r="A111" s="277" t="n"/>
      <c r="B111" s="285" t="n"/>
      <c r="C111" s="579" t="n"/>
      <c r="D111" s="580" t="n"/>
      <c r="E111" s="581" t="n"/>
      <c r="F111" s="577" t="n"/>
      <c r="G111" s="582" t="n"/>
      <c r="H111" s="583" t="n"/>
      <c r="I111" s="510" t="n"/>
    </row>
    <row r="112" ht="19.95" customFormat="1" customHeight="1" s="511">
      <c r="A112" s="277" t="n"/>
      <c r="B112" s="285" t="n"/>
      <c r="C112" s="579" t="n"/>
      <c r="D112" s="580" t="n"/>
      <c r="E112" s="581" t="n"/>
      <c r="F112" s="577" t="n"/>
      <c r="G112" s="582" t="n"/>
      <c r="H112" s="583" t="n"/>
      <c r="I112" s="510" t="n"/>
    </row>
    <row r="113" ht="19.95" customFormat="1" customHeight="1" s="511">
      <c r="A113" s="277" t="n"/>
      <c r="B113" s="285" t="n"/>
      <c r="C113" s="579" t="n"/>
      <c r="D113" s="580" t="n"/>
      <c r="E113" s="581" t="n"/>
      <c r="F113" s="577" t="n"/>
      <c r="G113" s="582" t="n"/>
      <c r="H113" s="583" t="n"/>
      <c r="I113" s="510" t="n"/>
    </row>
    <row r="114" ht="19.95" customFormat="1" customHeight="1" s="511">
      <c r="A114" s="277" t="n"/>
      <c r="B114" s="285" t="n"/>
      <c r="C114" s="579" t="n"/>
      <c r="D114" s="580" t="n"/>
      <c r="E114" s="581" t="n"/>
      <c r="F114" s="577" t="n"/>
      <c r="G114" s="582" t="n"/>
      <c r="H114" s="583" t="n"/>
      <c r="I114" s="510" t="n"/>
    </row>
    <row r="115" ht="19.95" customFormat="1" customHeight="1" s="511">
      <c r="A115" s="277" t="n"/>
      <c r="B115" s="285" t="n"/>
      <c r="C115" s="579" t="n"/>
      <c r="D115" s="580" t="n"/>
      <c r="E115" s="581" t="n"/>
      <c r="F115" s="577" t="n"/>
      <c r="G115" s="582" t="n"/>
      <c r="H115" s="583" t="n"/>
      <c r="I115" s="510" t="n"/>
    </row>
    <row r="116" ht="19.95" customFormat="1" customHeight="1" s="511">
      <c r="A116" s="277" t="n"/>
      <c r="B116" s="285" t="n"/>
      <c r="C116" s="579" t="n"/>
      <c r="D116" s="580" t="n"/>
      <c r="E116" s="581" t="n"/>
      <c r="F116" s="577" t="n"/>
      <c r="G116" s="582" t="n"/>
      <c r="H116" s="583" t="n"/>
      <c r="I116" s="510" t="n"/>
    </row>
    <row r="117" ht="19.95" customFormat="1" customHeight="1" s="511">
      <c r="A117" s="277" t="n"/>
      <c r="B117" s="285" t="n"/>
      <c r="C117" s="579" t="n"/>
      <c r="D117" s="580" t="n"/>
      <c r="E117" s="581" t="n"/>
      <c r="F117" s="577" t="n"/>
      <c r="G117" s="582" t="n"/>
      <c r="H117" s="583" t="n"/>
      <c r="I117" s="510" t="n"/>
    </row>
    <row r="118" ht="19.95" customFormat="1" customHeight="1" s="511">
      <c r="A118" s="277" t="n"/>
      <c r="B118" s="285" t="n"/>
      <c r="C118" s="579" t="n"/>
      <c r="D118" s="580" t="n"/>
      <c r="E118" s="581" t="n"/>
      <c r="F118" s="577" t="n"/>
      <c r="G118" s="582" t="n"/>
      <c r="H118" s="583" t="n"/>
      <c r="I118" s="510" t="n"/>
    </row>
    <row r="119" ht="19.95" customFormat="1" customHeight="1" s="511">
      <c r="A119" s="277" t="n"/>
      <c r="B119" s="285" t="n"/>
      <c r="C119" s="579" t="n"/>
      <c r="D119" s="580" t="n"/>
      <c r="E119" s="581" t="n"/>
      <c r="F119" s="577" t="n"/>
      <c r="G119" s="582" t="n"/>
      <c r="H119" s="583" t="n"/>
      <c r="I119" s="510" t="n"/>
    </row>
    <row r="120" ht="19.95" customFormat="1" customHeight="1" s="511">
      <c r="A120" s="277" t="n"/>
      <c r="B120" s="285" t="n"/>
      <c r="C120" s="579" t="n"/>
      <c r="D120" s="580" t="n"/>
      <c r="E120" s="581" t="n"/>
      <c r="F120" s="577" t="n"/>
      <c r="G120" s="582" t="n"/>
      <c r="H120" s="583" t="n"/>
      <c r="I120" s="510" t="n"/>
    </row>
    <row r="121" ht="19.95" customFormat="1" customHeight="1" s="511">
      <c r="A121" s="277" t="n"/>
      <c r="B121" s="285" t="n"/>
      <c r="C121" s="579" t="n"/>
      <c r="D121" s="580" t="n"/>
      <c r="E121" s="581" t="n"/>
      <c r="F121" s="577" t="n"/>
      <c r="G121" s="582" t="n"/>
      <c r="H121" s="583" t="n"/>
      <c r="I121" s="510" t="n"/>
    </row>
    <row r="122" ht="19.95" customFormat="1" customHeight="1" s="511">
      <c r="A122" s="277" t="n"/>
      <c r="B122" s="285" t="n"/>
      <c r="C122" s="579" t="n"/>
      <c r="D122" s="580" t="n"/>
      <c r="E122" s="581" t="n"/>
      <c r="F122" s="577" t="n"/>
      <c r="G122" s="582" t="n"/>
      <c r="H122" s="583" t="n"/>
      <c r="I122" s="510" t="n"/>
    </row>
    <row r="123" ht="19.95" customFormat="1" customHeight="1" s="511">
      <c r="A123" s="277" t="n"/>
      <c r="B123" s="285" t="n"/>
      <c r="C123" s="579" t="n"/>
      <c r="D123" s="580" t="n"/>
      <c r="E123" s="581" t="n"/>
      <c r="F123" s="577" t="n"/>
      <c r="G123" s="582" t="n"/>
      <c r="H123" s="583" t="n"/>
      <c r="I123" s="510" t="n"/>
    </row>
    <row r="124" ht="19.95" customFormat="1" customHeight="1" s="511">
      <c r="A124" s="277" t="n"/>
      <c r="B124" s="285" t="n"/>
      <c r="C124" s="579" t="n"/>
      <c r="D124" s="580" t="n"/>
      <c r="E124" s="581" t="n"/>
      <c r="F124" s="577" t="n"/>
      <c r="G124" s="582" t="n"/>
      <c r="H124" s="583" t="n"/>
      <c r="I124" s="510" t="n"/>
    </row>
    <row r="125" ht="19.95" customFormat="1" customHeight="1" s="511">
      <c r="A125" s="277" t="n"/>
      <c r="B125" s="285" t="n"/>
      <c r="C125" s="579" t="n"/>
      <c r="D125" s="580" t="n"/>
      <c r="E125" s="581" t="n"/>
      <c r="F125" s="577" t="n"/>
      <c r="G125" s="582" t="n"/>
      <c r="H125" s="583" t="n"/>
      <c r="I125" s="510" t="n"/>
    </row>
    <row r="126" ht="19.95" customFormat="1" customHeight="1" s="511">
      <c r="A126" s="277" t="n"/>
      <c r="B126" s="285" t="n"/>
      <c r="C126" s="579" t="n"/>
      <c r="D126" s="580" t="n"/>
      <c r="E126" s="581" t="n"/>
      <c r="F126" s="577" t="n"/>
      <c r="G126" s="582" t="n"/>
      <c r="H126" s="583" t="n"/>
      <c r="I126" s="510" t="n"/>
    </row>
    <row r="127" ht="19.95" customFormat="1" customHeight="1" s="511">
      <c r="A127" s="277" t="n"/>
      <c r="B127" s="285" t="n"/>
      <c r="C127" s="579" t="n"/>
      <c r="D127" s="580" t="n"/>
      <c r="E127" s="581" t="n"/>
      <c r="F127" s="577" t="n"/>
      <c r="G127" s="582" t="n"/>
      <c r="H127" s="583" t="n"/>
      <c r="I127" s="510" t="n"/>
    </row>
    <row r="128" ht="19.95" customFormat="1" customHeight="1" s="511">
      <c r="A128" s="277" t="n"/>
      <c r="B128" s="285" t="n"/>
      <c r="C128" s="579" t="n"/>
      <c r="D128" s="580" t="n"/>
      <c r="E128" s="581" t="n"/>
      <c r="F128" s="577" t="n"/>
      <c r="G128" s="582" t="n"/>
      <c r="H128" s="583" t="n"/>
      <c r="I128" s="510" t="n"/>
    </row>
    <row r="129" ht="19.95" customFormat="1" customHeight="1" s="511">
      <c r="A129" s="277" t="n"/>
      <c r="B129" s="285" t="n"/>
      <c r="C129" s="579" t="n"/>
      <c r="D129" s="580" t="n"/>
      <c r="E129" s="581" t="n"/>
      <c r="F129" s="577" t="n"/>
      <c r="G129" s="582" t="n"/>
      <c r="H129" s="583" t="n"/>
      <c r="I129" s="510" t="n"/>
    </row>
    <row r="130" ht="19.95" customFormat="1" customHeight="1" s="511">
      <c r="A130" s="277" t="n"/>
      <c r="B130" s="285" t="n"/>
      <c r="C130" s="579" t="n"/>
      <c r="D130" s="580" t="n"/>
      <c r="E130" s="581" t="n"/>
      <c r="F130" s="577" t="n"/>
      <c r="G130" s="582" t="n"/>
      <c r="H130" s="583" t="n"/>
      <c r="I130" s="510" t="n"/>
    </row>
    <row r="131" ht="19.95" customFormat="1" customHeight="1" s="511">
      <c r="A131" s="277" t="n"/>
      <c r="B131" s="285" t="n"/>
      <c r="C131" s="579" t="n"/>
      <c r="D131" s="580" t="n"/>
      <c r="E131" s="581" t="n"/>
      <c r="F131" s="577" t="n"/>
      <c r="G131" s="582" t="n"/>
      <c r="H131" s="583" t="n"/>
      <c r="I131" s="510" t="n"/>
    </row>
    <row r="132" ht="19.95" customFormat="1" customHeight="1" s="511">
      <c r="A132" s="277" t="n"/>
      <c r="B132" s="285" t="n"/>
      <c r="C132" s="579" t="n"/>
      <c r="D132" s="580" t="n"/>
      <c r="E132" s="581" t="n"/>
      <c r="F132" s="577" t="n"/>
      <c r="G132" s="582" t="n"/>
      <c r="H132" s="583" t="n"/>
      <c r="I132" s="510" t="n"/>
    </row>
    <row r="133" ht="19.95" customFormat="1" customHeight="1" s="511">
      <c r="A133" s="277" t="n"/>
      <c r="B133" s="285" t="n"/>
      <c r="C133" s="579" t="n"/>
      <c r="D133" s="580" t="n"/>
      <c r="E133" s="581" t="n"/>
      <c r="F133" s="577" t="n"/>
      <c r="G133" s="582" t="n"/>
      <c r="H133" s="583" t="n"/>
      <c r="I133" s="510" t="n"/>
    </row>
    <row r="134" ht="19.95" customFormat="1" customHeight="1" s="511">
      <c r="A134" s="277" t="n"/>
      <c r="B134" s="285" t="n"/>
      <c r="C134" s="579" t="n"/>
      <c r="D134" s="580" t="n"/>
      <c r="E134" s="581" t="n"/>
      <c r="F134" s="577" t="n"/>
      <c r="G134" s="582" t="n"/>
      <c r="H134" s="583" t="n"/>
      <c r="I134" s="510" t="n"/>
    </row>
    <row r="135" ht="19.95" customFormat="1" customHeight="1" s="511">
      <c r="A135" s="277" t="n"/>
      <c r="B135" s="285" t="n"/>
      <c r="C135" s="579" t="n"/>
      <c r="D135" s="580" t="n"/>
      <c r="E135" s="581" t="n"/>
      <c r="F135" s="577" t="n"/>
      <c r="G135" s="582" t="n"/>
      <c r="H135" s="583" t="n"/>
      <c r="I135" s="510" t="n"/>
    </row>
    <row r="136" ht="19.95" customFormat="1" customHeight="1" s="511">
      <c r="A136" s="277" t="n"/>
      <c r="B136" s="285" t="n"/>
      <c r="C136" s="579" t="n"/>
      <c r="D136" s="580" t="n"/>
      <c r="E136" s="581" t="n"/>
      <c r="F136" s="577" t="n"/>
      <c r="G136" s="582" t="n"/>
      <c r="H136" s="583" t="n"/>
      <c r="I136" s="510" t="n"/>
    </row>
    <row r="137" ht="19.95" customFormat="1" customHeight="1" s="511">
      <c r="A137" s="277" t="n"/>
      <c r="B137" s="285" t="n"/>
      <c r="C137" s="579" t="n"/>
      <c r="D137" s="580" t="n"/>
      <c r="E137" s="581" t="n"/>
      <c r="F137" s="577" t="n"/>
      <c r="G137" s="582" t="n"/>
      <c r="H137" s="583" t="n"/>
      <c r="I137" s="510" t="n"/>
    </row>
    <row r="138" ht="19.95" customFormat="1" customHeight="1" s="511">
      <c r="A138" s="277" t="n"/>
      <c r="B138" s="285" t="n"/>
      <c r="C138" s="579" t="n"/>
      <c r="D138" s="580" t="n"/>
      <c r="E138" s="581" t="n"/>
      <c r="F138" s="577" t="n"/>
      <c r="G138" s="582" t="n"/>
      <c r="H138" s="583" t="n"/>
      <c r="I138" s="510" t="n"/>
    </row>
    <row r="139" ht="19.95" customFormat="1" customHeight="1" s="511">
      <c r="A139" s="277" t="n"/>
      <c r="B139" s="285" t="n"/>
      <c r="C139" s="579" t="n"/>
      <c r="D139" s="580" t="n"/>
      <c r="E139" s="581" t="n"/>
      <c r="F139" s="577" t="n"/>
      <c r="G139" s="582" t="n"/>
      <c r="H139" s="583" t="n"/>
      <c r="I139" s="510" t="n"/>
    </row>
    <row r="140" ht="19.95" customFormat="1" customHeight="1" s="511">
      <c r="A140" s="277" t="n"/>
      <c r="B140" s="285" t="n"/>
      <c r="C140" s="579" t="n"/>
      <c r="D140" s="580" t="n"/>
      <c r="E140" s="581" t="n"/>
      <c r="F140" s="577" t="n"/>
      <c r="G140" s="582" t="n"/>
      <c r="H140" s="583" t="n"/>
      <c r="I140" s="510" t="n"/>
    </row>
    <row r="141" ht="19.95" customFormat="1" customHeight="1" s="511">
      <c r="A141" s="277" t="n"/>
      <c r="B141" s="285" t="n"/>
      <c r="C141" s="579" t="n"/>
      <c r="D141" s="580" t="n"/>
      <c r="E141" s="581" t="n"/>
      <c r="F141" s="577" t="n"/>
      <c r="G141" s="582" t="n"/>
      <c r="H141" s="583" t="n"/>
      <c r="I141" s="510" t="n"/>
    </row>
    <row r="142" ht="19.95" customFormat="1" customHeight="1" s="511">
      <c r="A142" s="277" t="n"/>
      <c r="B142" s="285" t="n"/>
      <c r="C142" s="579" t="n"/>
      <c r="D142" s="580" t="n"/>
      <c r="E142" s="581" t="n"/>
      <c r="F142" s="577" t="n"/>
      <c r="G142" s="582" t="n"/>
      <c r="H142" s="583" t="n"/>
      <c r="I142" s="510" t="n"/>
    </row>
    <row r="143" ht="19.95" customFormat="1" customHeight="1" s="511">
      <c r="A143" s="277" t="n"/>
      <c r="B143" s="285" t="n"/>
      <c r="C143" s="579" t="n"/>
      <c r="D143" s="580" t="n"/>
      <c r="E143" s="581" t="n"/>
      <c r="F143" s="577" t="n"/>
      <c r="G143" s="582" t="n"/>
      <c r="H143" s="583" t="n"/>
      <c r="I143" s="510" t="n"/>
    </row>
    <row r="144" ht="19.95" customFormat="1" customHeight="1" s="511">
      <c r="A144" s="277" t="n"/>
      <c r="B144" s="285" t="n"/>
      <c r="C144" s="579" t="n"/>
      <c r="D144" s="580" t="n"/>
      <c r="E144" s="581" t="n"/>
      <c r="F144" s="577" t="n"/>
      <c r="G144" s="582" t="n"/>
      <c r="H144" s="583" t="n"/>
      <c r="I144" s="510" t="n"/>
    </row>
    <row r="145" ht="19.95" customFormat="1" customHeight="1" s="511">
      <c r="A145" s="277" t="n"/>
      <c r="B145" s="285" t="n"/>
      <c r="C145" s="579" t="n"/>
      <c r="D145" s="580" t="n"/>
      <c r="E145" s="581" t="n"/>
      <c r="F145" s="577" t="n"/>
      <c r="G145" s="582" t="n"/>
      <c r="H145" s="583" t="n"/>
      <c r="I145" s="510" t="n"/>
    </row>
    <row r="146" ht="19.95" customFormat="1" customHeight="1" s="511">
      <c r="A146" s="277" t="n"/>
      <c r="B146" s="285" t="n"/>
      <c r="C146" s="579" t="n"/>
      <c r="D146" s="580" t="n"/>
      <c r="E146" s="581" t="n"/>
      <c r="F146" s="577" t="n"/>
      <c r="G146" s="582" t="n"/>
      <c r="H146" s="583" t="n"/>
      <c r="I146" s="510" t="n"/>
    </row>
    <row r="147" ht="19.95" customFormat="1" customHeight="1" s="511">
      <c r="A147" s="277" t="n"/>
      <c r="B147" s="285" t="n"/>
      <c r="C147" s="579" t="n"/>
      <c r="D147" s="580" t="n"/>
      <c r="E147" s="581" t="n"/>
      <c r="F147" s="577" t="n"/>
      <c r="G147" s="582" t="n"/>
      <c r="H147" s="583" t="n"/>
      <c r="I147" s="510" t="n"/>
    </row>
    <row r="148" ht="19.95" customFormat="1" customHeight="1" s="511">
      <c r="A148" s="277" t="n"/>
      <c r="B148" s="285" t="n"/>
      <c r="C148" s="579" t="n"/>
      <c r="D148" s="580" t="n"/>
      <c r="E148" s="581" t="n"/>
      <c r="F148" s="577" t="n"/>
      <c r="G148" s="582" t="n"/>
      <c r="H148" s="583" t="n"/>
      <c r="I148" s="510" t="n"/>
    </row>
    <row r="149" ht="19.95" customFormat="1" customHeight="1" s="511">
      <c r="A149" s="277" t="n"/>
      <c r="B149" s="285" t="n"/>
      <c r="C149" s="579" t="n"/>
      <c r="D149" s="580" t="n"/>
      <c r="E149" s="581" t="n"/>
      <c r="F149" s="577" t="n"/>
      <c r="G149" s="582" t="n"/>
      <c r="H149" s="583" t="n"/>
      <c r="I149" s="510" t="n"/>
    </row>
    <row r="150" ht="19.95" customFormat="1" customHeight="1" s="511">
      <c r="A150" s="277" t="n"/>
      <c r="B150" s="285" t="n"/>
      <c r="C150" s="579" t="n"/>
      <c r="D150" s="580" t="n"/>
      <c r="E150" s="581" t="n"/>
      <c r="F150" s="577" t="n"/>
      <c r="G150" s="582" t="n"/>
      <c r="H150" s="583" t="n"/>
      <c r="I150" s="510" t="n"/>
    </row>
    <row r="151" ht="19.95" customFormat="1" customHeight="1" s="511">
      <c r="A151" s="277" t="n"/>
      <c r="B151" s="285" t="n"/>
      <c r="C151" s="579" t="n"/>
      <c r="D151" s="580" t="n"/>
      <c r="E151" s="581" t="n"/>
      <c r="F151" s="577" t="n"/>
      <c r="G151" s="582" t="n"/>
      <c r="H151" s="583" t="n"/>
      <c r="I151" s="510" t="n"/>
    </row>
    <row r="152" ht="19.95" customFormat="1" customHeight="1" s="511">
      <c r="A152" s="277" t="n"/>
      <c r="B152" s="285" t="n"/>
      <c r="C152" s="579" t="n"/>
      <c r="D152" s="580" t="n"/>
      <c r="E152" s="581" t="n"/>
      <c r="F152" s="577" t="n"/>
      <c r="G152" s="582" t="n"/>
      <c r="H152" s="583" t="n"/>
      <c r="I152" s="510" t="n"/>
    </row>
    <row r="153" ht="19.95" customFormat="1" customHeight="1" s="511">
      <c r="A153" s="277" t="n"/>
      <c r="B153" s="285" t="n"/>
      <c r="C153" s="579" t="n"/>
      <c r="D153" s="580" t="n"/>
      <c r="E153" s="581" t="n"/>
      <c r="F153" s="577" t="n"/>
      <c r="G153" s="582" t="n"/>
      <c r="H153" s="583" t="n"/>
      <c r="I153" s="510" t="n"/>
    </row>
    <row r="154" ht="19.95" customFormat="1" customHeight="1" s="511">
      <c r="A154" s="277" t="n"/>
      <c r="B154" s="285" t="n"/>
      <c r="C154" s="579" t="n"/>
      <c r="D154" s="580" t="n"/>
      <c r="E154" s="581" t="n"/>
      <c r="F154" s="577" t="n"/>
      <c r="G154" s="582" t="n"/>
      <c r="H154" s="583" t="n"/>
      <c r="I154" s="510" t="n"/>
    </row>
    <row r="155" ht="19.95" customFormat="1" customHeight="1" s="511">
      <c r="A155" s="277" t="n"/>
      <c r="B155" s="285" t="n"/>
      <c r="C155" s="579" t="n"/>
      <c r="D155" s="580" t="n"/>
      <c r="E155" s="581" t="n"/>
      <c r="F155" s="577" t="n"/>
      <c r="G155" s="582" t="n"/>
      <c r="H155" s="583" t="n"/>
      <c r="I155" s="510" t="n"/>
    </row>
    <row r="156" ht="19.95" customFormat="1" customHeight="1" s="511">
      <c r="A156" s="277" t="n"/>
      <c r="B156" s="285" t="n"/>
      <c r="C156" s="579" t="n"/>
      <c r="D156" s="580" t="n"/>
      <c r="E156" s="581" t="n"/>
      <c r="F156" s="577" t="n"/>
      <c r="G156" s="582" t="n"/>
      <c r="H156" s="583" t="n"/>
      <c r="I156" s="510" t="n"/>
    </row>
    <row r="157" ht="19.95" customFormat="1" customHeight="1" s="511">
      <c r="A157" s="277" t="n"/>
      <c r="B157" s="285" t="n"/>
      <c r="C157" s="579" t="n"/>
      <c r="D157" s="580" t="n"/>
      <c r="E157" s="581" t="n"/>
      <c r="F157" s="577" t="n"/>
      <c r="G157" s="582" t="n"/>
      <c r="H157" s="583" t="n"/>
      <c r="I157" s="510" t="n"/>
    </row>
    <row r="158" ht="19.95" customFormat="1" customHeight="1" s="511">
      <c r="A158" s="277" t="n"/>
      <c r="B158" s="285" t="n"/>
      <c r="C158" s="579" t="n"/>
      <c r="D158" s="580" t="n"/>
      <c r="E158" s="581" t="n"/>
      <c r="F158" s="577" t="n"/>
      <c r="G158" s="582" t="n"/>
      <c r="H158" s="583" t="n"/>
      <c r="I158" s="510" t="n"/>
    </row>
    <row r="159" ht="19.95" customFormat="1" customHeight="1" s="511">
      <c r="A159" s="277" t="n"/>
      <c r="B159" s="285" t="n"/>
      <c r="C159" s="579" t="n"/>
      <c r="D159" s="580" t="n"/>
      <c r="E159" s="581" t="n"/>
      <c r="F159" s="577" t="n"/>
      <c r="G159" s="582" t="n"/>
      <c r="H159" s="583" t="n"/>
      <c r="I159" s="510" t="n"/>
    </row>
    <row r="160" ht="19.95" customFormat="1" customHeight="1" s="511">
      <c r="A160" s="277" t="n"/>
      <c r="B160" s="285" t="n"/>
      <c r="C160" s="579" t="n"/>
      <c r="D160" s="580" t="n"/>
      <c r="E160" s="581" t="n"/>
      <c r="F160" s="577" t="n"/>
      <c r="G160" s="582" t="n"/>
      <c r="H160" s="583" t="n"/>
      <c r="I160" s="510" t="n"/>
    </row>
    <row r="161" ht="19.95" customFormat="1" customHeight="1" s="511">
      <c r="A161" s="277" t="n"/>
      <c r="B161" s="285" t="n"/>
      <c r="C161" s="579" t="n"/>
      <c r="D161" s="580" t="n"/>
      <c r="E161" s="581" t="n"/>
      <c r="F161" s="577" t="n"/>
      <c r="G161" s="582" t="n"/>
      <c r="H161" s="583" t="n"/>
      <c r="I161" s="510" t="n"/>
    </row>
    <row r="162" ht="19.95" customFormat="1" customHeight="1" s="511">
      <c r="A162" s="277" t="n"/>
      <c r="B162" s="285" t="n"/>
      <c r="C162" s="579" t="n"/>
      <c r="D162" s="580" t="n"/>
      <c r="E162" s="581" t="n"/>
      <c r="F162" s="577" t="n"/>
      <c r="G162" s="582" t="n"/>
      <c r="H162" s="583" t="n"/>
      <c r="I162" s="510" t="n"/>
    </row>
    <row r="163" ht="19.95" customFormat="1" customHeight="1" s="511">
      <c r="A163" s="277" t="n"/>
      <c r="B163" s="285" t="n"/>
      <c r="C163" s="579" t="n"/>
      <c r="D163" s="580" t="n"/>
      <c r="E163" s="581" t="n"/>
      <c r="F163" s="577" t="n"/>
      <c r="G163" s="582" t="n"/>
      <c r="H163" s="583" t="n"/>
      <c r="I163" s="510" t="n"/>
    </row>
    <row r="164" ht="19.95" customFormat="1" customHeight="1" s="511">
      <c r="A164" s="277" t="n"/>
      <c r="B164" s="285" t="n"/>
      <c r="C164" s="579" t="n"/>
      <c r="D164" s="580" t="n"/>
      <c r="E164" s="581" t="n"/>
      <c r="F164" s="577" t="n"/>
      <c r="G164" s="582" t="n"/>
      <c r="H164" s="583" t="n"/>
      <c r="I164" s="510" t="n"/>
    </row>
    <row r="165" ht="19.95" customFormat="1" customHeight="1" s="511">
      <c r="A165" s="277" t="n"/>
      <c r="B165" s="285" t="n"/>
      <c r="C165" s="579" t="n"/>
      <c r="D165" s="580" t="n"/>
      <c r="E165" s="581" t="n"/>
      <c r="F165" s="577" t="n"/>
      <c r="G165" s="582" t="n"/>
      <c r="H165" s="583" t="n"/>
      <c r="I165" s="510" t="n"/>
    </row>
    <row r="166" ht="19.95" customFormat="1" customHeight="1" s="511">
      <c r="A166" s="277" t="n"/>
      <c r="B166" s="285" t="n"/>
      <c r="C166" s="579" t="n"/>
      <c r="D166" s="580" t="n"/>
      <c r="E166" s="581" t="n"/>
      <c r="F166" s="577" t="n"/>
      <c r="G166" s="582" t="n"/>
      <c r="H166" s="583" t="n"/>
      <c r="I166" s="510" t="n"/>
    </row>
    <row r="167" ht="19.95" customFormat="1" customHeight="1" s="511">
      <c r="A167" s="277" t="n"/>
      <c r="B167" s="285" t="n"/>
      <c r="C167" s="579" t="n"/>
      <c r="D167" s="580" t="n"/>
      <c r="E167" s="581" t="n"/>
      <c r="F167" s="577" t="n"/>
      <c r="G167" s="582" t="n"/>
      <c r="H167" s="583" t="n"/>
      <c r="I167" s="510" t="n"/>
    </row>
    <row r="168" ht="19.95" customFormat="1" customHeight="1" s="511">
      <c r="A168" s="277" t="n"/>
      <c r="B168" s="285" t="n"/>
      <c r="C168" s="579" t="n"/>
      <c r="D168" s="580" t="n"/>
      <c r="E168" s="581" t="n"/>
      <c r="F168" s="577" t="n"/>
      <c r="G168" s="582" t="n"/>
      <c r="H168" s="583" t="n"/>
      <c r="I168" s="510" t="n"/>
    </row>
    <row r="169" ht="19.95" customFormat="1" customHeight="1" s="511">
      <c r="A169" s="277" t="n"/>
      <c r="B169" s="285" t="n"/>
      <c r="C169" s="579" t="n"/>
      <c r="D169" s="580" t="n"/>
      <c r="E169" s="581" t="n"/>
      <c r="F169" s="577" t="n"/>
      <c r="G169" s="582" t="n"/>
      <c r="H169" s="583" t="n"/>
      <c r="I169" s="510" t="n"/>
    </row>
    <row r="170" ht="19.95" customFormat="1" customHeight="1" s="511">
      <c r="A170" s="277" t="n"/>
      <c r="B170" s="285" t="n"/>
      <c r="C170" s="579" t="n"/>
      <c r="D170" s="580" t="n"/>
      <c r="E170" s="581" t="n"/>
      <c r="F170" s="577" t="n"/>
      <c r="G170" s="582" t="n"/>
      <c r="H170" s="583" t="n"/>
      <c r="I170" s="510" t="n"/>
    </row>
    <row r="171" ht="19.95" customFormat="1" customHeight="1" s="511">
      <c r="A171" s="277" t="n"/>
      <c r="B171" s="285" t="n"/>
      <c r="C171" s="579" t="n"/>
      <c r="D171" s="580" t="n"/>
      <c r="E171" s="581" t="n"/>
      <c r="F171" s="577" t="n"/>
      <c r="G171" s="582" t="n"/>
      <c r="H171" s="583" t="n"/>
      <c r="I171" s="510" t="n"/>
    </row>
    <row r="172" ht="19.95" customFormat="1" customHeight="1" s="511">
      <c r="A172" s="277" t="n"/>
      <c r="B172" s="285" t="n"/>
      <c r="C172" s="579" t="n"/>
      <c r="D172" s="580" t="n"/>
      <c r="E172" s="581" t="n"/>
      <c r="F172" s="577" t="n"/>
      <c r="G172" s="582" t="n"/>
      <c r="H172" s="583" t="n"/>
      <c r="I172" s="510" t="n"/>
    </row>
    <row r="173" ht="19.95" customFormat="1" customHeight="1" s="511">
      <c r="A173" s="277" t="n"/>
      <c r="B173" s="285" t="n"/>
      <c r="C173" s="579" t="n"/>
      <c r="D173" s="580" t="n"/>
      <c r="E173" s="581" t="n"/>
      <c r="F173" s="577" t="n"/>
      <c r="G173" s="582" t="n"/>
      <c r="H173" s="583" t="n"/>
      <c r="I173" s="510" t="n"/>
    </row>
    <row r="174" ht="19.95" customFormat="1" customHeight="1" s="511">
      <c r="A174" s="277" t="n"/>
      <c r="B174" s="285" t="n"/>
      <c r="C174" s="579" t="n"/>
      <c r="D174" s="580" t="n"/>
      <c r="E174" s="581" t="n"/>
      <c r="F174" s="577" t="n"/>
      <c r="G174" s="582" t="n"/>
      <c r="H174" s="583" t="n"/>
      <c r="I174" s="510" t="n"/>
    </row>
    <row r="175" ht="19.95" customFormat="1" customHeight="1" s="511">
      <c r="A175" s="277" t="n"/>
      <c r="B175" s="285" t="n"/>
      <c r="C175" s="579" t="n"/>
      <c r="D175" s="580" t="n"/>
      <c r="E175" s="581" t="n"/>
      <c r="F175" s="577" t="n"/>
      <c r="G175" s="582" t="n"/>
      <c r="H175" s="583" t="n"/>
      <c r="I175" s="510" t="n"/>
    </row>
    <row r="176" ht="19.95" customFormat="1" customHeight="1" s="511">
      <c r="A176" s="277" t="n"/>
      <c r="B176" s="285" t="n"/>
      <c r="C176" s="579" t="n"/>
      <c r="D176" s="580" t="n"/>
      <c r="E176" s="581" t="n"/>
      <c r="F176" s="577" t="n"/>
      <c r="G176" s="582" t="n"/>
      <c r="H176" s="583" t="n"/>
      <c r="I176" s="510" t="n"/>
    </row>
    <row r="177" ht="19.95" customFormat="1" customHeight="1" s="511">
      <c r="A177" s="277" t="n"/>
      <c r="B177" s="285" t="n"/>
      <c r="C177" s="579" t="n"/>
      <c r="D177" s="580" t="n"/>
      <c r="E177" s="581" t="n"/>
      <c r="F177" s="577" t="n"/>
      <c r="G177" s="582" t="n"/>
      <c r="H177" s="583" t="n"/>
      <c r="I177" s="510" t="n"/>
    </row>
    <row r="178" ht="19.95" customFormat="1" customHeight="1" s="511">
      <c r="A178" s="277" t="n"/>
      <c r="B178" s="285" t="n"/>
      <c r="C178" s="579" t="n"/>
      <c r="D178" s="580" t="n"/>
      <c r="E178" s="581" t="n"/>
      <c r="F178" s="577" t="n"/>
      <c r="G178" s="582" t="n"/>
      <c r="H178" s="583" t="n"/>
      <c r="I178" s="510" t="n"/>
    </row>
    <row r="179" ht="19.95" customFormat="1" customHeight="1" s="511">
      <c r="A179" s="277" t="n"/>
      <c r="B179" s="285" t="n"/>
      <c r="C179" s="579" t="n"/>
      <c r="D179" s="580" t="n"/>
      <c r="E179" s="581" t="n"/>
      <c r="F179" s="577" t="n"/>
      <c r="G179" s="582" t="n"/>
      <c r="H179" s="583" t="n"/>
      <c r="I179" s="510" t="n"/>
    </row>
    <row r="180" ht="19.95" customFormat="1" customHeight="1" s="511">
      <c r="A180" s="277" t="n"/>
      <c r="B180" s="285" t="n"/>
      <c r="C180" s="579" t="n"/>
      <c r="D180" s="580" t="n"/>
      <c r="E180" s="581" t="n"/>
      <c r="F180" s="577" t="n"/>
      <c r="G180" s="582" t="n"/>
      <c r="H180" s="583" t="n"/>
      <c r="I180" s="510" t="n"/>
    </row>
    <row r="181" ht="19.95" customFormat="1" customHeight="1" s="511">
      <c r="A181" s="277" t="n"/>
      <c r="B181" s="285" t="n"/>
      <c r="C181" s="579" t="n"/>
      <c r="D181" s="580" t="n"/>
      <c r="E181" s="581" t="n"/>
      <c r="F181" s="577" t="n"/>
      <c r="G181" s="582" t="n"/>
      <c r="H181" s="583" t="n"/>
      <c r="I181" s="510" t="n"/>
    </row>
    <row r="182" ht="19.95" customFormat="1" customHeight="1" s="511">
      <c r="A182" s="277" t="n"/>
      <c r="B182" s="285" t="n"/>
      <c r="C182" s="579" t="n"/>
      <c r="D182" s="580" t="n"/>
      <c r="E182" s="581" t="n"/>
      <c r="F182" s="577" t="n"/>
      <c r="G182" s="582" t="n"/>
      <c r="H182" s="583" t="n"/>
      <c r="I182" s="510" t="n"/>
    </row>
    <row r="183" ht="19.95" customFormat="1" customHeight="1" s="511">
      <c r="A183" s="277" t="n"/>
      <c r="B183" s="285" t="n"/>
      <c r="C183" s="579" t="n"/>
      <c r="D183" s="580" t="n"/>
      <c r="E183" s="581" t="n"/>
      <c r="F183" s="577" t="n"/>
      <c r="G183" s="582" t="n"/>
      <c r="H183" s="583" t="n"/>
      <c r="I183" s="510" t="n"/>
    </row>
    <row r="184" ht="19.95" customFormat="1" customHeight="1" s="511">
      <c r="A184" s="277" t="n"/>
      <c r="B184" s="285" t="n"/>
      <c r="C184" s="579" t="n"/>
      <c r="D184" s="580" t="n"/>
      <c r="E184" s="581" t="n"/>
      <c r="F184" s="577" t="n"/>
      <c r="G184" s="582" t="n"/>
      <c r="H184" s="583" t="n"/>
      <c r="I184" s="510" t="n"/>
    </row>
    <row r="185" ht="19.95" customFormat="1" customHeight="1" s="511">
      <c r="A185" s="277" t="n"/>
      <c r="B185" s="285" t="n"/>
      <c r="C185" s="579" t="n"/>
      <c r="D185" s="580" t="n"/>
      <c r="E185" s="581" t="n"/>
      <c r="F185" s="577" t="n"/>
      <c r="G185" s="582" t="n"/>
      <c r="H185" s="583" t="n"/>
      <c r="I185" s="510" t="n"/>
    </row>
    <row r="186" ht="19.95" customFormat="1" customHeight="1" s="511">
      <c r="A186" s="277" t="n"/>
      <c r="B186" s="285" t="n"/>
      <c r="C186" s="579" t="n"/>
      <c r="D186" s="580" t="n"/>
      <c r="E186" s="581" t="n"/>
      <c r="F186" s="577" t="n"/>
      <c r="G186" s="582" t="n"/>
      <c r="H186" s="583" t="n"/>
      <c r="I186" s="510" t="n"/>
    </row>
    <row r="187" ht="19.95" customFormat="1" customHeight="1" s="511">
      <c r="A187" s="277" t="n"/>
      <c r="B187" s="285" t="n"/>
      <c r="C187" s="579" t="n"/>
      <c r="D187" s="580" t="n"/>
      <c r="E187" s="581" t="n"/>
      <c r="F187" s="577" t="n"/>
      <c r="G187" s="582" t="n"/>
      <c r="H187" s="583" t="n"/>
      <c r="I187" s="510" t="n"/>
    </row>
    <row r="188" ht="19.95" customFormat="1" customHeight="1" s="511">
      <c r="A188" s="277" t="n"/>
      <c r="B188" s="285" t="n"/>
      <c r="C188" s="579" t="n"/>
      <c r="D188" s="580" t="n"/>
      <c r="E188" s="581" t="n"/>
      <c r="F188" s="577" t="n"/>
      <c r="G188" s="582" t="n"/>
      <c r="H188" s="583" t="n"/>
      <c r="I188" s="510" t="n"/>
    </row>
    <row r="189" ht="19.95" customFormat="1" customHeight="1" s="511">
      <c r="A189" s="277" t="n"/>
      <c r="B189" s="285" t="n"/>
      <c r="C189" s="579" t="n"/>
      <c r="D189" s="580" t="n"/>
      <c r="E189" s="581" t="n"/>
      <c r="F189" s="577" t="n"/>
      <c r="G189" s="582" t="n"/>
      <c r="H189" s="583" t="n"/>
      <c r="I189" s="510" t="n"/>
    </row>
    <row r="190" ht="19.95" customFormat="1" customHeight="1" s="511">
      <c r="A190" s="277" t="n"/>
      <c r="B190" s="285" t="n"/>
      <c r="C190" s="579" t="n"/>
      <c r="D190" s="580" t="n"/>
      <c r="E190" s="581" t="n"/>
      <c r="F190" s="577" t="n"/>
      <c r="G190" s="582" t="n"/>
      <c r="H190" s="583" t="n"/>
      <c r="I190" s="510" t="n"/>
    </row>
    <row r="191" ht="19.95" customFormat="1" customHeight="1" s="511">
      <c r="A191" s="277" t="n"/>
      <c r="B191" s="285" t="n"/>
      <c r="C191" s="579" t="n"/>
      <c r="D191" s="580" t="n"/>
      <c r="E191" s="581" t="n"/>
      <c r="F191" s="577" t="n"/>
      <c r="G191" s="582" t="n"/>
      <c r="H191" s="583" t="n"/>
      <c r="I191" s="510" t="n"/>
    </row>
    <row r="192" ht="19.95" customFormat="1" customHeight="1" s="511">
      <c r="A192" s="277" t="n"/>
      <c r="B192" s="285" t="n"/>
      <c r="C192" s="579" t="n"/>
      <c r="D192" s="580" t="n"/>
      <c r="E192" s="581" t="n"/>
      <c r="F192" s="577" t="n"/>
      <c r="G192" s="582" t="n"/>
      <c r="H192" s="583" t="n"/>
      <c r="I192" s="510" t="n"/>
    </row>
    <row r="193" ht="19.95" customFormat="1" customHeight="1" s="511">
      <c r="A193" s="277" t="n"/>
      <c r="B193" s="285" t="n"/>
      <c r="C193" s="579" t="n"/>
      <c r="D193" s="580" t="n"/>
      <c r="E193" s="581" t="n"/>
      <c r="F193" s="577" t="n"/>
      <c r="G193" s="582" t="n"/>
      <c r="H193" s="583" t="n"/>
      <c r="I193" s="510" t="n"/>
    </row>
    <row r="194" ht="19.95" customFormat="1" customHeight="1" s="511">
      <c r="A194" s="277" t="n"/>
      <c r="B194" s="285" t="n"/>
      <c r="C194" s="579" t="n"/>
      <c r="D194" s="580" t="n"/>
      <c r="E194" s="581" t="n"/>
      <c r="F194" s="577" t="n"/>
      <c r="G194" s="582" t="n"/>
      <c r="H194" s="583" t="n"/>
      <c r="I194" s="510" t="n"/>
    </row>
    <row r="195" ht="19.95" customFormat="1" customHeight="1" s="511">
      <c r="A195" s="277" t="n"/>
      <c r="B195" s="285" t="n"/>
      <c r="C195" s="579" t="n"/>
      <c r="D195" s="580" t="n"/>
      <c r="E195" s="581" t="n"/>
      <c r="F195" s="577" t="n"/>
      <c r="G195" s="582" t="n"/>
      <c r="H195" s="583" t="n"/>
      <c r="I195" s="510" t="n"/>
    </row>
    <row r="196" ht="19.95" customFormat="1" customHeight="1" s="511">
      <c r="A196" s="277" t="n"/>
      <c r="B196" s="285" t="n"/>
      <c r="C196" s="579" t="n"/>
      <c r="D196" s="580" t="n"/>
      <c r="E196" s="581" t="n"/>
      <c r="F196" s="577" t="n"/>
      <c r="G196" s="582" t="n"/>
      <c r="H196" s="583" t="n"/>
      <c r="I196" s="510" t="n"/>
    </row>
    <row r="197" ht="19.95" customFormat="1" customHeight="1" s="511">
      <c r="A197" s="277" t="n"/>
      <c r="B197" s="285" t="n"/>
      <c r="C197" s="579" t="n"/>
      <c r="D197" s="580" t="n"/>
      <c r="E197" s="581" t="n"/>
      <c r="F197" s="577" t="n"/>
      <c r="G197" s="582" t="n"/>
      <c r="H197" s="583" t="n"/>
      <c r="I197" s="510" t="n"/>
    </row>
    <row r="198" ht="19.95" customFormat="1" customHeight="1" s="511">
      <c r="A198" s="277" t="n"/>
      <c r="B198" s="285" t="n"/>
      <c r="C198" s="579" t="n"/>
      <c r="D198" s="580" t="n"/>
      <c r="E198" s="581" t="n"/>
      <c r="F198" s="577" t="n"/>
      <c r="G198" s="582" t="n"/>
      <c r="H198" s="583" t="n"/>
      <c r="I198" s="510" t="n"/>
    </row>
    <row r="199" ht="19.95" customFormat="1" customHeight="1" s="511">
      <c r="A199" s="277" t="n"/>
      <c r="B199" s="285" t="n"/>
      <c r="C199" s="579" t="n"/>
      <c r="D199" s="580" t="n"/>
      <c r="E199" s="581" t="n"/>
      <c r="F199" s="577" t="n"/>
      <c r="G199" s="582" t="n"/>
      <c r="H199" s="583" t="n"/>
      <c r="I199" s="510" t="n"/>
    </row>
    <row r="200" ht="19.95" customFormat="1" customHeight="1" s="511">
      <c r="A200" s="277" t="n"/>
      <c r="B200" s="285" t="n"/>
      <c r="C200" s="579" t="n"/>
      <c r="D200" s="580" t="n"/>
      <c r="E200" s="581" t="n"/>
      <c r="F200" s="577" t="n"/>
      <c r="G200" s="582" t="n"/>
      <c r="H200" s="583" t="n"/>
      <c r="I200" s="510" t="n"/>
    </row>
    <row r="201" ht="19.95" customFormat="1" customHeight="1" s="511">
      <c r="A201" s="277" t="n"/>
      <c r="B201" s="285" t="n"/>
      <c r="C201" s="579" t="n"/>
      <c r="D201" s="580" t="n"/>
      <c r="E201" s="581" t="n"/>
      <c r="F201" s="577" t="n"/>
      <c r="G201" s="582" t="n"/>
      <c r="H201" s="583" t="n"/>
      <c r="I201" s="510" t="n"/>
    </row>
    <row r="202" ht="19.95" customFormat="1" customHeight="1" s="511">
      <c r="A202" s="277" t="n"/>
      <c r="B202" s="285" t="n"/>
      <c r="C202" s="579" t="n"/>
      <c r="D202" s="580" t="n"/>
      <c r="E202" s="581" t="n"/>
      <c r="F202" s="577" t="n"/>
      <c r="G202" s="582" t="n"/>
      <c r="H202" s="583" t="n"/>
      <c r="I202" s="510" t="n"/>
    </row>
    <row r="203" ht="19.95" customFormat="1" customHeight="1" s="511">
      <c r="A203" s="277" t="n"/>
      <c r="B203" s="285" t="n"/>
      <c r="C203" s="579" t="n"/>
      <c r="D203" s="580" t="n"/>
      <c r="E203" s="581" t="n"/>
      <c r="F203" s="577" t="n"/>
      <c r="G203" s="582" t="n"/>
      <c r="H203" s="583" t="n"/>
      <c r="I203" s="510" t="n"/>
    </row>
    <row r="204" ht="19.95" customFormat="1" customHeight="1" s="511">
      <c r="A204" s="277" t="n"/>
      <c r="B204" s="285" t="n"/>
      <c r="C204" s="579" t="n"/>
      <c r="D204" s="580" t="n"/>
      <c r="E204" s="581" t="n"/>
      <c r="F204" s="577" t="n"/>
      <c r="G204" s="582" t="n"/>
      <c r="H204" s="583" t="n"/>
      <c r="I204" s="510" t="n"/>
    </row>
    <row r="205" ht="19.95" customFormat="1" customHeight="1" s="511">
      <c r="A205" s="277" t="n"/>
      <c r="B205" s="285" t="n"/>
      <c r="C205" s="579" t="n"/>
      <c r="D205" s="580" t="n"/>
      <c r="E205" s="581" t="n"/>
      <c r="F205" s="577" t="n"/>
      <c r="G205" s="582" t="n"/>
      <c r="H205" s="583" t="n"/>
      <c r="I205" s="510" t="n"/>
    </row>
    <row r="206" ht="19.95" customFormat="1" customHeight="1" s="511">
      <c r="A206" s="277" t="n"/>
      <c r="B206" s="285" t="n"/>
      <c r="C206" s="579" t="n"/>
      <c r="D206" s="580" t="n"/>
      <c r="E206" s="581" t="n"/>
      <c r="F206" s="577" t="n"/>
      <c r="G206" s="582" t="n"/>
      <c r="H206" s="583" t="n"/>
      <c r="I206" s="510" t="n"/>
    </row>
    <row r="207" ht="19.95" customFormat="1" customHeight="1" s="511">
      <c r="A207" s="277" t="n"/>
      <c r="B207" s="285" t="n"/>
      <c r="C207" s="579" t="n"/>
      <c r="D207" s="580" t="n"/>
      <c r="E207" s="581" t="n"/>
      <c r="F207" s="577" t="n"/>
      <c r="G207" s="582" t="n"/>
      <c r="H207" s="583" t="n"/>
      <c r="I207" s="510" t="n"/>
    </row>
    <row r="208" ht="19.95" customFormat="1" customHeight="1" s="511">
      <c r="A208" s="277" t="n"/>
      <c r="B208" s="285" t="n"/>
      <c r="C208" s="579" t="n"/>
      <c r="D208" s="580" t="n"/>
      <c r="E208" s="581" t="n"/>
      <c r="F208" s="577" t="n"/>
      <c r="G208" s="582" t="n"/>
      <c r="H208" s="583" t="n"/>
      <c r="I208" s="510" t="n"/>
    </row>
    <row r="209" ht="19.95" customFormat="1" customHeight="1" s="511">
      <c r="A209" s="277" t="n"/>
      <c r="B209" s="285" t="n"/>
      <c r="C209" s="579" t="n"/>
      <c r="D209" s="580" t="n"/>
      <c r="E209" s="581" t="n"/>
      <c r="F209" s="577" t="n"/>
      <c r="G209" s="582" t="n"/>
      <c r="H209" s="583" t="n"/>
      <c r="I209" s="510" t="n"/>
    </row>
    <row r="210" ht="19.95" customFormat="1" customHeight="1" s="511">
      <c r="A210" s="277" t="n"/>
      <c r="B210" s="285" t="n"/>
      <c r="C210" s="579" t="n"/>
      <c r="D210" s="580" t="n"/>
      <c r="E210" s="581" t="n"/>
      <c r="F210" s="577" t="n"/>
      <c r="G210" s="582" t="n"/>
      <c r="H210" s="583" t="n"/>
      <c r="I210" s="510" t="n"/>
    </row>
    <row r="211" ht="19.95" customFormat="1" customHeight="1" s="511">
      <c r="A211" s="277" t="n"/>
      <c r="B211" s="285" t="n"/>
      <c r="C211" s="579" t="n"/>
      <c r="D211" s="580" t="n"/>
      <c r="E211" s="581" t="n"/>
      <c r="F211" s="577" t="n"/>
      <c r="G211" s="582" t="n"/>
      <c r="H211" s="583" t="n"/>
      <c r="I211" s="510" t="n"/>
    </row>
    <row r="212" ht="19.95" customFormat="1" customHeight="1" s="511">
      <c r="A212" s="277" t="n"/>
      <c r="B212" s="285" t="n"/>
      <c r="C212" s="579" t="n"/>
      <c r="D212" s="580" t="n"/>
      <c r="E212" s="581" t="n"/>
      <c r="F212" s="577" t="n"/>
      <c r="G212" s="582" t="n"/>
      <c r="H212" s="583" t="n"/>
      <c r="I212" s="510" t="n"/>
    </row>
    <row r="213" ht="19.95" customFormat="1" customHeight="1" s="511">
      <c r="A213" s="277" t="n"/>
      <c r="B213" s="285" t="n"/>
      <c r="C213" s="579" t="n"/>
      <c r="D213" s="580" t="n"/>
      <c r="E213" s="581" t="n"/>
      <c r="F213" s="577" t="n"/>
      <c r="G213" s="582" t="n"/>
      <c r="H213" s="583" t="n"/>
      <c r="I213" s="510" t="n"/>
    </row>
    <row r="214" ht="19.95" customFormat="1" customHeight="1" s="511">
      <c r="A214" s="277" t="n"/>
      <c r="B214" s="285" t="n"/>
      <c r="C214" s="579" t="n"/>
      <c r="D214" s="580" t="n"/>
      <c r="E214" s="581" t="n"/>
      <c r="F214" s="577" t="n"/>
      <c r="G214" s="582" t="n"/>
      <c r="H214" s="583" t="n"/>
      <c r="I214" s="510" t="n"/>
    </row>
    <row r="215" ht="19.95" customFormat="1" customHeight="1" s="511">
      <c r="A215" s="277" t="n"/>
      <c r="B215" s="285" t="n"/>
      <c r="C215" s="579" t="n"/>
      <c r="D215" s="580" t="n"/>
      <c r="E215" s="581" t="n"/>
      <c r="F215" s="577" t="n"/>
      <c r="G215" s="582" t="n"/>
      <c r="H215" s="583" t="n"/>
      <c r="I215" s="510" t="n"/>
    </row>
    <row r="216" ht="19.95" customFormat="1" customHeight="1" s="511">
      <c r="A216" s="277" t="n"/>
      <c r="B216" s="285" t="n"/>
      <c r="C216" s="579" t="n"/>
      <c r="D216" s="580" t="n"/>
      <c r="E216" s="581" t="n"/>
      <c r="F216" s="577" t="n"/>
      <c r="G216" s="582" t="n"/>
      <c r="H216" s="583" t="n"/>
      <c r="I216" s="510" t="n"/>
    </row>
    <row r="217" ht="19.95" customFormat="1" customHeight="1" s="511">
      <c r="A217" s="277" t="n"/>
      <c r="B217" s="285" t="n"/>
      <c r="C217" s="579" t="n"/>
      <c r="D217" s="580" t="n"/>
      <c r="E217" s="581" t="n"/>
      <c r="F217" s="577" t="n"/>
      <c r="G217" s="582" t="n"/>
      <c r="H217" s="583" t="n"/>
      <c r="I217" s="510" t="n"/>
    </row>
    <row r="218" ht="19.95" customFormat="1" customHeight="1" s="511">
      <c r="A218" s="277" t="n"/>
      <c r="B218" s="285" t="n"/>
      <c r="C218" s="579" t="n"/>
      <c r="D218" s="580" t="n"/>
      <c r="E218" s="581" t="n"/>
      <c r="F218" s="577" t="n"/>
      <c r="G218" s="582" t="n"/>
      <c r="H218" s="583" t="n"/>
      <c r="I218" s="510" t="n"/>
    </row>
    <row r="219" ht="19.95" customFormat="1" customHeight="1" s="511">
      <c r="A219" s="277" t="n"/>
      <c r="B219" s="285" t="n"/>
      <c r="C219" s="579" t="n"/>
      <c r="D219" s="580" t="n"/>
      <c r="E219" s="581" t="n"/>
      <c r="F219" s="577" t="n"/>
      <c r="G219" s="582" t="n"/>
      <c r="H219" s="583" t="n"/>
      <c r="I219" s="510" t="n"/>
    </row>
    <row r="220" ht="19.95" customFormat="1" customHeight="1" s="511">
      <c r="A220" s="277" t="n"/>
      <c r="B220" s="285" t="n"/>
      <c r="C220" s="579" t="n"/>
      <c r="D220" s="580" t="n"/>
      <c r="E220" s="581" t="n"/>
      <c r="F220" s="577" t="n"/>
      <c r="G220" s="582" t="n"/>
      <c r="H220" s="583" t="n"/>
      <c r="I220" s="510" t="n"/>
    </row>
    <row r="221" ht="19.95" customFormat="1" customHeight="1" s="511">
      <c r="A221" s="277" t="n"/>
      <c r="B221" s="285" t="n"/>
      <c r="C221" s="579" t="n"/>
      <c r="D221" s="580" t="n"/>
      <c r="E221" s="581" t="n"/>
      <c r="F221" s="577" t="n"/>
      <c r="G221" s="582" t="n"/>
      <c r="H221" s="583" t="n"/>
      <c r="I221" s="510" t="n"/>
    </row>
    <row r="222" ht="19.95" customFormat="1" customHeight="1" s="511">
      <c r="A222" s="277" t="n"/>
      <c r="B222" s="285" t="n"/>
      <c r="C222" s="579" t="n"/>
      <c r="D222" s="580" t="n"/>
      <c r="E222" s="581" t="n"/>
      <c r="F222" s="577" t="n"/>
      <c r="G222" s="582" t="n"/>
      <c r="H222" s="583" t="n"/>
      <c r="I222" s="510" t="n"/>
    </row>
    <row r="223" ht="19.95" customFormat="1" customHeight="1" s="511">
      <c r="A223" s="277" t="n"/>
      <c r="B223" s="285" t="n"/>
      <c r="C223" s="579" t="n"/>
      <c r="D223" s="580" t="n"/>
      <c r="E223" s="581" t="n"/>
      <c r="F223" s="577" t="n"/>
      <c r="G223" s="582" t="n"/>
      <c r="H223" s="583" t="n"/>
      <c r="I223" s="510" t="n"/>
    </row>
    <row r="224" ht="19.95" customFormat="1" customHeight="1" s="511">
      <c r="A224" s="277" t="n"/>
      <c r="B224" s="285" t="n"/>
      <c r="C224" s="579" t="n"/>
      <c r="D224" s="580" t="n"/>
      <c r="E224" s="581" t="n"/>
      <c r="F224" s="577" t="n"/>
      <c r="G224" s="582" t="n"/>
      <c r="H224" s="583" t="n"/>
      <c r="I224" s="510" t="n"/>
    </row>
    <row r="225" ht="19.95" customFormat="1" customHeight="1" s="511">
      <c r="A225" s="277" t="n"/>
      <c r="B225" s="285" t="n"/>
      <c r="C225" s="579" t="n"/>
      <c r="D225" s="580" t="n"/>
      <c r="E225" s="581" t="n"/>
      <c r="F225" s="577" t="n"/>
      <c r="G225" s="582" t="n"/>
      <c r="H225" s="583" t="n"/>
      <c r="I225" s="510" t="n"/>
    </row>
    <row r="226" ht="19.95" customFormat="1" customHeight="1" s="511">
      <c r="A226" s="277" t="n"/>
      <c r="B226" s="285" t="n"/>
      <c r="C226" s="579" t="n"/>
      <c r="D226" s="580" t="n"/>
      <c r="E226" s="581" t="n"/>
      <c r="F226" s="577" t="n"/>
      <c r="G226" s="582" t="n"/>
      <c r="H226" s="583" t="n"/>
      <c r="I226" s="510" t="n"/>
    </row>
    <row r="227" ht="19.95" customFormat="1" customHeight="1" s="511">
      <c r="A227" s="277" t="n"/>
      <c r="B227" s="285" t="n"/>
      <c r="C227" s="579" t="n"/>
      <c r="D227" s="580" t="n"/>
      <c r="E227" s="581" t="n"/>
      <c r="F227" s="577" t="n"/>
      <c r="G227" s="582" t="n"/>
      <c r="H227" s="583" t="n"/>
      <c r="I227" s="510" t="n"/>
    </row>
    <row r="228" ht="19.95" customFormat="1" customHeight="1" s="511">
      <c r="A228" s="277" t="n"/>
      <c r="B228" s="285" t="n"/>
      <c r="C228" s="579" t="n"/>
      <c r="D228" s="580" t="n"/>
      <c r="E228" s="581" t="n"/>
      <c r="F228" s="577" t="n"/>
      <c r="G228" s="582" t="n"/>
      <c r="H228" s="583" t="n"/>
      <c r="I228" s="510" t="n"/>
    </row>
    <row r="229" ht="19.95" customFormat="1" customHeight="1" s="511">
      <c r="A229" s="277" t="n"/>
      <c r="B229" s="285" t="n"/>
      <c r="C229" s="579" t="n"/>
      <c r="D229" s="580" t="n"/>
      <c r="E229" s="581" t="n"/>
      <c r="F229" s="577" t="n"/>
      <c r="G229" s="582" t="n"/>
      <c r="H229" s="583" t="n"/>
      <c r="I229" s="510" t="n"/>
    </row>
    <row r="230" ht="19.95" customFormat="1" customHeight="1" s="511">
      <c r="A230" s="277" t="n"/>
      <c r="B230" s="285" t="n"/>
      <c r="C230" s="579" t="n"/>
      <c r="D230" s="580" t="n"/>
      <c r="E230" s="581" t="n"/>
      <c r="F230" s="577" t="n"/>
      <c r="G230" s="582" t="n"/>
      <c r="H230" s="583" t="n"/>
      <c r="I230" s="510" t="n"/>
    </row>
    <row r="231" ht="19.95" customFormat="1" customHeight="1" s="511">
      <c r="A231" s="277" t="n"/>
      <c r="B231" s="285" t="n"/>
      <c r="C231" s="579" t="n"/>
      <c r="D231" s="580" t="n"/>
      <c r="E231" s="581" t="n"/>
      <c r="F231" s="577" t="n"/>
      <c r="G231" s="582" t="n"/>
      <c r="H231" s="583" t="n"/>
      <c r="I231" s="510" t="n"/>
    </row>
    <row r="232" ht="19.95" customFormat="1" customHeight="1" s="511">
      <c r="A232" s="277" t="n"/>
      <c r="B232" s="285" t="n"/>
      <c r="C232" s="579" t="n"/>
      <c r="D232" s="580" t="n"/>
      <c r="E232" s="581" t="n"/>
      <c r="F232" s="577" t="n"/>
      <c r="G232" s="582" t="n"/>
      <c r="H232" s="583" t="n"/>
      <c r="I232" s="510" t="n"/>
    </row>
    <row r="233" ht="19.95" customFormat="1" customHeight="1" s="511">
      <c r="A233" s="277" t="n"/>
      <c r="B233" s="285" t="n"/>
      <c r="C233" s="579" t="n"/>
      <c r="D233" s="580" t="n"/>
      <c r="E233" s="581" t="n"/>
      <c r="F233" s="577" t="n"/>
      <c r="G233" s="582" t="n"/>
      <c r="H233" s="583" t="n"/>
      <c r="I233" s="510" t="n"/>
    </row>
    <row r="234" ht="19.95" customFormat="1" customHeight="1" s="511">
      <c r="A234" s="277" t="n"/>
      <c r="B234" s="285" t="n"/>
      <c r="C234" s="579" t="n"/>
      <c r="D234" s="580" t="n"/>
      <c r="E234" s="581" t="n"/>
      <c r="F234" s="577" t="n"/>
      <c r="G234" s="582" t="n"/>
      <c r="H234" s="583" t="n"/>
      <c r="I234" s="510" t="n"/>
    </row>
    <row r="235" ht="19.95" customFormat="1" customHeight="1" s="511">
      <c r="A235" s="277" t="n"/>
      <c r="B235" s="285" t="n"/>
      <c r="C235" s="579" t="n"/>
      <c r="D235" s="580" t="n"/>
      <c r="E235" s="581" t="n"/>
      <c r="F235" s="577" t="n"/>
      <c r="G235" s="582" t="n"/>
      <c r="H235" s="583" t="n"/>
      <c r="I235" s="510" t="n"/>
    </row>
    <row r="236" ht="19.95" customFormat="1" customHeight="1" s="511">
      <c r="A236" s="277" t="n"/>
      <c r="B236" s="285" t="n"/>
      <c r="C236" s="579" t="n"/>
      <c r="D236" s="580" t="n"/>
      <c r="E236" s="581" t="n"/>
      <c r="F236" s="577" t="n"/>
      <c r="G236" s="582" t="n"/>
      <c r="H236" s="583" t="n"/>
      <c r="I236" s="510" t="n"/>
    </row>
    <row r="237" ht="19.95" customFormat="1" customHeight="1" s="511">
      <c r="A237" s="277" t="n"/>
      <c r="B237" s="285" t="n"/>
      <c r="C237" s="579" t="n"/>
      <c r="D237" s="580" t="n"/>
      <c r="E237" s="581" t="n"/>
      <c r="F237" s="577" t="n"/>
      <c r="G237" s="582" t="n"/>
      <c r="H237" s="583" t="n"/>
      <c r="I237" s="510" t="n"/>
    </row>
    <row r="238" ht="19.95" customFormat="1" customHeight="1" s="511">
      <c r="A238" s="277" t="n"/>
      <c r="B238" s="285" t="n"/>
      <c r="C238" s="579" t="n"/>
      <c r="D238" s="580" t="n"/>
      <c r="E238" s="581" t="n"/>
      <c r="F238" s="577" t="n"/>
      <c r="G238" s="582" t="n"/>
      <c r="H238" s="583" t="n"/>
      <c r="I238" s="510" t="n"/>
    </row>
    <row r="239" ht="19.95" customFormat="1" customHeight="1" s="511">
      <c r="A239" s="277" t="n"/>
      <c r="B239" s="285" t="n"/>
      <c r="C239" s="579" t="n"/>
      <c r="D239" s="580" t="n"/>
      <c r="E239" s="581" t="n"/>
      <c r="F239" s="577" t="n"/>
      <c r="G239" s="582" t="n"/>
      <c r="H239" s="583" t="n"/>
      <c r="I239" s="510" t="n"/>
    </row>
    <row r="240" ht="19.95" customFormat="1" customHeight="1" s="511">
      <c r="A240" s="277" t="n"/>
      <c r="B240" s="285" t="n"/>
      <c r="C240" s="579" t="n"/>
      <c r="D240" s="580" t="n"/>
      <c r="E240" s="581" t="n"/>
      <c r="F240" s="577" t="n"/>
      <c r="G240" s="582" t="n"/>
      <c r="H240" s="583" t="n"/>
      <c r="I240" s="510" t="n"/>
    </row>
    <row r="241" ht="19.95" customFormat="1" customHeight="1" s="511">
      <c r="A241" s="277" t="n"/>
      <c r="B241" s="285" t="n"/>
      <c r="C241" s="579" t="n"/>
      <c r="D241" s="580" t="n"/>
      <c r="E241" s="581" t="n"/>
      <c r="F241" s="577" t="n"/>
      <c r="G241" s="582" t="n"/>
      <c r="H241" s="583" t="n"/>
      <c r="I241" s="510" t="n"/>
    </row>
    <row r="242" ht="19.95" customFormat="1" customHeight="1" s="511">
      <c r="A242" s="277" t="n"/>
      <c r="B242" s="285" t="n"/>
      <c r="C242" s="579" t="n"/>
      <c r="D242" s="580" t="n"/>
      <c r="E242" s="581" t="n"/>
      <c r="F242" s="577" t="n"/>
      <c r="G242" s="582" t="n"/>
      <c r="H242" s="583" t="n"/>
      <c r="I242" s="510" t="n"/>
    </row>
    <row r="243" ht="19.95" customFormat="1" customHeight="1" s="511">
      <c r="A243" s="277" t="n"/>
      <c r="B243" s="285" t="n"/>
      <c r="C243" s="579" t="n"/>
      <c r="D243" s="580" t="n"/>
      <c r="E243" s="581" t="n"/>
      <c r="F243" s="577" t="n"/>
      <c r="G243" s="582" t="n"/>
      <c r="H243" s="583" t="n"/>
      <c r="I243" s="510" t="n"/>
    </row>
    <row r="244" ht="19.95" customFormat="1" customHeight="1" s="511">
      <c r="A244" s="277" t="n"/>
      <c r="B244" s="285" t="n"/>
      <c r="C244" s="579" t="n"/>
      <c r="D244" s="580" t="n"/>
      <c r="E244" s="581" t="n"/>
      <c r="F244" s="577" t="n"/>
      <c r="G244" s="582" t="n"/>
      <c r="H244" s="583" t="n"/>
      <c r="I244" s="510" t="n"/>
    </row>
    <row r="245" ht="19.95" customFormat="1" customHeight="1" s="511">
      <c r="A245" s="277" t="n"/>
      <c r="B245" s="285" t="n"/>
      <c r="C245" s="579" t="n"/>
      <c r="D245" s="580" t="n"/>
      <c r="E245" s="581" t="n"/>
      <c r="F245" s="577" t="n"/>
      <c r="G245" s="582" t="n"/>
      <c r="H245" s="583" t="n"/>
      <c r="I245" s="510" t="n"/>
    </row>
    <row r="246" ht="19.95" customFormat="1" customHeight="1" s="511">
      <c r="A246" s="277" t="n"/>
      <c r="B246" s="285" t="n"/>
      <c r="C246" s="579" t="n"/>
      <c r="D246" s="580" t="n"/>
      <c r="E246" s="581" t="n"/>
      <c r="F246" s="577" t="n"/>
      <c r="G246" s="582" t="n"/>
      <c r="H246" s="583" t="n"/>
      <c r="I246" s="510" t="n"/>
    </row>
    <row r="247" ht="19.95" customFormat="1" customHeight="1" s="511">
      <c r="A247" s="277" t="n"/>
      <c r="B247" s="285" t="n"/>
      <c r="C247" s="579" t="n"/>
      <c r="D247" s="580" t="n"/>
      <c r="E247" s="581" t="n"/>
      <c r="F247" s="577" t="n"/>
      <c r="G247" s="582" t="n"/>
      <c r="H247" s="583" t="n"/>
      <c r="I247" s="510" t="n"/>
    </row>
    <row r="248" ht="19.95" customFormat="1" customHeight="1" s="511">
      <c r="A248" s="277" t="n"/>
      <c r="B248" s="285" t="n"/>
      <c r="C248" s="579" t="n"/>
      <c r="D248" s="580" t="n"/>
      <c r="E248" s="581" t="n"/>
      <c r="F248" s="577" t="n"/>
      <c r="G248" s="582" t="n"/>
      <c r="H248" s="583" t="n"/>
      <c r="I248" s="510" t="n"/>
    </row>
    <row r="249" ht="19.95" customFormat="1" customHeight="1" s="511">
      <c r="A249" s="277" t="n"/>
      <c r="B249" s="285" t="n"/>
      <c r="C249" s="579" t="n"/>
      <c r="D249" s="580" t="n"/>
      <c r="E249" s="581" t="n"/>
      <c r="F249" s="577" t="n"/>
      <c r="G249" s="582" t="n"/>
      <c r="H249" s="583" t="n"/>
      <c r="I249" s="510" t="n"/>
    </row>
    <row r="250" ht="19.95" customFormat="1" customHeight="1" s="511">
      <c r="A250" s="277" t="n"/>
      <c r="B250" s="285" t="n"/>
      <c r="C250" s="579" t="n"/>
      <c r="D250" s="580" t="n"/>
      <c r="E250" s="581" t="n"/>
      <c r="F250" s="577" t="n"/>
      <c r="G250" s="582" t="n"/>
      <c r="H250" s="583" t="n"/>
      <c r="I250" s="510" t="n"/>
    </row>
    <row r="251" ht="19.95" customFormat="1" customHeight="1" s="511">
      <c r="A251" s="277" t="n"/>
      <c r="B251" s="285" t="n"/>
      <c r="C251" s="579" t="n"/>
      <c r="D251" s="580" t="n"/>
      <c r="E251" s="581" t="n"/>
      <c r="F251" s="577" t="n"/>
      <c r="G251" s="582" t="n"/>
      <c r="H251" s="583" t="n"/>
      <c r="I251" s="510" t="n"/>
    </row>
    <row r="252" ht="19.95" customFormat="1" customHeight="1" s="511">
      <c r="A252" s="277" t="n"/>
      <c r="B252" s="285" t="n"/>
      <c r="C252" s="579" t="n"/>
      <c r="D252" s="580" t="n"/>
      <c r="E252" s="581" t="n"/>
      <c r="F252" s="577" t="n"/>
      <c r="G252" s="582" t="n"/>
      <c r="H252" s="583" t="n"/>
      <c r="I252" s="510" t="n"/>
    </row>
    <row r="253" ht="19.95" customFormat="1" customHeight="1" s="511">
      <c r="A253" s="277" t="n"/>
      <c r="B253" s="285" t="n"/>
      <c r="C253" s="579" t="n"/>
      <c r="D253" s="580" t="n"/>
      <c r="E253" s="581" t="n"/>
      <c r="F253" s="577" t="n"/>
      <c r="G253" s="582" t="n"/>
      <c r="H253" s="583" t="n"/>
      <c r="I253" s="510" t="n"/>
    </row>
    <row r="254" ht="19.95" customFormat="1" customHeight="1" s="511">
      <c r="A254" s="277" t="n"/>
      <c r="B254" s="285" t="n"/>
      <c r="C254" s="579" t="n"/>
      <c r="D254" s="580" t="n"/>
      <c r="E254" s="581" t="n"/>
      <c r="F254" s="577" t="n"/>
      <c r="G254" s="582" t="n"/>
      <c r="H254" s="583" t="n"/>
      <c r="I254" s="510" t="n"/>
    </row>
    <row r="255" ht="19.95" customFormat="1" customHeight="1" s="511">
      <c r="A255" s="277" t="n"/>
      <c r="B255" s="285" t="n"/>
      <c r="C255" s="579" t="n"/>
      <c r="D255" s="580" t="n"/>
      <c r="E255" s="581" t="n"/>
      <c r="F255" s="577" t="n"/>
      <c r="G255" s="582" t="n"/>
      <c r="H255" s="583" t="n"/>
      <c r="I255" s="510" t="n"/>
    </row>
    <row r="256" ht="19.95" customFormat="1" customHeight="1" s="511">
      <c r="A256" s="277" t="n"/>
      <c r="B256" s="285" t="n"/>
      <c r="C256" s="579" t="n"/>
      <c r="D256" s="580" t="n"/>
      <c r="E256" s="581" t="n"/>
      <c r="F256" s="577" t="n"/>
      <c r="G256" s="582" t="n"/>
      <c r="H256" s="583" t="n"/>
      <c r="I256" s="510" t="n"/>
    </row>
    <row r="257" ht="19.95" customFormat="1" customHeight="1" s="511">
      <c r="A257" s="277" t="n"/>
      <c r="B257" s="285" t="n"/>
      <c r="C257" s="579" t="n"/>
      <c r="D257" s="580" t="n"/>
      <c r="E257" s="581" t="n"/>
      <c r="F257" s="577" t="n"/>
      <c r="G257" s="582" t="n"/>
      <c r="H257" s="583" t="n"/>
      <c r="I257" s="510" t="n"/>
    </row>
    <row r="258" ht="19.95" customFormat="1" customHeight="1" s="511">
      <c r="A258" s="277" t="n"/>
      <c r="B258" s="285" t="n"/>
      <c r="C258" s="579" t="n"/>
      <c r="D258" s="580" t="n"/>
      <c r="E258" s="581" t="n"/>
      <c r="F258" s="577" t="n"/>
      <c r="G258" s="582" t="n"/>
      <c r="H258" s="583" t="n"/>
      <c r="I258" s="510" t="n"/>
    </row>
    <row r="259" ht="19.95" customFormat="1" customHeight="1" s="511">
      <c r="A259" s="277" t="n"/>
      <c r="B259" s="285" t="n"/>
      <c r="C259" s="579" t="n"/>
      <c r="D259" s="580" t="n"/>
      <c r="E259" s="581" t="n"/>
      <c r="F259" s="577" t="n"/>
      <c r="G259" s="582" t="n"/>
      <c r="H259" s="583" t="n"/>
      <c r="I259" s="510" t="n"/>
    </row>
    <row r="260" ht="19.95" customFormat="1" customHeight="1" s="511">
      <c r="A260" s="277" t="n"/>
      <c r="B260" s="285" t="n"/>
      <c r="C260" s="579" t="n"/>
      <c r="D260" s="580" t="n"/>
      <c r="E260" s="581" t="n"/>
      <c r="F260" s="577" t="n"/>
      <c r="G260" s="582" t="n"/>
      <c r="H260" s="583" t="n"/>
      <c r="I260" s="510" t="n"/>
    </row>
    <row r="261" ht="19.95" customFormat="1" customHeight="1" s="511">
      <c r="A261" s="277" t="n"/>
      <c r="B261" s="285" t="n"/>
      <c r="C261" s="579" t="n"/>
      <c r="D261" s="580" t="n"/>
      <c r="E261" s="581" t="n"/>
      <c r="F261" s="577" t="n"/>
      <c r="G261" s="582" t="n"/>
      <c r="H261" s="583" t="n"/>
      <c r="I261" s="510" t="n"/>
    </row>
    <row r="262" ht="19.95" customFormat="1" customHeight="1" s="511">
      <c r="A262" s="277" t="n"/>
      <c r="B262" s="285" t="n"/>
      <c r="C262" s="579" t="n"/>
      <c r="D262" s="580" t="n"/>
      <c r="E262" s="581" t="n"/>
      <c r="F262" s="577" t="n"/>
      <c r="G262" s="582" t="n"/>
      <c r="H262" s="583" t="n"/>
      <c r="I262" s="510" t="n"/>
    </row>
    <row r="263" ht="19.95" customFormat="1" customHeight="1" s="511">
      <c r="A263" s="277" t="n"/>
      <c r="B263" s="285" t="n"/>
      <c r="C263" s="579" t="n"/>
      <c r="D263" s="580" t="n"/>
      <c r="E263" s="581" t="n"/>
      <c r="F263" s="577" t="n"/>
      <c r="G263" s="582" t="n"/>
      <c r="H263" s="583" t="n"/>
      <c r="I263" s="510" t="n"/>
    </row>
    <row r="264" ht="19.95" customFormat="1" customHeight="1" s="511">
      <c r="A264" s="277" t="n"/>
      <c r="B264" s="285" t="n"/>
      <c r="C264" s="579" t="n"/>
      <c r="D264" s="580" t="n"/>
      <c r="E264" s="581" t="n"/>
      <c r="F264" s="577" t="n"/>
      <c r="G264" s="582" t="n"/>
      <c r="H264" s="583" t="n"/>
      <c r="I264" s="510" t="n"/>
    </row>
    <row r="265" ht="19.95" customFormat="1" customHeight="1" s="511">
      <c r="A265" s="277" t="n"/>
      <c r="B265" s="285" t="n"/>
      <c r="C265" s="579" t="n"/>
      <c r="D265" s="580" t="n"/>
      <c r="E265" s="581" t="n"/>
      <c r="F265" s="577" t="n"/>
      <c r="G265" s="582" t="n"/>
      <c r="H265" s="583" t="n"/>
      <c r="I265" s="510" t="n"/>
    </row>
    <row r="266" ht="19.95" customFormat="1" customHeight="1" s="511">
      <c r="A266" s="277" t="n"/>
      <c r="B266" s="285" t="n"/>
      <c r="C266" s="579" t="n"/>
      <c r="D266" s="580" t="n"/>
      <c r="E266" s="581" t="n"/>
      <c r="F266" s="577" t="n"/>
      <c r="G266" s="582" t="n"/>
      <c r="H266" s="583" t="n"/>
      <c r="I266" s="510" t="n"/>
    </row>
    <row r="267" ht="19.95" customFormat="1" customHeight="1" s="511">
      <c r="A267" s="277" t="n"/>
      <c r="B267" s="285" t="n"/>
      <c r="C267" s="579" t="n"/>
      <c r="D267" s="580" t="n"/>
      <c r="E267" s="581" t="n"/>
      <c r="F267" s="577" t="n"/>
      <c r="G267" s="582" t="n"/>
      <c r="H267" s="583" t="n"/>
      <c r="I267" s="510" t="n"/>
    </row>
    <row r="268" ht="19.95" customFormat="1" customHeight="1" s="511">
      <c r="A268" s="277" t="n"/>
      <c r="B268" s="285" t="n"/>
      <c r="C268" s="579" t="n"/>
      <c r="D268" s="580" t="n"/>
      <c r="E268" s="581" t="n"/>
      <c r="F268" s="577" t="n"/>
      <c r="G268" s="582" t="n"/>
      <c r="H268" s="583" t="n"/>
      <c r="I268" s="510" t="n"/>
    </row>
    <row r="269" ht="19.95" customFormat="1" customHeight="1" s="511">
      <c r="A269" s="277" t="n"/>
      <c r="B269" s="285" t="n"/>
      <c r="C269" s="579" t="n"/>
      <c r="D269" s="580" t="n"/>
      <c r="E269" s="581" t="n"/>
      <c r="F269" s="577" t="n"/>
      <c r="G269" s="582" t="n"/>
      <c r="H269" s="583" t="n"/>
      <c r="I269" s="510" t="n"/>
    </row>
    <row r="270" ht="19.95" customFormat="1" customHeight="1" s="511">
      <c r="A270" s="277" t="n"/>
      <c r="B270" s="285" t="n"/>
      <c r="C270" s="579" t="n"/>
      <c r="D270" s="580" t="n"/>
      <c r="E270" s="581" t="n"/>
      <c r="F270" s="577" t="n"/>
      <c r="G270" s="582" t="n"/>
      <c r="H270" s="583" t="n"/>
      <c r="I270" s="510" t="n"/>
    </row>
    <row r="271" ht="19.95" customFormat="1" customHeight="1" s="511">
      <c r="A271" s="277" t="n"/>
      <c r="B271" s="285" t="n"/>
      <c r="C271" s="579" t="n"/>
      <c r="D271" s="580" t="n"/>
      <c r="E271" s="581" t="n"/>
      <c r="F271" s="577" t="n"/>
      <c r="G271" s="582" t="n"/>
      <c r="H271" s="583" t="n"/>
      <c r="I271" s="510" t="n"/>
    </row>
    <row r="272" ht="19.95" customFormat="1" customHeight="1" s="511">
      <c r="A272" s="277" t="n"/>
      <c r="B272" s="285" t="n"/>
      <c r="C272" s="579" t="n"/>
      <c r="D272" s="580" t="n"/>
      <c r="E272" s="581" t="n"/>
      <c r="F272" s="577" t="n"/>
      <c r="G272" s="582" t="n"/>
      <c r="H272" s="583" t="n"/>
      <c r="I272" s="510" t="n"/>
    </row>
    <row r="273" ht="19.95" customFormat="1" customHeight="1" s="511">
      <c r="A273" s="277" t="n"/>
      <c r="B273" s="285" t="n"/>
      <c r="C273" s="579" t="n"/>
      <c r="D273" s="580" t="n"/>
      <c r="E273" s="581" t="n"/>
      <c r="F273" s="577" t="n"/>
      <c r="G273" s="582" t="n"/>
      <c r="H273" s="583" t="n"/>
      <c r="I273" s="510" t="n"/>
    </row>
    <row r="274" ht="19.95" customFormat="1" customHeight="1" s="511">
      <c r="A274" s="277" t="n"/>
      <c r="B274" s="285" t="n"/>
      <c r="C274" s="579" t="n"/>
      <c r="D274" s="580" t="n"/>
      <c r="E274" s="581" t="n"/>
      <c r="F274" s="577" t="n"/>
      <c r="G274" s="582" t="n"/>
      <c r="H274" s="583" t="n"/>
      <c r="I274" s="510" t="n"/>
    </row>
    <row r="275" ht="19.95" customFormat="1" customHeight="1" s="511">
      <c r="A275" s="277" t="n"/>
      <c r="B275" s="285" t="n"/>
      <c r="C275" s="579" t="n"/>
      <c r="D275" s="580" t="n"/>
      <c r="E275" s="581" t="n"/>
      <c r="F275" s="577" t="n"/>
      <c r="G275" s="582" t="n"/>
      <c r="H275" s="583" t="n"/>
      <c r="I275" s="510" t="n"/>
    </row>
    <row r="276" ht="19.95" customFormat="1" customHeight="1" s="511">
      <c r="A276" s="277" t="n"/>
      <c r="B276" s="285" t="n"/>
      <c r="C276" s="579" t="n"/>
      <c r="D276" s="580" t="n"/>
      <c r="E276" s="581" t="n"/>
      <c r="F276" s="577" t="n"/>
      <c r="G276" s="582" t="n"/>
      <c r="H276" s="583" t="n"/>
      <c r="I276" s="510" t="n"/>
    </row>
    <row r="277" ht="19.95" customFormat="1" customHeight="1" s="511">
      <c r="A277" s="277" t="n"/>
      <c r="B277" s="285" t="n"/>
      <c r="C277" s="579" t="n"/>
      <c r="D277" s="580" t="n"/>
      <c r="E277" s="581" t="n"/>
      <c r="F277" s="577" t="n"/>
      <c r="G277" s="582" t="n"/>
      <c r="H277" s="583" t="n"/>
      <c r="I277" s="510" t="n"/>
    </row>
    <row r="278" ht="19.95" customFormat="1" customHeight="1" s="511">
      <c r="A278" s="277" t="n"/>
      <c r="B278" s="285" t="n"/>
      <c r="C278" s="579" t="n"/>
      <c r="D278" s="580" t="n"/>
      <c r="E278" s="581" t="n"/>
      <c r="F278" s="577" t="n"/>
      <c r="G278" s="582" t="n"/>
      <c r="H278" s="583" t="n"/>
      <c r="I278" s="510" t="n"/>
    </row>
    <row r="279" ht="19.95" customFormat="1" customHeight="1" s="511">
      <c r="A279" s="277" t="n"/>
      <c r="B279" s="285" t="n"/>
      <c r="C279" s="579" t="n"/>
      <c r="D279" s="580" t="n"/>
      <c r="E279" s="581" t="n"/>
      <c r="F279" s="577" t="n"/>
      <c r="G279" s="582" t="n"/>
      <c r="H279" s="583" t="n"/>
      <c r="I279" s="510" t="n"/>
    </row>
    <row r="280" ht="19.95" customFormat="1" customHeight="1" s="511">
      <c r="A280" s="277" t="n"/>
      <c r="B280" s="285" t="n"/>
      <c r="C280" s="579" t="n"/>
      <c r="D280" s="580" t="n"/>
      <c r="E280" s="581" t="n"/>
      <c r="F280" s="577" t="n"/>
      <c r="G280" s="582" t="n"/>
      <c r="H280" s="583" t="n"/>
      <c r="I280" s="510" t="n"/>
    </row>
    <row r="281" ht="19.95" customFormat="1" customHeight="1" s="511">
      <c r="A281" s="277" t="n"/>
      <c r="B281" s="285" t="n"/>
      <c r="C281" s="579" t="n"/>
      <c r="D281" s="580" t="n"/>
      <c r="E281" s="581" t="n"/>
      <c r="F281" s="577" t="n"/>
      <c r="G281" s="582" t="n"/>
      <c r="H281" s="583" t="n"/>
      <c r="I281" s="510" t="n"/>
    </row>
    <row r="282" ht="19.95" customFormat="1" customHeight="1" s="511">
      <c r="A282" s="277" t="n"/>
      <c r="B282" s="285" t="n"/>
      <c r="C282" s="579" t="n"/>
      <c r="D282" s="580" t="n"/>
      <c r="E282" s="581" t="n"/>
      <c r="F282" s="577" t="n"/>
      <c r="G282" s="582" t="n"/>
      <c r="H282" s="583" t="n"/>
      <c r="I282" s="510" t="n"/>
    </row>
    <row r="283" ht="19.95" customFormat="1" customHeight="1" s="511">
      <c r="A283" s="277" t="n"/>
      <c r="B283" s="285" t="n"/>
      <c r="C283" s="579" t="n"/>
      <c r="D283" s="580" t="n"/>
      <c r="E283" s="581" t="n"/>
      <c r="F283" s="577" t="n"/>
      <c r="G283" s="582" t="n"/>
      <c r="H283" s="583" t="n"/>
      <c r="I283" s="510" t="n"/>
    </row>
    <row r="284" ht="19.95" customFormat="1" customHeight="1" s="511">
      <c r="A284" s="277" t="n"/>
      <c r="B284" s="285" t="n"/>
      <c r="C284" s="579" t="n"/>
      <c r="D284" s="580" t="n"/>
      <c r="E284" s="581" t="n"/>
      <c r="F284" s="577" t="n"/>
      <c r="G284" s="582" t="n"/>
      <c r="H284" s="583" t="n"/>
      <c r="I284" s="510" t="n"/>
    </row>
    <row r="285" ht="19.95" customFormat="1" customHeight="1" s="511">
      <c r="A285" s="277" t="n"/>
      <c r="B285" s="285" t="n"/>
      <c r="C285" s="579" t="n"/>
      <c r="D285" s="580" t="n"/>
      <c r="E285" s="581" t="n"/>
      <c r="F285" s="577" t="n"/>
      <c r="G285" s="582" t="n"/>
      <c r="H285" s="583" t="n"/>
      <c r="I285" s="510" t="n"/>
    </row>
    <row r="286" ht="19.95" customFormat="1" customHeight="1" s="511">
      <c r="A286" s="277" t="n"/>
      <c r="B286" s="285" t="n"/>
      <c r="C286" s="579" t="n"/>
      <c r="D286" s="580" t="n"/>
      <c r="E286" s="581" t="n"/>
      <c r="F286" s="577" t="n"/>
      <c r="G286" s="582" t="n"/>
      <c r="H286" s="583" t="n"/>
      <c r="I286" s="510" t="n"/>
    </row>
    <row r="287" ht="19.95" customFormat="1" customHeight="1" s="511">
      <c r="A287" s="277" t="n"/>
      <c r="B287" s="285" t="n"/>
      <c r="C287" s="579" t="n"/>
      <c r="D287" s="580" t="n"/>
      <c r="E287" s="581" t="n"/>
      <c r="F287" s="577" t="n"/>
      <c r="G287" s="582" t="n"/>
      <c r="H287" s="583" t="n"/>
      <c r="I287" s="510" t="n"/>
    </row>
    <row r="288" ht="19.95" customFormat="1" customHeight="1" s="511">
      <c r="A288" s="277" t="n"/>
      <c r="B288" s="285" t="n"/>
      <c r="C288" s="579" t="n"/>
      <c r="D288" s="580" t="n"/>
      <c r="E288" s="581" t="n"/>
      <c r="F288" s="577" t="n"/>
      <c r="G288" s="582" t="n"/>
      <c r="H288" s="583" t="n"/>
      <c r="I288" s="510" t="n"/>
    </row>
    <row r="289" ht="19.95" customFormat="1" customHeight="1" s="511">
      <c r="A289" s="277" t="n"/>
      <c r="B289" s="285" t="n"/>
      <c r="C289" s="579" t="n"/>
      <c r="D289" s="580" t="n"/>
      <c r="E289" s="581" t="n"/>
      <c r="F289" s="577" t="n"/>
      <c r="G289" s="582" t="n"/>
      <c r="H289" s="583" t="n"/>
      <c r="I289" s="510" t="n"/>
    </row>
    <row r="290" ht="19.95" customFormat="1" customHeight="1" s="511">
      <c r="A290" s="277" t="n"/>
      <c r="B290" s="285" t="n"/>
      <c r="C290" s="579" t="n"/>
      <c r="D290" s="580" t="n"/>
      <c r="E290" s="581" t="n"/>
      <c r="F290" s="577" t="n"/>
      <c r="G290" s="582" t="n"/>
      <c r="H290" s="583" t="n"/>
      <c r="I290" s="510" t="n"/>
    </row>
    <row r="291" ht="19.95" customFormat="1" customHeight="1" s="511">
      <c r="A291" s="277" t="n"/>
      <c r="B291" s="285" t="n"/>
      <c r="C291" s="579" t="n"/>
      <c r="D291" s="580" t="n"/>
      <c r="E291" s="581" t="n"/>
      <c r="F291" s="577" t="n"/>
      <c r="G291" s="582" t="n"/>
      <c r="H291" s="583" t="n"/>
      <c r="I291" s="510" t="n"/>
    </row>
    <row r="292" ht="19.95" customFormat="1" customHeight="1" s="511">
      <c r="A292" s="277" t="n"/>
      <c r="B292" s="285" t="n"/>
      <c r="C292" s="579" t="n"/>
      <c r="D292" s="580" t="n"/>
      <c r="E292" s="581" t="n"/>
      <c r="F292" s="577" t="n"/>
      <c r="G292" s="582" t="n"/>
      <c r="H292" s="583" t="n"/>
      <c r="I292" s="510" t="n"/>
    </row>
    <row r="293" ht="19.95" customFormat="1" customHeight="1" s="511">
      <c r="A293" s="277" t="n"/>
      <c r="B293" s="285" t="n"/>
      <c r="C293" s="579" t="n"/>
      <c r="D293" s="580" t="n"/>
      <c r="E293" s="581" t="n"/>
      <c r="F293" s="577" t="n"/>
      <c r="G293" s="582" t="n"/>
      <c r="H293" s="583" t="n"/>
      <c r="I293" s="510" t="n"/>
    </row>
    <row r="294" ht="19.95" customFormat="1" customHeight="1" s="511">
      <c r="A294" s="277" t="n"/>
      <c r="B294" s="285" t="n"/>
      <c r="C294" s="579" t="n"/>
      <c r="D294" s="580" t="n"/>
      <c r="E294" s="581" t="n"/>
      <c r="F294" s="577" t="n"/>
      <c r="G294" s="582" t="n"/>
      <c r="H294" s="583" t="n"/>
      <c r="I294" s="510" t="n"/>
    </row>
    <row r="295" ht="19.95" customFormat="1" customHeight="1" s="511">
      <c r="A295" s="277" t="n"/>
      <c r="B295" s="285" t="n"/>
      <c r="C295" s="579" t="n"/>
      <c r="D295" s="580" t="n"/>
      <c r="E295" s="581" t="n"/>
      <c r="F295" s="577" t="n"/>
      <c r="G295" s="582" t="n"/>
      <c r="H295" s="583" t="n"/>
      <c r="I295" s="510" t="n"/>
    </row>
    <row r="296" ht="19.95" customFormat="1" customHeight="1" s="511">
      <c r="A296" s="277" t="n"/>
      <c r="B296" s="285" t="n"/>
      <c r="C296" s="579" t="n"/>
      <c r="D296" s="580" t="n"/>
      <c r="E296" s="581" t="n"/>
      <c r="F296" s="577" t="n"/>
      <c r="G296" s="582" t="n"/>
      <c r="H296" s="583" t="n"/>
      <c r="I296" s="510" t="n"/>
    </row>
    <row r="297" ht="19.95" customFormat="1" customHeight="1" s="511">
      <c r="A297" s="277" t="n"/>
      <c r="B297" s="285" t="n"/>
      <c r="C297" s="579" t="n"/>
      <c r="D297" s="580" t="n"/>
      <c r="E297" s="581" t="n"/>
      <c r="F297" s="577" t="n"/>
      <c r="G297" s="582" t="n"/>
      <c r="H297" s="583" t="n"/>
      <c r="I297" s="510" t="n"/>
    </row>
    <row r="298" ht="19.95" customFormat="1" customHeight="1" s="511">
      <c r="A298" s="277" t="n"/>
      <c r="B298" s="285" t="n"/>
      <c r="C298" s="579" t="n"/>
      <c r="D298" s="580" t="n"/>
      <c r="E298" s="581" t="n"/>
      <c r="F298" s="577" t="n"/>
      <c r="G298" s="582" t="n"/>
      <c r="H298" s="583" t="n"/>
      <c r="I298" s="510" t="n"/>
    </row>
    <row r="299" ht="19.95" customFormat="1" customHeight="1" s="511">
      <c r="A299" s="277" t="n"/>
      <c r="B299" s="285" t="n"/>
      <c r="C299" s="579" t="n"/>
      <c r="D299" s="580" t="n"/>
      <c r="E299" s="581" t="n"/>
      <c r="F299" s="577" t="n"/>
      <c r="G299" s="582" t="n"/>
      <c r="H299" s="583" t="n"/>
      <c r="I299" s="510" t="n"/>
    </row>
    <row r="300" ht="19.95" customFormat="1" customHeight="1" s="511">
      <c r="A300" s="277" t="n"/>
      <c r="B300" s="285" t="n"/>
      <c r="C300" s="579" t="n"/>
      <c r="D300" s="580" t="n"/>
      <c r="E300" s="581" t="n"/>
      <c r="F300" s="577" t="n"/>
      <c r="G300" s="582" t="n"/>
      <c r="H300" s="583" t="n"/>
      <c r="I300" s="510" t="n"/>
    </row>
    <row r="301" ht="19.95" customFormat="1" customHeight="1" s="511">
      <c r="A301" s="277" t="n"/>
      <c r="B301" s="285" t="n"/>
      <c r="C301" s="579" t="n"/>
      <c r="D301" s="580" t="n"/>
      <c r="E301" s="581" t="n"/>
      <c r="F301" s="577" t="n"/>
      <c r="G301" s="582" t="n"/>
      <c r="H301" s="583" t="n"/>
      <c r="I301" s="510" t="n"/>
    </row>
    <row r="302" ht="19.95" customFormat="1" customHeight="1" s="511">
      <c r="A302" s="277" t="n"/>
      <c r="B302" s="285" t="n"/>
      <c r="C302" s="579" t="n"/>
      <c r="D302" s="580" t="n"/>
      <c r="E302" s="581" t="n"/>
      <c r="F302" s="577" t="n"/>
      <c r="G302" s="582" t="n"/>
      <c r="H302" s="583" t="n"/>
      <c r="I302" s="510" t="n"/>
    </row>
    <row r="303" ht="19.95" customFormat="1" customHeight="1" s="511">
      <c r="A303" s="277" t="n"/>
      <c r="B303" s="285" t="n"/>
      <c r="C303" s="579" t="n"/>
      <c r="D303" s="580" t="n"/>
      <c r="E303" s="581" t="n"/>
      <c r="F303" s="577" t="n"/>
      <c r="G303" s="582" t="n"/>
      <c r="H303" s="583" t="n"/>
      <c r="I303" s="510" t="n"/>
    </row>
    <row r="304" ht="19.95" customFormat="1" customHeight="1" s="511">
      <c r="A304" s="277" t="n"/>
      <c r="B304" s="285" t="n"/>
      <c r="C304" s="579" t="n"/>
      <c r="D304" s="580" t="n"/>
      <c r="E304" s="581" t="n"/>
      <c r="F304" s="577" t="n"/>
      <c r="G304" s="582" t="n"/>
      <c r="H304" s="583" t="n"/>
      <c r="I304" s="510" t="n"/>
    </row>
    <row r="305" ht="19.95" customFormat="1" customHeight="1" s="511">
      <c r="A305" s="277" t="n"/>
      <c r="B305" s="285" t="n"/>
      <c r="C305" s="579" t="n"/>
      <c r="D305" s="580" t="n"/>
      <c r="E305" s="581" t="n"/>
      <c r="F305" s="577" t="n"/>
      <c r="G305" s="582" t="n"/>
      <c r="H305" s="583" t="n"/>
      <c r="I305" s="510" t="n"/>
    </row>
    <row r="306" ht="19.95" customFormat="1" customHeight="1" s="511">
      <c r="A306" s="277" t="n"/>
      <c r="B306" s="285" t="n"/>
      <c r="C306" s="579" t="n"/>
      <c r="D306" s="580" t="n"/>
      <c r="E306" s="581" t="n"/>
      <c r="F306" s="577" t="n"/>
      <c r="G306" s="582" t="n"/>
      <c r="H306" s="583" t="n"/>
      <c r="I306" s="510" t="n"/>
    </row>
    <row r="307" ht="19.95" customFormat="1" customHeight="1" s="511">
      <c r="A307" s="277" t="n"/>
      <c r="B307" s="285" t="n"/>
      <c r="C307" s="579" t="n"/>
      <c r="D307" s="580" t="n"/>
      <c r="E307" s="581" t="n"/>
      <c r="F307" s="577" t="n"/>
      <c r="G307" s="582" t="n"/>
      <c r="H307" s="583" t="n"/>
      <c r="I307" s="510" t="n"/>
    </row>
    <row r="308" ht="19.95" customFormat="1" customHeight="1" s="511">
      <c r="A308" s="277" t="n"/>
      <c r="B308" s="285" t="n"/>
      <c r="C308" s="579" t="n"/>
      <c r="D308" s="580" t="n"/>
      <c r="E308" s="581" t="n"/>
      <c r="F308" s="577" t="n"/>
      <c r="G308" s="582" t="n"/>
      <c r="H308" s="583" t="n"/>
      <c r="I308" s="510" t="n"/>
    </row>
    <row r="309" ht="19.95" customFormat="1" customHeight="1" s="511">
      <c r="A309" s="277" t="n"/>
      <c r="B309" s="285" t="n"/>
      <c r="C309" s="579" t="n"/>
      <c r="D309" s="580" t="n"/>
      <c r="E309" s="581" t="n"/>
      <c r="F309" s="577" t="n"/>
      <c r="G309" s="582" t="n"/>
      <c r="H309" s="583" t="n"/>
      <c r="I309" s="510" t="n"/>
    </row>
    <row r="310" ht="19.95" customFormat="1" customHeight="1" s="511">
      <c r="A310" s="277" t="n"/>
      <c r="B310" s="285" t="n"/>
      <c r="C310" s="579" t="n"/>
      <c r="D310" s="580" t="n"/>
      <c r="E310" s="581" t="n"/>
      <c r="F310" s="577" t="n"/>
      <c r="G310" s="582" t="n"/>
      <c r="H310" s="583" t="n"/>
      <c r="I310" s="510" t="n"/>
    </row>
    <row r="311" ht="19.95" customFormat="1" customHeight="1" s="511">
      <c r="A311" s="277" t="n"/>
      <c r="B311" s="285" t="n"/>
      <c r="C311" s="579" t="n"/>
      <c r="D311" s="580" t="n"/>
      <c r="E311" s="581" t="n"/>
      <c r="F311" s="577" t="n"/>
      <c r="G311" s="582" t="n"/>
      <c r="H311" s="583" t="n"/>
      <c r="I311" s="510" t="n"/>
    </row>
    <row r="312" ht="19.95" customFormat="1" customHeight="1" s="511">
      <c r="A312" s="277" t="n"/>
      <c r="B312" s="285" t="n"/>
      <c r="C312" s="579" t="n"/>
      <c r="D312" s="580" t="n"/>
      <c r="E312" s="581" t="n"/>
      <c r="F312" s="577" t="n"/>
      <c r="G312" s="582" t="n"/>
      <c r="H312" s="583" t="n"/>
      <c r="I312" s="510" t="n"/>
    </row>
    <row r="313" ht="19.95" customFormat="1" customHeight="1" s="511">
      <c r="A313" s="277" t="n"/>
      <c r="B313" s="285" t="n"/>
      <c r="C313" s="579" t="n"/>
      <c r="D313" s="580" t="n"/>
      <c r="E313" s="581" t="n"/>
      <c r="F313" s="577" t="n"/>
      <c r="G313" s="582" t="n"/>
      <c r="H313" s="583" t="n"/>
      <c r="I313" s="510" t="n"/>
    </row>
    <row r="314" ht="19.95" customFormat="1" customHeight="1" s="511">
      <c r="A314" s="277" t="n"/>
      <c r="B314" s="285" t="n"/>
      <c r="C314" s="579" t="n"/>
      <c r="D314" s="580" t="n"/>
      <c r="E314" s="581" t="n"/>
      <c r="F314" s="577" t="n"/>
      <c r="G314" s="582" t="n"/>
      <c r="H314" s="583" t="n"/>
      <c r="I314" s="510" t="n"/>
    </row>
    <row r="315" ht="19.95" customFormat="1" customHeight="1" s="511">
      <c r="A315" s="277" t="n"/>
      <c r="B315" s="285" t="n"/>
      <c r="C315" s="579" t="n"/>
      <c r="D315" s="580" t="n"/>
      <c r="E315" s="581" t="n"/>
      <c r="F315" s="577" t="n"/>
      <c r="G315" s="582" t="n"/>
      <c r="H315" s="583" t="n"/>
      <c r="I315" s="510" t="n"/>
    </row>
    <row r="316" ht="19.95" customFormat="1" customHeight="1" s="511">
      <c r="A316" s="277" t="n"/>
      <c r="B316" s="285" t="n"/>
      <c r="C316" s="579" t="n"/>
      <c r="D316" s="580" t="n"/>
      <c r="E316" s="581" t="n"/>
      <c r="F316" s="577" t="n"/>
      <c r="G316" s="582" t="n"/>
      <c r="H316" s="583" t="n"/>
      <c r="I316" s="510" t="n"/>
    </row>
    <row r="317" ht="19.95" customFormat="1" customHeight="1" s="511">
      <c r="A317" s="277" t="n"/>
      <c r="B317" s="285" t="n"/>
      <c r="C317" s="579" t="n"/>
      <c r="D317" s="580" t="n"/>
      <c r="E317" s="581" t="n"/>
      <c r="F317" s="577" t="n"/>
      <c r="G317" s="582" t="n"/>
      <c r="H317" s="583" t="n"/>
      <c r="I317" s="510" t="n"/>
    </row>
    <row r="318" ht="19.95" customFormat="1" customHeight="1" s="511">
      <c r="A318" s="277" t="n"/>
      <c r="B318" s="285" t="n"/>
      <c r="C318" s="579" t="n"/>
      <c r="D318" s="580" t="n"/>
      <c r="E318" s="581" t="n"/>
      <c r="F318" s="577" t="n"/>
      <c r="G318" s="582" t="n"/>
      <c r="H318" s="583" t="n"/>
      <c r="I318" s="510" t="n"/>
    </row>
    <row r="319" ht="19.95" customFormat="1" customHeight="1" s="511">
      <c r="A319" s="277" t="n"/>
      <c r="B319" s="285" t="n"/>
      <c r="C319" s="579" t="n"/>
      <c r="D319" s="580" t="n"/>
      <c r="E319" s="581" t="n"/>
      <c r="F319" s="577" t="n"/>
      <c r="G319" s="582" t="n"/>
      <c r="H319" s="583" t="n"/>
      <c r="I319" s="510" t="n"/>
    </row>
    <row r="320" ht="19.95" customFormat="1" customHeight="1" s="511">
      <c r="A320" s="277" t="n"/>
      <c r="B320" s="285" t="n"/>
      <c r="C320" s="579" t="n"/>
      <c r="D320" s="580" t="n"/>
      <c r="E320" s="581" t="n"/>
      <c r="F320" s="577" t="n"/>
      <c r="G320" s="582" t="n"/>
      <c r="H320" s="583" t="n"/>
      <c r="I320" s="510" t="n"/>
    </row>
    <row r="321" ht="19.95" customFormat="1" customHeight="1" s="511">
      <c r="A321" s="277" t="n"/>
      <c r="B321" s="285" t="n"/>
      <c r="C321" s="579" t="n"/>
      <c r="D321" s="580" t="n"/>
      <c r="E321" s="581" t="n"/>
      <c r="F321" s="577" t="n"/>
      <c r="G321" s="582" t="n"/>
      <c r="H321" s="583" t="n"/>
      <c r="I321" s="510" t="n"/>
    </row>
    <row r="322" ht="19.95" customFormat="1" customHeight="1" s="511">
      <c r="A322" s="277" t="n"/>
      <c r="B322" s="285" t="n"/>
      <c r="C322" s="579" t="n"/>
      <c r="D322" s="580" t="n"/>
      <c r="E322" s="581" t="n"/>
      <c r="F322" s="577" t="n"/>
      <c r="G322" s="582" t="n"/>
      <c r="H322" s="583" t="n"/>
      <c r="I322" s="510" t="n"/>
    </row>
    <row r="323" ht="19.95" customFormat="1" customHeight="1" s="511">
      <c r="A323" s="277" t="n"/>
      <c r="B323" s="285" t="n"/>
      <c r="C323" s="579" t="n"/>
      <c r="D323" s="580" t="n"/>
      <c r="E323" s="581" t="n"/>
      <c r="F323" s="577" t="n"/>
      <c r="G323" s="582" t="n"/>
      <c r="H323" s="583" t="n"/>
      <c r="I323" s="510" t="n"/>
    </row>
    <row r="324" ht="19.95" customFormat="1" customHeight="1" s="511">
      <c r="A324" s="277" t="n"/>
      <c r="B324" s="285" t="n"/>
      <c r="C324" s="579" t="n"/>
      <c r="D324" s="580" t="n"/>
      <c r="E324" s="581" t="n"/>
      <c r="F324" s="577" t="n"/>
      <c r="G324" s="582" t="n"/>
      <c r="H324" s="583" t="n"/>
      <c r="I324" s="510" t="n"/>
    </row>
    <row r="325" ht="19.95" customFormat="1" customHeight="1" s="511">
      <c r="A325" s="277" t="n"/>
      <c r="B325" s="285" t="n"/>
      <c r="C325" s="579" t="n"/>
      <c r="D325" s="580" t="n"/>
      <c r="E325" s="581" t="n"/>
      <c r="F325" s="577" t="n"/>
      <c r="G325" s="582" t="n"/>
      <c r="H325" s="583" t="n"/>
      <c r="I325" s="510" t="n"/>
    </row>
    <row r="326" ht="19.95" customFormat="1" customHeight="1" s="511">
      <c r="A326" s="277" t="n"/>
      <c r="B326" s="285" t="n"/>
      <c r="C326" s="579" t="n"/>
      <c r="D326" s="580" t="n"/>
      <c r="E326" s="581" t="n"/>
      <c r="F326" s="577" t="n"/>
      <c r="G326" s="582" t="n"/>
      <c r="H326" s="583" t="n"/>
      <c r="I326" s="510" t="n"/>
    </row>
    <row r="327" ht="19.95" customFormat="1" customHeight="1" s="511">
      <c r="A327" s="277" t="n"/>
      <c r="B327" s="285" t="n"/>
      <c r="C327" s="579" t="n"/>
      <c r="D327" s="580" t="n"/>
      <c r="E327" s="581" t="n"/>
      <c r="F327" s="577" t="n"/>
      <c r="G327" s="582" t="n"/>
      <c r="H327" s="583" t="n"/>
      <c r="I327" s="510" t="n"/>
    </row>
    <row r="328" ht="19.95" customFormat="1" customHeight="1" s="511">
      <c r="A328" s="277" t="n"/>
      <c r="B328" s="285" t="n"/>
      <c r="C328" s="579" t="n"/>
      <c r="D328" s="580" t="n"/>
      <c r="E328" s="581" t="n"/>
      <c r="F328" s="577" t="n"/>
      <c r="G328" s="582" t="n"/>
      <c r="H328" s="583" t="n"/>
      <c r="I328" s="510" t="n"/>
    </row>
    <row r="329" ht="19.95" customFormat="1" customHeight="1" s="511">
      <c r="A329" s="277" t="n"/>
      <c r="B329" s="285" t="n"/>
      <c r="C329" s="579" t="n"/>
      <c r="D329" s="580" t="n"/>
      <c r="E329" s="581" t="n"/>
      <c r="F329" s="577" t="n"/>
      <c r="G329" s="582" t="n"/>
      <c r="H329" s="583" t="n"/>
      <c r="I329" s="510" t="n"/>
    </row>
    <row r="330" ht="19.95" customFormat="1" customHeight="1" s="511">
      <c r="A330" s="277" t="n"/>
      <c r="B330" s="285" t="n"/>
      <c r="C330" s="579" t="n"/>
      <c r="D330" s="580" t="n"/>
      <c r="E330" s="581" t="n"/>
      <c r="F330" s="577" t="n"/>
      <c r="G330" s="582" t="n"/>
      <c r="H330" s="583" t="n"/>
      <c r="I330" s="510" t="n"/>
    </row>
    <row r="331" ht="19.95" customFormat="1" customHeight="1" s="511">
      <c r="A331" s="277" t="n"/>
      <c r="B331" s="285" t="n"/>
      <c r="C331" s="579" t="n"/>
      <c r="D331" s="580" t="n"/>
      <c r="E331" s="581" t="n"/>
      <c r="F331" s="577" t="n"/>
      <c r="G331" s="582" t="n"/>
      <c r="H331" s="583" t="n"/>
      <c r="I331" s="510" t="n"/>
    </row>
    <row r="332" ht="19.95" customFormat="1" customHeight="1" s="511">
      <c r="A332" s="277" t="n"/>
      <c r="B332" s="285" t="n"/>
      <c r="C332" s="579" t="n"/>
      <c r="D332" s="580" t="n"/>
      <c r="E332" s="581" t="n"/>
      <c r="F332" s="577" t="n"/>
      <c r="G332" s="582" t="n"/>
      <c r="H332" s="583" t="n"/>
      <c r="I332" s="510" t="n"/>
    </row>
    <row r="333" ht="19.95" customFormat="1" customHeight="1" s="511">
      <c r="A333" s="277" t="n"/>
      <c r="B333" s="285" t="n"/>
      <c r="C333" s="579" t="n"/>
      <c r="D333" s="580" t="n"/>
      <c r="E333" s="581" t="n"/>
      <c r="F333" s="577" t="n"/>
      <c r="G333" s="582" t="n"/>
      <c r="H333" s="583" t="n"/>
      <c r="I333" s="510" t="n"/>
    </row>
    <row r="334" ht="19.95" customFormat="1" customHeight="1" s="511">
      <c r="A334" s="277" t="n"/>
      <c r="B334" s="285" t="n"/>
      <c r="C334" s="579" t="n"/>
      <c r="D334" s="580" t="n"/>
      <c r="E334" s="581" t="n"/>
      <c r="F334" s="577" t="n"/>
      <c r="G334" s="582" t="n"/>
      <c r="H334" s="583" t="n"/>
      <c r="I334" s="510" t="n"/>
    </row>
    <row r="335" ht="19.95" customFormat="1" customHeight="1" s="511">
      <c r="A335" s="277" t="n"/>
      <c r="B335" s="285" t="n"/>
      <c r="C335" s="579" t="n"/>
      <c r="D335" s="580" t="n"/>
      <c r="E335" s="581" t="n"/>
      <c r="F335" s="577" t="n"/>
      <c r="G335" s="582" t="n"/>
      <c r="H335" s="583" t="n"/>
      <c r="I335" s="510" t="n"/>
    </row>
    <row r="336" ht="19.95" customFormat="1" customHeight="1" s="511">
      <c r="A336" s="277" t="n"/>
      <c r="B336" s="285" t="n"/>
      <c r="C336" s="579" t="n"/>
      <c r="D336" s="580" t="n"/>
      <c r="E336" s="581" t="n"/>
      <c r="F336" s="577" t="n"/>
      <c r="G336" s="582" t="n"/>
      <c r="H336" s="583" t="n"/>
      <c r="I336" s="510" t="n"/>
    </row>
    <row r="337" ht="19.95" customFormat="1" customHeight="1" s="511">
      <c r="A337" s="277" t="n"/>
      <c r="B337" s="285" t="n"/>
      <c r="C337" s="579" t="n"/>
      <c r="D337" s="580" t="n"/>
      <c r="E337" s="581" t="n"/>
      <c r="F337" s="577" t="n"/>
      <c r="G337" s="582" t="n"/>
      <c r="H337" s="583" t="n"/>
      <c r="I337" s="510" t="n"/>
    </row>
    <row r="338" ht="19.95" customFormat="1" customHeight="1" s="511">
      <c r="A338" s="277" t="n"/>
      <c r="B338" s="285" t="n"/>
      <c r="C338" s="579" t="n"/>
      <c r="D338" s="580" t="n"/>
      <c r="E338" s="581" t="n"/>
      <c r="F338" s="577" t="n"/>
      <c r="G338" s="582" t="n"/>
      <c r="H338" s="583" t="n"/>
      <c r="I338" s="510" t="n"/>
    </row>
    <row r="339" ht="19.95" customFormat="1" customHeight="1" s="511">
      <c r="A339" s="277" t="n"/>
      <c r="B339" s="285" t="n"/>
      <c r="C339" s="579" t="n"/>
      <c r="D339" s="580" t="n"/>
      <c r="E339" s="581" t="n"/>
      <c r="F339" s="577" t="n"/>
      <c r="G339" s="582" t="n"/>
      <c r="H339" s="583" t="n"/>
      <c r="I339" s="510" t="n"/>
    </row>
    <row r="340" ht="19.95" customFormat="1" customHeight="1" s="511">
      <c r="A340" s="277" t="n"/>
      <c r="B340" s="285" t="n"/>
      <c r="C340" s="579" t="n"/>
      <c r="D340" s="580" t="n"/>
      <c r="E340" s="581" t="n"/>
      <c r="F340" s="577" t="n"/>
      <c r="G340" s="582" t="n"/>
      <c r="H340" s="583" t="n"/>
      <c r="I340" s="510" t="n"/>
    </row>
    <row r="341" ht="19.95" customFormat="1" customHeight="1" s="511">
      <c r="A341" s="277" t="n"/>
      <c r="B341" s="285" t="n"/>
      <c r="C341" s="579" t="n"/>
      <c r="D341" s="580" t="n"/>
      <c r="E341" s="581" t="n"/>
      <c r="F341" s="577" t="n"/>
      <c r="G341" s="582" t="n"/>
      <c r="H341" s="583" t="n"/>
      <c r="I341" s="510" t="n"/>
    </row>
    <row r="342" ht="19.95" customFormat="1" customHeight="1" s="511">
      <c r="A342" s="277" t="n"/>
      <c r="B342" s="285" t="n"/>
      <c r="C342" s="579" t="n"/>
      <c r="D342" s="580" t="n"/>
      <c r="E342" s="581" t="n"/>
      <c r="F342" s="577" t="n"/>
      <c r="G342" s="582" t="n"/>
      <c r="H342" s="583" t="n"/>
      <c r="I342" s="510" t="n"/>
    </row>
    <row r="343" ht="19.95" customFormat="1" customHeight="1" s="511">
      <c r="A343" s="277" t="n"/>
      <c r="B343" s="285" t="n"/>
      <c r="C343" s="579" t="n"/>
      <c r="D343" s="580" t="n"/>
      <c r="E343" s="581" t="n"/>
      <c r="F343" s="577" t="n"/>
      <c r="G343" s="582" t="n"/>
      <c r="H343" s="583" t="n"/>
      <c r="I343" s="510" t="n"/>
    </row>
    <row r="344" ht="19.95" customFormat="1" customHeight="1" s="511">
      <c r="A344" s="277" t="n"/>
      <c r="B344" s="285" t="n"/>
      <c r="C344" s="579" t="n"/>
      <c r="D344" s="580" t="n"/>
      <c r="E344" s="581" t="n"/>
      <c r="F344" s="577" t="n"/>
      <c r="G344" s="582" t="n"/>
      <c r="H344" s="583" t="n"/>
      <c r="I344" s="510" t="n"/>
    </row>
    <row r="345" ht="19.95" customFormat="1" customHeight="1" s="511">
      <c r="A345" s="277" t="n"/>
      <c r="B345" s="285" t="n"/>
      <c r="C345" s="579" t="n"/>
      <c r="D345" s="580" t="n"/>
      <c r="E345" s="581" t="n"/>
      <c r="F345" s="577" t="n"/>
      <c r="G345" s="582" t="n"/>
      <c r="H345" s="583" t="n"/>
      <c r="I345" s="510" t="n"/>
    </row>
    <row r="346" ht="19.95" customFormat="1" customHeight="1" s="511">
      <c r="A346" s="277" t="n"/>
      <c r="B346" s="285" t="n"/>
      <c r="C346" s="579" t="n"/>
      <c r="D346" s="580" t="n"/>
      <c r="E346" s="581" t="n"/>
      <c r="F346" s="577" t="n"/>
      <c r="G346" s="582" t="n"/>
      <c r="H346" s="583" t="n"/>
      <c r="I346" s="510" t="n"/>
    </row>
    <row r="347" ht="19.95" customFormat="1" customHeight="1" s="511">
      <c r="A347" s="277" t="n"/>
      <c r="B347" s="285" t="n"/>
      <c r="C347" s="579" t="n"/>
      <c r="D347" s="580" t="n"/>
      <c r="E347" s="581" t="n"/>
      <c r="F347" s="577" t="n"/>
      <c r="G347" s="582" t="n"/>
      <c r="H347" s="583" t="n"/>
      <c r="I347" s="510" t="n"/>
    </row>
    <row r="348" ht="19.95" customFormat="1" customHeight="1" s="511">
      <c r="A348" s="277" t="n"/>
      <c r="B348" s="285" t="n"/>
      <c r="C348" s="579" t="n"/>
      <c r="D348" s="580" t="n"/>
      <c r="E348" s="581" t="n"/>
      <c r="F348" s="577" t="n"/>
      <c r="G348" s="582" t="n"/>
      <c r="H348" s="583" t="n"/>
      <c r="I348" s="510" t="n"/>
    </row>
    <row r="349" ht="19.95" customFormat="1" customHeight="1" s="511">
      <c r="A349" s="277" t="n"/>
      <c r="B349" s="285" t="n"/>
      <c r="C349" s="579" t="n"/>
      <c r="D349" s="580" t="n"/>
      <c r="E349" s="581" t="n"/>
      <c r="F349" s="577" t="n"/>
      <c r="G349" s="582" t="n"/>
      <c r="H349" s="583" t="n"/>
      <c r="I349" s="510" t="n"/>
    </row>
    <row r="350" ht="19.95" customFormat="1" customHeight="1" s="511">
      <c r="A350" s="277" t="n"/>
      <c r="B350" s="285" t="n"/>
      <c r="C350" s="579" t="n"/>
      <c r="D350" s="580" t="n"/>
      <c r="E350" s="581" t="n"/>
      <c r="F350" s="577" t="n"/>
      <c r="G350" s="582" t="n"/>
      <c r="H350" s="583" t="n"/>
      <c r="I350" s="510" t="n"/>
    </row>
    <row r="351" ht="19.95" customFormat="1" customHeight="1" s="511">
      <c r="A351" s="277" t="n"/>
      <c r="B351" s="285" t="n"/>
      <c r="C351" s="579" t="n"/>
      <c r="D351" s="580" t="n"/>
      <c r="E351" s="581" t="n"/>
      <c r="F351" s="577" t="n"/>
      <c r="G351" s="582" t="n"/>
      <c r="H351" s="583" t="n"/>
      <c r="I351" s="510" t="n"/>
    </row>
    <row r="352" ht="19.95" customFormat="1" customHeight="1" s="511">
      <c r="A352" s="277" t="n"/>
      <c r="B352" s="285" t="n"/>
      <c r="C352" s="579" t="n"/>
      <c r="D352" s="580" t="n"/>
      <c r="E352" s="581" t="n"/>
      <c r="F352" s="577" t="n"/>
      <c r="G352" s="582" t="n"/>
      <c r="H352" s="583" t="n"/>
      <c r="I352" s="510" t="n"/>
    </row>
    <row r="353" ht="19.95" customFormat="1" customHeight="1" s="511">
      <c r="A353" s="277" t="n"/>
      <c r="B353" s="285" t="n"/>
      <c r="C353" s="579" t="n"/>
      <c r="D353" s="580" t="n"/>
      <c r="E353" s="581" t="n"/>
      <c r="F353" s="577" t="n"/>
      <c r="G353" s="582" t="n"/>
      <c r="H353" s="583" t="n"/>
      <c r="I353" s="510" t="n"/>
    </row>
    <row r="354" ht="19.95" customFormat="1" customHeight="1" s="511">
      <c r="A354" s="277" t="n"/>
      <c r="B354" s="285" t="n"/>
      <c r="C354" s="579" t="n"/>
      <c r="D354" s="580" t="n"/>
      <c r="E354" s="581" t="n"/>
      <c r="F354" s="577" t="n"/>
      <c r="G354" s="582" t="n"/>
      <c r="H354" s="583" t="n"/>
      <c r="I354" s="510" t="n"/>
    </row>
    <row r="355" ht="19.95" customFormat="1" customHeight="1" s="511">
      <c r="A355" s="277" t="n"/>
      <c r="B355" s="285" t="n"/>
      <c r="C355" s="579" t="n"/>
      <c r="D355" s="580" t="n"/>
      <c r="E355" s="581" t="n"/>
      <c r="F355" s="577" t="n"/>
      <c r="G355" s="582" t="n"/>
      <c r="H355" s="583" t="n"/>
      <c r="I355" s="510" t="n"/>
    </row>
    <row r="356" ht="19.95" customFormat="1" customHeight="1" s="511">
      <c r="A356" s="277" t="n"/>
      <c r="B356" s="285" t="n"/>
      <c r="C356" s="579" t="n"/>
      <c r="D356" s="580" t="n"/>
      <c r="E356" s="581" t="n"/>
      <c r="F356" s="577" t="n"/>
      <c r="G356" s="582" t="n"/>
      <c r="H356" s="583" t="n"/>
      <c r="I356" s="510" t="n"/>
    </row>
    <row r="357" ht="19.95" customFormat="1" customHeight="1" s="511">
      <c r="A357" s="277" t="n"/>
      <c r="B357" s="285" t="n"/>
      <c r="C357" s="579" t="n"/>
      <c r="D357" s="580" t="n"/>
      <c r="E357" s="581" t="n"/>
      <c r="F357" s="577" t="n"/>
      <c r="G357" s="582" t="n"/>
      <c r="H357" s="583" t="n"/>
      <c r="I357" s="510" t="n"/>
    </row>
    <row r="358" ht="19.95" customFormat="1" customHeight="1" s="511">
      <c r="A358" s="277" t="n"/>
      <c r="B358" s="285" t="n"/>
      <c r="C358" s="579" t="n"/>
      <c r="D358" s="580" t="n"/>
      <c r="E358" s="581" t="n"/>
      <c r="F358" s="577" t="n"/>
      <c r="G358" s="582" t="n"/>
      <c r="H358" s="583" t="n"/>
      <c r="I358" s="510" t="n"/>
    </row>
    <row r="359" ht="19.95" customFormat="1" customHeight="1" s="511">
      <c r="A359" s="277" t="n"/>
      <c r="B359" s="285" t="n"/>
      <c r="C359" s="579" t="n"/>
      <c r="D359" s="580" t="n"/>
      <c r="E359" s="581" t="n"/>
      <c r="F359" s="577" t="n"/>
      <c r="G359" s="582" t="n"/>
      <c r="H359" s="583" t="n"/>
      <c r="I359" s="510" t="n"/>
    </row>
    <row r="360" ht="19.95" customFormat="1" customHeight="1" s="511">
      <c r="A360" s="277" t="n"/>
      <c r="B360" s="285" t="n"/>
      <c r="C360" s="579" t="n"/>
      <c r="D360" s="580" t="n"/>
      <c r="E360" s="581" t="n"/>
      <c r="F360" s="577" t="n"/>
      <c r="G360" s="582" t="n"/>
      <c r="H360" s="583" t="n"/>
      <c r="I360" s="510" t="n"/>
    </row>
    <row r="361" ht="19.95" customFormat="1" customHeight="1" s="511">
      <c r="A361" s="277" t="n"/>
      <c r="B361" s="285" t="n"/>
      <c r="C361" s="579" t="n"/>
      <c r="D361" s="580" t="n"/>
      <c r="E361" s="581" t="n"/>
      <c r="F361" s="577" t="n"/>
      <c r="G361" s="582" t="n"/>
      <c r="H361" s="583" t="n"/>
      <c r="I361" s="510" t="n"/>
    </row>
    <row r="362" ht="19.95" customFormat="1" customHeight="1" s="511">
      <c r="A362" s="277" t="n"/>
      <c r="B362" s="285" t="n"/>
      <c r="C362" s="579" t="n"/>
      <c r="D362" s="580" t="n"/>
      <c r="E362" s="581" t="n"/>
      <c r="F362" s="577" t="n"/>
      <c r="G362" s="582" t="n"/>
      <c r="H362" s="583" t="n"/>
      <c r="I362" s="510" t="n"/>
    </row>
    <row r="363" ht="19.95" customFormat="1" customHeight="1" s="511">
      <c r="A363" s="277" t="n"/>
      <c r="B363" s="285" t="n"/>
      <c r="C363" s="579" t="n"/>
      <c r="D363" s="580" t="n"/>
      <c r="E363" s="581" t="n"/>
      <c r="F363" s="577" t="n"/>
      <c r="G363" s="582" t="n"/>
      <c r="H363" s="583" t="n"/>
      <c r="I363" s="510" t="n"/>
    </row>
    <row r="364" ht="19.95" customFormat="1" customHeight="1" s="511">
      <c r="A364" s="277" t="n"/>
      <c r="B364" s="285" t="n"/>
      <c r="C364" s="579" t="n"/>
      <c r="D364" s="580" t="n"/>
      <c r="E364" s="581" t="n"/>
      <c r="F364" s="577" t="n"/>
      <c r="G364" s="582" t="n"/>
      <c r="H364" s="583" t="n"/>
      <c r="I364" s="510" t="n"/>
    </row>
    <row r="365" ht="19.95" customFormat="1" customHeight="1" s="511">
      <c r="A365" s="277" t="n"/>
      <c r="B365" s="285" t="n"/>
      <c r="C365" s="579" t="n"/>
      <c r="D365" s="580" t="n"/>
      <c r="E365" s="581" t="n"/>
      <c r="F365" s="577" t="n"/>
      <c r="G365" s="582" t="n"/>
      <c r="H365" s="583" t="n"/>
      <c r="I365" s="510" t="n"/>
    </row>
    <row r="366" ht="19.95" customFormat="1" customHeight="1" s="511">
      <c r="A366" s="277" t="n"/>
      <c r="B366" s="285" t="n"/>
      <c r="C366" s="579" t="n"/>
      <c r="D366" s="580" t="n"/>
      <c r="E366" s="581" t="n"/>
      <c r="F366" s="577" t="n"/>
      <c r="G366" s="582" t="n"/>
      <c r="H366" s="583" t="n"/>
      <c r="I366" s="510" t="n"/>
    </row>
    <row r="367" ht="19.95" customFormat="1" customHeight="1" s="511">
      <c r="A367" s="277" t="n"/>
      <c r="B367" s="285" t="n"/>
      <c r="C367" s="579" t="n"/>
      <c r="D367" s="580" t="n"/>
      <c r="E367" s="581" t="n"/>
      <c r="F367" s="577" t="n"/>
      <c r="G367" s="582" t="n"/>
      <c r="H367" s="583" t="n"/>
      <c r="I367" s="510" t="n"/>
    </row>
    <row r="368" ht="19.95" customFormat="1" customHeight="1" s="511">
      <c r="A368" s="277" t="n"/>
      <c r="B368" s="285" t="n"/>
      <c r="C368" s="579" t="n"/>
      <c r="D368" s="580" t="n"/>
      <c r="E368" s="581" t="n"/>
      <c r="F368" s="577" t="n"/>
      <c r="G368" s="582" t="n"/>
      <c r="H368" s="583" t="n"/>
      <c r="I368" s="510" t="n"/>
    </row>
    <row r="369" ht="19.95" customFormat="1" customHeight="1" s="511">
      <c r="A369" s="277" t="n"/>
      <c r="B369" s="285" t="n"/>
      <c r="C369" s="579" t="n"/>
      <c r="D369" s="580" t="n"/>
      <c r="E369" s="581" t="n"/>
      <c r="F369" s="577" t="n"/>
      <c r="G369" s="582" t="n"/>
      <c r="H369" s="583" t="n"/>
      <c r="I369" s="510" t="n"/>
    </row>
    <row r="370" ht="19.95" customFormat="1" customHeight="1" s="511">
      <c r="A370" s="277" t="n"/>
      <c r="B370" s="285" t="n"/>
      <c r="C370" s="579" t="n"/>
      <c r="D370" s="580" t="n"/>
      <c r="E370" s="581" t="n"/>
      <c r="F370" s="577" t="n"/>
      <c r="G370" s="582" t="n"/>
      <c r="H370" s="583" t="n"/>
      <c r="I370" s="510" t="n"/>
    </row>
    <row r="371" ht="19.95" customFormat="1" customHeight="1" s="511">
      <c r="A371" s="277" t="n"/>
      <c r="B371" s="285" t="n"/>
      <c r="C371" s="579" t="n"/>
      <c r="D371" s="580" t="n"/>
      <c r="E371" s="581" t="n"/>
      <c r="F371" s="577" t="n"/>
      <c r="G371" s="582" t="n"/>
      <c r="H371" s="583" t="n"/>
      <c r="I371" s="510" t="n"/>
    </row>
    <row r="372" ht="19.95" customFormat="1" customHeight="1" s="511">
      <c r="A372" s="277" t="n"/>
      <c r="B372" s="285" t="n"/>
      <c r="C372" s="579" t="n"/>
      <c r="D372" s="580" t="n"/>
      <c r="E372" s="581" t="n"/>
      <c r="F372" s="577" t="n"/>
      <c r="G372" s="582" t="n"/>
      <c r="H372" s="583" t="n"/>
      <c r="I372" s="510" t="n"/>
    </row>
    <row r="373" ht="19.95" customFormat="1" customHeight="1" s="511">
      <c r="A373" s="277" t="n"/>
      <c r="B373" s="285" t="n"/>
      <c r="C373" s="579" t="n"/>
      <c r="D373" s="580" t="n"/>
      <c r="E373" s="581" t="n"/>
      <c r="F373" s="577" t="n"/>
      <c r="G373" s="582" t="n"/>
      <c r="H373" s="583" t="n"/>
      <c r="I373" s="510" t="n"/>
    </row>
    <row r="374" ht="19.95" customFormat="1" customHeight="1" s="511">
      <c r="A374" s="277" t="n"/>
      <c r="B374" s="285" t="n"/>
      <c r="C374" s="579" t="n"/>
      <c r="D374" s="580" t="n"/>
      <c r="E374" s="581" t="n"/>
      <c r="F374" s="577" t="n"/>
      <c r="G374" s="582" t="n"/>
      <c r="H374" s="583" t="n"/>
      <c r="I374" s="510" t="n"/>
    </row>
    <row r="375" ht="19.95" customFormat="1" customHeight="1" s="511">
      <c r="A375" s="277" t="n"/>
      <c r="B375" s="285" t="n"/>
      <c r="C375" s="579" t="n"/>
      <c r="D375" s="580" t="n"/>
      <c r="E375" s="581" t="n"/>
      <c r="F375" s="577" t="n"/>
      <c r="G375" s="582" t="n"/>
      <c r="H375" s="583" t="n"/>
      <c r="I375" s="510" t="n"/>
    </row>
    <row r="376" ht="19.95" customFormat="1" customHeight="1" s="511">
      <c r="A376" s="277" t="n"/>
      <c r="B376" s="285" t="n"/>
      <c r="C376" s="579" t="n"/>
      <c r="D376" s="580" t="n"/>
      <c r="E376" s="581" t="n"/>
      <c r="F376" s="577" t="n"/>
      <c r="G376" s="582" t="n"/>
      <c r="H376" s="583" t="n"/>
      <c r="I376" s="510" t="n"/>
    </row>
    <row r="377" ht="19.95" customFormat="1" customHeight="1" s="511">
      <c r="A377" s="277" t="n"/>
      <c r="B377" s="285" t="n"/>
      <c r="C377" s="579" t="n"/>
      <c r="D377" s="580" t="n"/>
      <c r="E377" s="581" t="n"/>
      <c r="F377" s="577" t="n"/>
      <c r="G377" s="582" t="n"/>
      <c r="H377" s="583" t="n"/>
      <c r="I377" s="510" t="n"/>
    </row>
    <row r="378" ht="19.95" customFormat="1" customHeight="1" s="511">
      <c r="A378" s="277" t="n"/>
      <c r="B378" s="285" t="n"/>
      <c r="C378" s="579" t="n"/>
      <c r="D378" s="580" t="n"/>
      <c r="E378" s="581" t="n"/>
      <c r="F378" s="577" t="n"/>
      <c r="G378" s="582" t="n"/>
      <c r="H378" s="583" t="n"/>
      <c r="I378" s="510" t="n"/>
    </row>
    <row r="379" ht="19.95" customFormat="1" customHeight="1" s="511">
      <c r="A379" s="277" t="n"/>
      <c r="B379" s="285" t="n"/>
      <c r="C379" s="579" t="n"/>
      <c r="D379" s="580" t="n"/>
      <c r="E379" s="581" t="n"/>
      <c r="F379" s="577" t="n"/>
      <c r="G379" s="582" t="n"/>
      <c r="H379" s="583" t="n"/>
      <c r="I379" s="510" t="n"/>
    </row>
    <row r="380" ht="19.95" customFormat="1" customHeight="1" s="511">
      <c r="A380" s="277" t="n"/>
      <c r="B380" s="285" t="n"/>
      <c r="C380" s="579" t="n"/>
      <c r="D380" s="580" t="n"/>
      <c r="E380" s="581" t="n"/>
      <c r="F380" s="577" t="n"/>
      <c r="G380" s="582" t="n"/>
      <c r="H380" s="583" t="n"/>
      <c r="I380" s="510" t="n"/>
    </row>
    <row r="381" ht="19.95" customFormat="1" customHeight="1" s="511">
      <c r="A381" s="277" t="n"/>
      <c r="B381" s="285" t="n"/>
      <c r="C381" s="579" t="n"/>
      <c r="D381" s="580" t="n"/>
      <c r="E381" s="581" t="n"/>
      <c r="F381" s="577" t="n"/>
      <c r="G381" s="582" t="n"/>
      <c r="H381" s="583" t="n"/>
      <c r="I381" s="510" t="n"/>
    </row>
    <row r="382" ht="19.95" customFormat="1" customHeight="1" s="511">
      <c r="A382" s="277" t="n"/>
      <c r="B382" s="285" t="n"/>
      <c r="C382" s="579" t="n"/>
      <c r="D382" s="580" t="n"/>
      <c r="E382" s="581" t="n"/>
      <c r="F382" s="577" t="n"/>
      <c r="G382" s="582" t="n"/>
      <c r="H382" s="583" t="n"/>
      <c r="I382" s="510" t="n"/>
    </row>
    <row r="383" ht="19.95" customFormat="1" customHeight="1" s="511">
      <c r="A383" s="277" t="n"/>
      <c r="B383" s="285" t="n"/>
      <c r="C383" s="579" t="n"/>
      <c r="D383" s="580" t="n"/>
      <c r="E383" s="581" t="n"/>
      <c r="F383" s="577" t="n"/>
      <c r="G383" s="582" t="n"/>
      <c r="H383" s="583" t="n"/>
      <c r="I383" s="510" t="n"/>
    </row>
    <row r="384" ht="19.95" customFormat="1" customHeight="1" s="511">
      <c r="A384" s="277" t="n"/>
      <c r="B384" s="285" t="n"/>
      <c r="C384" s="579" t="n"/>
      <c r="D384" s="580" t="n"/>
      <c r="E384" s="581" t="n"/>
      <c r="F384" s="577" t="n"/>
      <c r="G384" s="582" t="n"/>
      <c r="H384" s="583" t="n"/>
      <c r="I384" s="510" t="n"/>
    </row>
    <row r="385" ht="19.95" customFormat="1" customHeight="1" s="511">
      <c r="A385" s="277" t="n"/>
      <c r="B385" s="285" t="n"/>
      <c r="C385" s="579" t="n"/>
      <c r="D385" s="580" t="n"/>
      <c r="E385" s="581" t="n"/>
      <c r="F385" s="577" t="n"/>
      <c r="G385" s="582" t="n"/>
      <c r="H385" s="583" t="n"/>
      <c r="I385" s="510" t="n"/>
    </row>
    <row r="386" ht="19.95" customFormat="1" customHeight="1" s="511">
      <c r="A386" s="277" t="n"/>
      <c r="B386" s="285" t="n"/>
      <c r="C386" s="579" t="n"/>
      <c r="D386" s="580" t="n"/>
      <c r="E386" s="581" t="n"/>
      <c r="F386" s="577" t="n"/>
      <c r="G386" s="582" t="n"/>
      <c r="H386" s="583" t="n"/>
      <c r="I386" s="510" t="n"/>
    </row>
    <row r="387" ht="19.95" customFormat="1" customHeight="1" s="511">
      <c r="A387" s="277" t="n"/>
      <c r="B387" s="285" t="n"/>
      <c r="C387" s="579" t="n"/>
      <c r="D387" s="580" t="n"/>
      <c r="E387" s="581" t="n"/>
      <c r="F387" s="577" t="n"/>
      <c r="G387" s="582" t="n"/>
      <c r="H387" s="583" t="n"/>
      <c r="I387" s="510" t="n"/>
    </row>
    <row r="388" ht="19.95" customFormat="1" customHeight="1" s="511">
      <c r="A388" s="277" t="n"/>
      <c r="B388" s="285" t="n"/>
      <c r="C388" s="579" t="n"/>
      <c r="D388" s="580" t="n"/>
      <c r="E388" s="581" t="n"/>
      <c r="F388" s="577" t="n"/>
      <c r="G388" s="582" t="n"/>
      <c r="H388" s="583" t="n"/>
      <c r="I388" s="510" t="n"/>
    </row>
    <row r="389" ht="19.95" customFormat="1" customHeight="1" s="511">
      <c r="A389" s="277" t="n"/>
      <c r="B389" s="285" t="n"/>
      <c r="C389" s="579" t="n"/>
      <c r="D389" s="580" t="n"/>
      <c r="E389" s="581" t="n"/>
      <c r="F389" s="577" t="n"/>
      <c r="G389" s="582" t="n"/>
      <c r="H389" s="583" t="n"/>
      <c r="I389" s="510" t="n"/>
    </row>
    <row r="390" ht="19.95" customFormat="1" customHeight="1" s="511">
      <c r="A390" s="277" t="n"/>
      <c r="B390" s="285" t="n"/>
      <c r="C390" s="579" t="n"/>
      <c r="D390" s="580" t="n"/>
      <c r="E390" s="581" t="n"/>
      <c r="F390" s="577" t="n"/>
      <c r="G390" s="582" t="n"/>
      <c r="H390" s="583" t="n"/>
      <c r="I390" s="510" t="n"/>
    </row>
    <row r="391" ht="19.95" customFormat="1" customHeight="1" s="511">
      <c r="A391" s="277" t="n"/>
      <c r="B391" s="285" t="n"/>
      <c r="C391" s="579" t="n"/>
      <c r="D391" s="580" t="n"/>
      <c r="E391" s="581" t="n"/>
      <c r="F391" s="577" t="n"/>
      <c r="G391" s="582" t="n"/>
      <c r="H391" s="583" t="n"/>
      <c r="I391" s="510" t="n"/>
    </row>
    <row r="392" ht="19.95" customFormat="1" customHeight="1" s="511">
      <c r="A392" s="277" t="n"/>
      <c r="B392" s="285" t="n"/>
      <c r="C392" s="579" t="n"/>
      <c r="D392" s="580" t="n"/>
      <c r="E392" s="581" t="n"/>
      <c r="F392" s="577" t="n"/>
      <c r="G392" s="582" t="n"/>
      <c r="H392" s="583" t="n"/>
      <c r="I392" s="510" t="n"/>
    </row>
    <row r="393" ht="19.95" customFormat="1" customHeight="1" s="511">
      <c r="A393" s="277" t="n"/>
      <c r="B393" s="285" t="n"/>
      <c r="C393" s="579" t="n"/>
      <c r="D393" s="580" t="n"/>
      <c r="E393" s="581" t="n"/>
      <c r="F393" s="577" t="n"/>
      <c r="G393" s="582" t="n"/>
      <c r="H393" s="583" t="n"/>
      <c r="I393" s="510" t="n"/>
    </row>
    <row r="394" ht="19.95" customFormat="1" customHeight="1" s="511">
      <c r="A394" s="277" t="n"/>
      <c r="B394" s="285" t="n"/>
      <c r="C394" s="579" t="n"/>
      <c r="D394" s="580" t="n"/>
      <c r="E394" s="581" t="n"/>
      <c r="F394" s="577" t="n"/>
      <c r="G394" s="582" t="n"/>
      <c r="H394" s="583" t="n"/>
      <c r="I394" s="510" t="n"/>
    </row>
    <row r="395" ht="19.95" customFormat="1" customHeight="1" s="511">
      <c r="A395" s="277" t="n"/>
      <c r="B395" s="285" t="n"/>
      <c r="C395" s="579" t="n"/>
      <c r="D395" s="580" t="n"/>
      <c r="E395" s="581" t="n"/>
      <c r="F395" s="577" t="n"/>
      <c r="G395" s="582" t="n"/>
      <c r="H395" s="583" t="n"/>
      <c r="I395" s="510" t="n"/>
    </row>
    <row r="396" ht="19.95" customFormat="1" customHeight="1" s="511">
      <c r="A396" s="277" t="n"/>
      <c r="B396" s="285" t="n"/>
      <c r="C396" s="579" t="n"/>
      <c r="D396" s="580" t="n"/>
      <c r="E396" s="581" t="n"/>
      <c r="F396" s="577" t="n"/>
      <c r="G396" s="582" t="n"/>
      <c r="H396" s="583" t="n"/>
      <c r="I396" s="510" t="n"/>
    </row>
    <row r="397" ht="19.95" customFormat="1" customHeight="1" s="511">
      <c r="A397" s="277" t="n"/>
      <c r="B397" s="285" t="n"/>
      <c r="C397" s="579" t="n"/>
      <c r="D397" s="580" t="n"/>
      <c r="E397" s="581" t="n"/>
      <c r="F397" s="577" t="n"/>
      <c r="G397" s="582" t="n"/>
      <c r="H397" s="583" t="n"/>
      <c r="I397" s="510" t="n"/>
    </row>
    <row r="398" ht="19.95" customFormat="1" customHeight="1" s="511">
      <c r="A398" s="277" t="n"/>
      <c r="B398" s="285" t="n"/>
      <c r="C398" s="579" t="n"/>
      <c r="D398" s="580" t="n"/>
      <c r="E398" s="581" t="n"/>
      <c r="F398" s="577" t="n"/>
      <c r="G398" s="582" t="n"/>
      <c r="H398" s="583" t="n"/>
      <c r="I398" s="510" t="n"/>
    </row>
    <row r="399" ht="19.95" customFormat="1" customHeight="1" s="511">
      <c r="A399" s="277" t="n"/>
      <c r="B399" s="285" t="n"/>
      <c r="C399" s="579" t="n"/>
      <c r="D399" s="580" t="n"/>
      <c r="E399" s="581" t="n"/>
      <c r="F399" s="577" t="n"/>
      <c r="G399" s="582" t="n"/>
      <c r="H399" s="583" t="n"/>
      <c r="I399" s="510" t="n"/>
    </row>
    <row r="400" ht="19.95" customFormat="1" customHeight="1" s="511">
      <c r="A400" s="277" t="n"/>
      <c r="B400" s="285" t="n"/>
      <c r="C400" s="579" t="n"/>
      <c r="D400" s="580" t="n"/>
      <c r="E400" s="581" t="n"/>
      <c r="F400" s="577" t="n"/>
      <c r="G400" s="582" t="n"/>
      <c r="H400" s="583" t="n"/>
      <c r="I400" s="510" t="n"/>
    </row>
    <row r="401" ht="19.95" customFormat="1" customHeight="1" s="511">
      <c r="A401" s="277" t="n"/>
      <c r="B401" s="285" t="n"/>
      <c r="C401" s="579" t="n"/>
      <c r="D401" s="580" t="n"/>
      <c r="E401" s="581" t="n"/>
      <c r="F401" s="577" t="n"/>
      <c r="G401" s="582" t="n"/>
      <c r="H401" s="583" t="n"/>
      <c r="I401" s="510" t="n"/>
    </row>
    <row r="402" ht="19.95" customFormat="1" customHeight="1" s="511">
      <c r="A402" s="277" t="n"/>
      <c r="B402" s="285" t="n"/>
      <c r="C402" s="579" t="n"/>
      <c r="D402" s="580" t="n"/>
      <c r="E402" s="581" t="n"/>
      <c r="F402" s="577" t="n"/>
      <c r="G402" s="582" t="n"/>
      <c r="H402" s="583" t="n"/>
      <c r="I402" s="510" t="n"/>
    </row>
    <row r="403" ht="19.95" customFormat="1" customHeight="1" s="511">
      <c r="A403" s="277" t="n"/>
      <c r="B403" s="285" t="n"/>
      <c r="C403" s="579" t="n"/>
      <c r="D403" s="580" t="n"/>
      <c r="E403" s="581" t="n"/>
      <c r="F403" s="577" t="n"/>
      <c r="G403" s="582" t="n"/>
      <c r="H403" s="583" t="n"/>
      <c r="I403" s="510" t="n"/>
    </row>
    <row r="404" ht="19.95" customFormat="1" customHeight="1" s="511">
      <c r="A404" s="277" t="n"/>
      <c r="B404" s="285" t="n"/>
      <c r="C404" s="579" t="n"/>
      <c r="D404" s="580" t="n"/>
      <c r="E404" s="581" t="n"/>
      <c r="F404" s="577" t="n"/>
      <c r="G404" s="582" t="n"/>
      <c r="H404" s="583" t="n"/>
      <c r="I404" s="510" t="n"/>
    </row>
    <row r="405" ht="19.95" customFormat="1" customHeight="1" s="511">
      <c r="A405" s="277" t="n"/>
      <c r="B405" s="285" t="n"/>
      <c r="C405" s="579" t="n"/>
      <c r="D405" s="580" t="n"/>
      <c r="E405" s="581" t="n"/>
      <c r="F405" s="577" t="n"/>
      <c r="G405" s="582" t="n"/>
      <c r="H405" s="583" t="n"/>
      <c r="I405" s="510" t="n"/>
    </row>
    <row r="406" ht="19.95" customFormat="1" customHeight="1" s="511">
      <c r="A406" s="277" t="n"/>
      <c r="B406" s="285" t="n"/>
      <c r="C406" s="579" t="n"/>
      <c r="D406" s="580" t="n"/>
      <c r="E406" s="581" t="n"/>
      <c r="F406" s="577" t="n"/>
      <c r="G406" s="582" t="n"/>
      <c r="H406" s="583" t="n"/>
      <c r="I406" s="510" t="n"/>
    </row>
    <row r="407" ht="19.95" customFormat="1" customHeight="1" s="511">
      <c r="A407" s="277" t="n"/>
      <c r="B407" s="285" t="n"/>
      <c r="C407" s="579" t="n"/>
      <c r="D407" s="580" t="n"/>
      <c r="E407" s="581" t="n"/>
      <c r="F407" s="577" t="n"/>
      <c r="G407" s="582" t="n"/>
      <c r="H407" s="583" t="n"/>
      <c r="I407" s="510" t="n"/>
    </row>
    <row r="408" ht="19.95" customFormat="1" customHeight="1" s="511">
      <c r="A408" s="277" t="n"/>
      <c r="B408" s="285" t="n"/>
      <c r="C408" s="579" t="n"/>
      <c r="D408" s="580" t="n"/>
      <c r="E408" s="581" t="n"/>
      <c r="F408" s="577" t="n"/>
      <c r="G408" s="582" t="n"/>
      <c r="H408" s="583" t="n"/>
      <c r="I408" s="510" t="n"/>
    </row>
    <row r="409" ht="19.95" customFormat="1" customHeight="1" s="511">
      <c r="A409" s="277" t="n"/>
      <c r="B409" s="285" t="n"/>
      <c r="C409" s="579" t="n"/>
      <c r="D409" s="580" t="n"/>
      <c r="E409" s="581" t="n"/>
      <c r="F409" s="577" t="n"/>
      <c r="G409" s="582" t="n"/>
      <c r="H409" s="583" t="n"/>
      <c r="I409" s="510" t="n"/>
    </row>
    <row r="410" ht="19.95" customFormat="1" customHeight="1" s="511">
      <c r="A410" s="277" t="n"/>
      <c r="B410" s="285" t="n"/>
      <c r="C410" s="579" t="n"/>
      <c r="D410" s="580" t="n"/>
      <c r="E410" s="581" t="n"/>
      <c r="F410" s="577" t="n"/>
      <c r="G410" s="582" t="n"/>
      <c r="H410" s="583" t="n"/>
      <c r="I410" s="510" t="n"/>
    </row>
    <row r="411" ht="19.95" customFormat="1" customHeight="1" s="511">
      <c r="A411" s="277" t="n"/>
      <c r="B411" s="285" t="n"/>
      <c r="C411" s="579" t="n"/>
      <c r="D411" s="580" t="n"/>
      <c r="E411" s="581" t="n"/>
      <c r="F411" s="577" t="n"/>
      <c r="G411" s="582" t="n"/>
      <c r="H411" s="583" t="n"/>
      <c r="I411" s="510" t="n"/>
    </row>
    <row r="412" ht="19.95" customFormat="1" customHeight="1" s="511">
      <c r="A412" s="277" t="n"/>
      <c r="B412" s="285" t="n"/>
      <c r="C412" s="579" t="n"/>
      <c r="D412" s="580" t="n"/>
      <c r="E412" s="581" t="n"/>
      <c r="F412" s="577" t="n"/>
      <c r="G412" s="582" t="n"/>
      <c r="H412" s="583" t="n"/>
      <c r="I412" s="510" t="n"/>
    </row>
    <row r="413" ht="19.95" customFormat="1" customHeight="1" s="511">
      <c r="A413" s="277" t="n"/>
      <c r="B413" s="285" t="n"/>
      <c r="C413" s="579" t="n"/>
      <c r="D413" s="580" t="n"/>
      <c r="E413" s="581" t="n"/>
      <c r="F413" s="577" t="n"/>
      <c r="G413" s="582" t="n"/>
      <c r="H413" s="583" t="n"/>
      <c r="I413" s="510" t="n"/>
    </row>
    <row r="414" ht="19.95" customFormat="1" customHeight="1" s="511">
      <c r="A414" s="277" t="n"/>
      <c r="B414" s="285" t="n"/>
      <c r="C414" s="579" t="n"/>
      <c r="D414" s="580" t="n"/>
      <c r="E414" s="581" t="n"/>
      <c r="F414" s="577" t="n"/>
      <c r="G414" s="582" t="n"/>
      <c r="H414" s="583" t="n"/>
      <c r="I414" s="510" t="n"/>
    </row>
    <row r="415" ht="19.95" customFormat="1" customHeight="1" s="511">
      <c r="A415" s="277" t="n"/>
      <c r="B415" s="285" t="n"/>
      <c r="C415" s="579" t="n"/>
      <c r="D415" s="580" t="n"/>
      <c r="E415" s="581" t="n"/>
      <c r="F415" s="577" t="n"/>
      <c r="G415" s="582" t="n"/>
      <c r="H415" s="583" t="n"/>
      <c r="I415" s="510" t="n"/>
    </row>
    <row r="416" ht="19.95" customFormat="1" customHeight="1" s="511">
      <c r="A416" s="277" t="n"/>
      <c r="B416" s="285" t="n"/>
      <c r="C416" s="579" t="n"/>
      <c r="D416" s="580" t="n"/>
      <c r="E416" s="581" t="n"/>
      <c r="F416" s="577" t="n"/>
      <c r="G416" s="582" t="n"/>
      <c r="H416" s="583" t="n"/>
      <c r="I416" s="510" t="n"/>
    </row>
    <row r="417" ht="19.95" customFormat="1" customHeight="1" s="511">
      <c r="A417" s="277" t="n"/>
      <c r="B417" s="285" t="n"/>
      <c r="C417" s="579" t="n"/>
      <c r="D417" s="580" t="n"/>
      <c r="E417" s="581" t="n"/>
      <c r="F417" s="577" t="n"/>
      <c r="G417" s="582" t="n"/>
      <c r="H417" s="583" t="n"/>
      <c r="I417" s="510" t="n"/>
    </row>
    <row r="418" ht="19.95" customFormat="1" customHeight="1" s="511">
      <c r="A418" s="277" t="n"/>
      <c r="B418" s="285" t="n"/>
      <c r="C418" s="579" t="n"/>
      <c r="D418" s="580" t="n"/>
      <c r="E418" s="581" t="n"/>
      <c r="F418" s="577" t="n"/>
      <c r="G418" s="582" t="n"/>
      <c r="H418" s="583" t="n"/>
      <c r="I418" s="510" t="n"/>
    </row>
    <row r="419" ht="19.95" customFormat="1" customHeight="1" s="511">
      <c r="A419" s="277" t="n"/>
      <c r="B419" s="285" t="n"/>
      <c r="C419" s="579" t="n"/>
      <c r="D419" s="580" t="n"/>
      <c r="E419" s="581" t="n"/>
      <c r="F419" s="577" t="n"/>
      <c r="G419" s="582" t="n"/>
      <c r="H419" s="583" t="n"/>
      <c r="I419" s="510" t="n"/>
    </row>
    <row r="420" ht="19.95" customFormat="1" customHeight="1" s="511">
      <c r="A420" s="277" t="n"/>
      <c r="B420" s="285" t="n"/>
      <c r="C420" s="579" t="n"/>
      <c r="D420" s="580" t="n"/>
      <c r="E420" s="581" t="n"/>
      <c r="F420" s="577" t="n"/>
      <c r="G420" s="582" t="n"/>
      <c r="H420" s="583" t="n"/>
      <c r="I420" s="510" t="n"/>
    </row>
    <row r="421" ht="19.95" customFormat="1" customHeight="1" s="511">
      <c r="A421" s="277" t="n"/>
      <c r="B421" s="285" t="n"/>
      <c r="C421" s="579" t="n"/>
      <c r="D421" s="580" t="n"/>
      <c r="E421" s="581" t="n"/>
      <c r="F421" s="577" t="n"/>
      <c r="G421" s="582" t="n"/>
      <c r="H421" s="583" t="n"/>
      <c r="I421" s="510" t="n"/>
    </row>
    <row r="422" ht="19.95" customFormat="1" customHeight="1" s="511">
      <c r="A422" s="277" t="n"/>
      <c r="B422" s="285" t="n"/>
      <c r="C422" s="579" t="n"/>
      <c r="D422" s="580" t="n"/>
      <c r="E422" s="581" t="n"/>
      <c r="F422" s="577" t="n"/>
      <c r="G422" s="582" t="n"/>
      <c r="H422" s="583" t="n"/>
      <c r="I422" s="510" t="n"/>
    </row>
    <row r="423" ht="19.95" customFormat="1" customHeight="1" s="511">
      <c r="A423" s="277" t="n"/>
      <c r="B423" s="285" t="n"/>
      <c r="C423" s="579" t="n"/>
      <c r="D423" s="580" t="n"/>
      <c r="E423" s="581" t="n"/>
      <c r="F423" s="577" t="n"/>
      <c r="G423" s="582" t="n"/>
      <c r="H423" s="583" t="n"/>
      <c r="I423" s="510" t="n"/>
    </row>
    <row r="424" ht="19.95" customFormat="1" customHeight="1" s="511">
      <c r="A424" s="277" t="n"/>
      <c r="B424" s="285" t="n"/>
      <c r="C424" s="579" t="n"/>
      <c r="D424" s="580" t="n"/>
      <c r="E424" s="581" t="n"/>
      <c r="F424" s="577" t="n"/>
      <c r="G424" s="582" t="n"/>
      <c r="H424" s="583" t="n"/>
      <c r="I424" s="510" t="n"/>
    </row>
    <row r="425" ht="19.95" customFormat="1" customHeight="1" s="511">
      <c r="A425" s="277" t="n"/>
      <c r="B425" s="285" t="n"/>
      <c r="C425" s="579" t="n"/>
      <c r="D425" s="580" t="n"/>
      <c r="E425" s="581" t="n"/>
      <c r="F425" s="577" t="n"/>
      <c r="G425" s="582" t="n"/>
      <c r="H425" s="583" t="n"/>
      <c r="I425" s="510" t="n"/>
    </row>
    <row r="426" ht="19.95" customFormat="1" customHeight="1" s="511">
      <c r="A426" s="277" t="n"/>
      <c r="B426" s="285" t="n"/>
      <c r="C426" s="579" t="n"/>
      <c r="D426" s="580" t="n"/>
      <c r="E426" s="581" t="n"/>
      <c r="F426" s="577" t="n"/>
      <c r="G426" s="582" t="n"/>
      <c r="H426" s="583" t="n"/>
      <c r="I426" s="510" t="n"/>
    </row>
    <row r="427" ht="19.95" customFormat="1" customHeight="1" s="511">
      <c r="A427" s="277" t="n"/>
      <c r="B427" s="285" t="n"/>
      <c r="C427" s="579" t="n"/>
      <c r="D427" s="580" t="n"/>
      <c r="E427" s="581" t="n"/>
      <c r="F427" s="577" t="n"/>
      <c r="G427" s="582" t="n"/>
      <c r="H427" s="583" t="n"/>
      <c r="I427" s="510" t="n"/>
    </row>
    <row r="428" ht="19.95" customFormat="1" customHeight="1" s="511">
      <c r="A428" s="277" t="n"/>
      <c r="B428" s="285" t="n"/>
      <c r="C428" s="579" t="n"/>
      <c r="D428" s="580" t="n"/>
      <c r="E428" s="581" t="n"/>
      <c r="F428" s="577" t="n"/>
      <c r="G428" s="582" t="n"/>
      <c r="H428" s="583" t="n"/>
      <c r="I428" s="510" t="n"/>
    </row>
    <row r="429" ht="19.95" customFormat="1" customHeight="1" s="511">
      <c r="A429" s="277" t="n"/>
      <c r="B429" s="285" t="n"/>
      <c r="C429" s="579" t="n"/>
      <c r="D429" s="580" t="n"/>
      <c r="E429" s="581" t="n"/>
      <c r="F429" s="577" t="n"/>
      <c r="G429" s="582" t="n"/>
      <c r="H429" s="583" t="n"/>
      <c r="I429" s="510" t="n"/>
    </row>
    <row r="430" ht="19.95" customFormat="1" customHeight="1" s="511">
      <c r="A430" s="277" t="n"/>
      <c r="B430" s="285" t="n"/>
      <c r="C430" s="579" t="n"/>
      <c r="D430" s="580" t="n"/>
      <c r="E430" s="581" t="n"/>
      <c r="F430" s="577" t="n"/>
      <c r="G430" s="582" t="n"/>
      <c r="H430" s="583" t="n"/>
      <c r="I430" s="510" t="n"/>
    </row>
    <row r="431" ht="19.95" customFormat="1" customHeight="1" s="511">
      <c r="A431" s="277" t="n"/>
      <c r="B431" s="285" t="n"/>
      <c r="C431" s="579" t="n"/>
      <c r="D431" s="580" t="n"/>
      <c r="E431" s="581" t="n"/>
      <c r="F431" s="577" t="n"/>
      <c r="G431" s="582" t="n"/>
      <c r="H431" s="583" t="n"/>
      <c r="I431" s="510" t="n"/>
    </row>
    <row r="432" ht="19.95" customFormat="1" customHeight="1" s="511">
      <c r="A432" s="277" t="n"/>
      <c r="B432" s="285" t="n"/>
      <c r="C432" s="579" t="n"/>
      <c r="D432" s="580" t="n"/>
      <c r="E432" s="581" t="n"/>
      <c r="F432" s="577" t="n"/>
      <c r="G432" s="582" t="n"/>
      <c r="H432" s="583" t="n"/>
      <c r="I432" s="510" t="n"/>
    </row>
    <row r="433" ht="19.95" customFormat="1" customHeight="1" s="511">
      <c r="A433" s="277" t="n"/>
      <c r="B433" s="285" t="n"/>
      <c r="C433" s="579" t="n"/>
      <c r="D433" s="580" t="n"/>
      <c r="E433" s="581" t="n"/>
      <c r="F433" s="577" t="n"/>
      <c r="G433" s="582" t="n"/>
      <c r="H433" s="583" t="n"/>
      <c r="I433" s="510" t="n"/>
    </row>
    <row r="434" ht="19.95" customFormat="1" customHeight="1" s="511">
      <c r="A434" s="277" t="n"/>
      <c r="B434" s="285" t="n"/>
      <c r="C434" s="579" t="n"/>
      <c r="D434" s="580" t="n"/>
      <c r="E434" s="581" t="n"/>
      <c r="F434" s="577" t="n"/>
      <c r="G434" s="582" t="n"/>
      <c r="H434" s="583" t="n"/>
      <c r="I434" s="510" t="n"/>
    </row>
    <row r="435" ht="19.95" customFormat="1" customHeight="1" s="511">
      <c r="A435" s="277" t="n"/>
      <c r="B435" s="285" t="n"/>
      <c r="C435" s="579" t="n"/>
      <c r="D435" s="580" t="n"/>
      <c r="E435" s="581" t="n"/>
      <c r="F435" s="577" t="n"/>
      <c r="G435" s="582" t="n"/>
      <c r="H435" s="583" t="n"/>
      <c r="I435" s="510" t="n"/>
    </row>
    <row r="436" ht="19.95" customFormat="1" customHeight="1" s="511">
      <c r="A436" s="277" t="n"/>
      <c r="B436" s="285" t="n"/>
      <c r="C436" s="579" t="n"/>
      <c r="D436" s="580" t="n"/>
      <c r="E436" s="581" t="n"/>
      <c r="F436" s="577" t="n"/>
      <c r="G436" s="582" t="n"/>
      <c r="H436" s="583" t="n"/>
      <c r="I436" s="510" t="n"/>
    </row>
    <row r="437" ht="19.95" customFormat="1" customHeight="1" s="511">
      <c r="A437" s="277" t="n"/>
      <c r="B437" s="285" t="n"/>
      <c r="C437" s="579" t="n"/>
      <c r="D437" s="580" t="n"/>
      <c r="E437" s="581" t="n"/>
      <c r="F437" s="577" t="n"/>
      <c r="G437" s="582" t="n"/>
      <c r="H437" s="583" t="n"/>
      <c r="I437" s="510" t="n"/>
    </row>
    <row r="438" ht="19.95" customFormat="1" customHeight="1" s="511">
      <c r="A438" s="277" t="n"/>
      <c r="B438" s="285" t="n"/>
      <c r="C438" s="579" t="n"/>
      <c r="D438" s="580" t="n"/>
      <c r="E438" s="581" t="n"/>
      <c r="F438" s="577" t="n"/>
      <c r="G438" s="582" t="n"/>
      <c r="H438" s="583" t="n"/>
      <c r="I438" s="510" t="n"/>
    </row>
    <row r="439" ht="19.95" customFormat="1" customHeight="1" s="511">
      <c r="A439" s="277" t="n"/>
      <c r="B439" s="285" t="n"/>
      <c r="C439" s="579" t="n"/>
      <c r="D439" s="580" t="n"/>
      <c r="E439" s="581" t="n"/>
      <c r="F439" s="577" t="n"/>
      <c r="G439" s="582" t="n"/>
      <c r="H439" s="583" t="n"/>
      <c r="I439" s="510" t="n"/>
    </row>
    <row r="440" ht="19.95" customFormat="1" customHeight="1" s="511">
      <c r="A440" s="277" t="n"/>
      <c r="B440" s="285" t="n"/>
      <c r="C440" s="579" t="n"/>
      <c r="D440" s="580" t="n"/>
      <c r="E440" s="581" t="n"/>
      <c r="F440" s="577" t="n"/>
      <c r="G440" s="582" t="n"/>
      <c r="H440" s="583" t="n"/>
      <c r="I440" s="510" t="n"/>
    </row>
    <row r="441" ht="19.95" customFormat="1" customHeight="1" s="511">
      <c r="A441" s="277" t="n"/>
      <c r="B441" s="285" t="n"/>
      <c r="C441" s="579" t="n"/>
      <c r="D441" s="580" t="n"/>
      <c r="E441" s="581" t="n"/>
      <c r="F441" s="577" t="n"/>
      <c r="G441" s="582" t="n"/>
      <c r="H441" s="583" t="n"/>
      <c r="I441" s="510" t="n"/>
    </row>
    <row r="442" ht="19.95" customFormat="1" customHeight="1" s="511">
      <c r="A442" s="277" t="n"/>
      <c r="B442" s="285" t="n"/>
      <c r="C442" s="579" t="n"/>
      <c r="D442" s="580" t="n"/>
      <c r="E442" s="581" t="n"/>
      <c r="F442" s="577" t="n"/>
      <c r="G442" s="582" t="n"/>
      <c r="H442" s="583" t="n"/>
      <c r="I442" s="510" t="n"/>
    </row>
    <row r="443" ht="19.95" customFormat="1" customHeight="1" s="511">
      <c r="A443" s="277" t="n"/>
      <c r="B443" s="285" t="n"/>
      <c r="C443" s="579" t="n"/>
      <c r="D443" s="580" t="n"/>
      <c r="E443" s="581" t="n"/>
      <c r="F443" s="577" t="n"/>
      <c r="G443" s="582" t="n"/>
      <c r="H443" s="583" t="n"/>
      <c r="I443" s="510" t="n"/>
    </row>
    <row r="444" ht="19.95" customFormat="1" customHeight="1" s="511">
      <c r="A444" s="277" t="n"/>
      <c r="B444" s="285" t="n"/>
      <c r="C444" s="579" t="n"/>
      <c r="D444" s="580" t="n"/>
      <c r="E444" s="581" t="n"/>
      <c r="F444" s="577" t="n"/>
      <c r="G444" s="582" t="n"/>
      <c r="H444" s="583" t="n"/>
      <c r="I444" s="510" t="n"/>
    </row>
    <row r="445" ht="19.95" customFormat="1" customHeight="1" s="511">
      <c r="A445" s="277" t="n"/>
      <c r="B445" s="285" t="n"/>
      <c r="C445" s="579" t="n"/>
      <c r="D445" s="580" t="n"/>
      <c r="E445" s="581" t="n"/>
      <c r="F445" s="577" t="n"/>
      <c r="G445" s="582" t="n"/>
      <c r="H445" s="583" t="n"/>
      <c r="I445" s="510" t="n"/>
    </row>
    <row r="446" ht="19.95" customFormat="1" customHeight="1" s="511">
      <c r="A446" s="277" t="n"/>
      <c r="B446" s="285" t="n"/>
      <c r="C446" s="579" t="n"/>
      <c r="D446" s="580" t="n"/>
      <c r="E446" s="581" t="n"/>
      <c r="F446" s="577" t="n"/>
      <c r="G446" s="582" t="n"/>
      <c r="H446" s="583" t="n"/>
      <c r="I446" s="510" t="n"/>
    </row>
    <row r="447" ht="19.95" customFormat="1" customHeight="1" s="511">
      <c r="A447" s="277" t="n"/>
      <c r="B447" s="285" t="n"/>
      <c r="C447" s="579" t="n"/>
      <c r="D447" s="580" t="n"/>
      <c r="E447" s="581" t="n"/>
      <c r="F447" s="577" t="n"/>
      <c r="G447" s="582" t="n"/>
      <c r="H447" s="583" t="n"/>
      <c r="I447" s="510" t="n"/>
    </row>
    <row r="448" ht="19.95" customFormat="1" customHeight="1" s="511">
      <c r="A448" s="277" t="n"/>
      <c r="B448" s="285" t="n"/>
      <c r="C448" s="579" t="n"/>
      <c r="D448" s="580" t="n"/>
      <c r="E448" s="581" t="n"/>
      <c r="F448" s="577" t="n"/>
      <c r="G448" s="582" t="n"/>
      <c r="H448" s="583" t="n"/>
      <c r="I448" s="510" t="n"/>
    </row>
    <row r="449" ht="19.95" customFormat="1" customHeight="1" s="511">
      <c r="A449" s="277" t="n"/>
      <c r="B449" s="285" t="n"/>
      <c r="C449" s="579" t="n"/>
      <c r="D449" s="580" t="n"/>
      <c r="E449" s="581" t="n"/>
      <c r="F449" s="577" t="n"/>
      <c r="G449" s="582" t="n"/>
      <c r="H449" s="583" t="n"/>
      <c r="I449" s="510" t="n"/>
    </row>
    <row r="450" ht="19.95" customFormat="1" customHeight="1" s="511">
      <c r="A450" s="277" t="n"/>
      <c r="B450" s="285" t="n"/>
      <c r="C450" s="579" t="n"/>
      <c r="D450" s="580" t="n"/>
      <c r="E450" s="581" t="n"/>
      <c r="F450" s="577" t="n"/>
      <c r="G450" s="582" t="n"/>
      <c r="H450" s="583" t="n"/>
      <c r="I450" s="510" t="n"/>
    </row>
    <row r="451" ht="19.95" customFormat="1" customHeight="1" s="511">
      <c r="A451" s="277" t="n"/>
      <c r="B451" s="285" t="n"/>
      <c r="C451" s="579" t="n"/>
      <c r="D451" s="580" t="n"/>
      <c r="E451" s="581" t="n"/>
      <c r="F451" s="577" t="n"/>
      <c r="G451" s="582" t="n"/>
      <c r="H451" s="583" t="n"/>
      <c r="I451" s="510" t="n"/>
    </row>
    <row r="452" ht="19.95" customFormat="1" customHeight="1" s="511">
      <c r="A452" s="277" t="n"/>
      <c r="B452" s="285" t="n"/>
      <c r="C452" s="579" t="n"/>
      <c r="D452" s="580" t="n"/>
      <c r="E452" s="581" t="n"/>
      <c r="F452" s="577" t="n"/>
      <c r="G452" s="582" t="n"/>
      <c r="H452" s="583" t="n"/>
      <c r="I452" s="510" t="n"/>
    </row>
    <row r="453" ht="19.95" customFormat="1" customHeight="1" s="511">
      <c r="A453" s="277" t="n"/>
      <c r="B453" s="285" t="n"/>
      <c r="C453" s="579" t="n"/>
      <c r="D453" s="580" t="n"/>
      <c r="E453" s="581" t="n"/>
      <c r="F453" s="577" t="n"/>
      <c r="G453" s="582" t="n"/>
      <c r="H453" s="583" t="n"/>
      <c r="I453" s="510" t="n"/>
    </row>
    <row r="454" ht="19.95" customFormat="1" customHeight="1" s="511">
      <c r="A454" s="277" t="n"/>
      <c r="B454" s="285" t="n"/>
      <c r="C454" s="579" t="n"/>
      <c r="D454" s="580" t="n"/>
      <c r="E454" s="581" t="n"/>
      <c r="F454" s="577" t="n"/>
      <c r="G454" s="582" t="n"/>
      <c r="H454" s="583" t="n"/>
      <c r="I454" s="510" t="n"/>
    </row>
    <row r="455" ht="19.95" customFormat="1" customHeight="1" s="511">
      <c r="A455" s="277" t="n"/>
      <c r="B455" s="285" t="n"/>
      <c r="C455" s="579" t="n"/>
      <c r="D455" s="580" t="n"/>
      <c r="E455" s="581" t="n"/>
      <c r="F455" s="577" t="n"/>
      <c r="G455" s="582" t="n"/>
      <c r="H455" s="583" t="n"/>
      <c r="I455" s="510" t="n"/>
    </row>
    <row r="456" ht="19.95" customFormat="1" customHeight="1" s="511">
      <c r="A456" s="277" t="n"/>
      <c r="B456" s="285" t="n"/>
      <c r="C456" s="579" t="n"/>
      <c r="D456" s="580" t="n"/>
      <c r="E456" s="581" t="n"/>
      <c r="F456" s="577" t="n"/>
      <c r="G456" s="582" t="n"/>
      <c r="H456" s="583" t="n"/>
      <c r="I456" s="510" t="n"/>
    </row>
    <row r="457" ht="19.95" customFormat="1" customHeight="1" s="511">
      <c r="A457" s="277" t="n"/>
      <c r="B457" s="285" t="n"/>
      <c r="C457" s="579" t="n"/>
      <c r="D457" s="580" t="n"/>
      <c r="E457" s="581" t="n"/>
      <c r="F457" s="577" t="n"/>
      <c r="G457" s="582" t="n"/>
      <c r="H457" s="583" t="n"/>
      <c r="I457" s="510" t="n"/>
    </row>
    <row r="458" ht="19.95" customFormat="1" customHeight="1" s="511">
      <c r="A458" s="277" t="n"/>
      <c r="B458" s="285" t="n"/>
      <c r="C458" s="579" t="n"/>
      <c r="D458" s="580" t="n"/>
      <c r="E458" s="581" t="n"/>
      <c r="F458" s="577" t="n"/>
      <c r="G458" s="582" t="n"/>
      <c r="H458" s="583" t="n"/>
      <c r="I458" s="510" t="n"/>
    </row>
    <row r="459" ht="19.95" customFormat="1" customHeight="1" s="511">
      <c r="A459" s="277" t="n"/>
      <c r="B459" s="285" t="n"/>
      <c r="C459" s="579" t="n"/>
      <c r="D459" s="580" t="n"/>
      <c r="E459" s="581" t="n"/>
      <c r="F459" s="577" t="n"/>
      <c r="G459" s="582" t="n"/>
      <c r="H459" s="583" t="n"/>
      <c r="I459" s="510" t="n"/>
    </row>
    <row r="460" ht="19.95" customFormat="1" customHeight="1" s="511">
      <c r="A460" s="277" t="n"/>
      <c r="B460" s="285" t="n"/>
      <c r="C460" s="579" t="n"/>
      <c r="D460" s="580" t="n"/>
      <c r="E460" s="581" t="n"/>
      <c r="F460" s="577" t="n"/>
      <c r="G460" s="582" t="n"/>
      <c r="H460" s="583" t="n"/>
      <c r="I460" s="510" t="n"/>
    </row>
    <row r="461" ht="19.95" customFormat="1" customHeight="1" s="511">
      <c r="A461" s="277" t="n"/>
      <c r="B461" s="285" t="n"/>
      <c r="C461" s="579" t="n"/>
      <c r="D461" s="580" t="n"/>
      <c r="E461" s="581" t="n"/>
      <c r="F461" s="577" t="n"/>
      <c r="G461" s="582" t="n"/>
      <c r="H461" s="583" t="n"/>
      <c r="I461" s="510" t="n"/>
    </row>
    <row r="462" ht="19.95" customFormat="1" customHeight="1" s="511">
      <c r="A462" s="277" t="n"/>
      <c r="B462" s="285" t="n"/>
      <c r="C462" s="579" t="n"/>
      <c r="D462" s="580" t="n"/>
      <c r="E462" s="581" t="n"/>
      <c r="F462" s="577" t="n"/>
      <c r="G462" s="582" t="n"/>
      <c r="H462" s="583" t="n"/>
      <c r="I462" s="510" t="n"/>
    </row>
    <row r="463" ht="19.95" customFormat="1" customHeight="1" s="511">
      <c r="A463" s="277" t="n"/>
      <c r="B463" s="285" t="n"/>
      <c r="C463" s="579" t="n"/>
      <c r="D463" s="580" t="n"/>
      <c r="E463" s="581" t="n"/>
      <c r="F463" s="577" t="n"/>
      <c r="G463" s="582" t="n"/>
      <c r="H463" s="583" t="n"/>
      <c r="I463" s="510" t="n"/>
    </row>
    <row r="464" ht="19.95" customFormat="1" customHeight="1" s="511">
      <c r="A464" s="277" t="n"/>
      <c r="B464" s="285" t="n"/>
      <c r="C464" s="579" t="n"/>
      <c r="D464" s="580" t="n"/>
      <c r="E464" s="581" t="n"/>
      <c r="F464" s="577" t="n"/>
      <c r="G464" s="582" t="n"/>
      <c r="H464" s="583" t="n"/>
      <c r="I464" s="510" t="n"/>
    </row>
    <row r="465" ht="19.95" customFormat="1" customHeight="1" s="511">
      <c r="A465" s="277" t="n"/>
      <c r="B465" s="285" t="n"/>
      <c r="C465" s="579" t="n"/>
      <c r="D465" s="580" t="n"/>
      <c r="E465" s="581" t="n"/>
      <c r="F465" s="577" t="n"/>
      <c r="G465" s="582" t="n"/>
      <c r="H465" s="583" t="n"/>
      <c r="I465" s="510" t="n"/>
    </row>
    <row r="466" ht="19.95" customFormat="1" customHeight="1" s="511">
      <c r="A466" s="277" t="n"/>
      <c r="B466" s="285" t="n"/>
      <c r="C466" s="579" t="n"/>
      <c r="D466" s="580" t="n"/>
      <c r="E466" s="581" t="n"/>
      <c r="F466" s="577" t="n"/>
      <c r="G466" s="582" t="n"/>
      <c r="H466" s="583" t="n"/>
      <c r="I466" s="510" t="n"/>
    </row>
    <row r="467" ht="19.95" customFormat="1" customHeight="1" s="511">
      <c r="A467" s="277" t="n"/>
      <c r="B467" s="285" t="n"/>
      <c r="C467" s="579" t="n"/>
      <c r="D467" s="580" t="n"/>
      <c r="E467" s="581" t="n"/>
      <c r="F467" s="577" t="n"/>
      <c r="G467" s="582" t="n"/>
      <c r="H467" s="583" t="n"/>
      <c r="I467" s="510" t="n"/>
    </row>
    <row r="468" ht="19.95" customFormat="1" customHeight="1" s="511">
      <c r="A468" s="277" t="n"/>
      <c r="B468" s="285" t="n"/>
      <c r="C468" s="579" t="n"/>
      <c r="D468" s="580" t="n"/>
      <c r="E468" s="581" t="n"/>
      <c r="F468" s="577" t="n"/>
      <c r="G468" s="582" t="n"/>
      <c r="H468" s="583" t="n"/>
      <c r="I468" s="510" t="n"/>
    </row>
    <row r="469" ht="19.95" customFormat="1" customHeight="1" s="511">
      <c r="A469" s="277" t="n"/>
      <c r="B469" s="285" t="n"/>
      <c r="C469" s="579" t="n"/>
      <c r="D469" s="580" t="n"/>
      <c r="E469" s="581" t="n"/>
      <c r="F469" s="577" t="n"/>
      <c r="G469" s="582" t="n"/>
      <c r="H469" s="583" t="n"/>
      <c r="I469" s="510" t="n"/>
    </row>
    <row r="470" ht="19.95" customFormat="1" customHeight="1" s="511">
      <c r="A470" s="277" t="n"/>
      <c r="B470" s="285" t="n"/>
      <c r="C470" s="579" t="n"/>
      <c r="D470" s="580" t="n"/>
      <c r="E470" s="581" t="n"/>
      <c r="F470" s="577" t="n"/>
      <c r="G470" s="582" t="n"/>
      <c r="H470" s="583" t="n"/>
      <c r="I470" s="510" t="n"/>
    </row>
    <row r="471" ht="19.95" customFormat="1" customHeight="1" s="511">
      <c r="A471" s="277" t="n"/>
      <c r="B471" s="285" t="n"/>
      <c r="C471" s="579" t="n"/>
      <c r="D471" s="580" t="n"/>
      <c r="E471" s="581" t="n"/>
      <c r="F471" s="577" t="n"/>
      <c r="G471" s="582" t="n"/>
      <c r="H471" s="583" t="n"/>
      <c r="I471" s="510" t="n"/>
    </row>
    <row r="472" ht="19.95" customFormat="1" customHeight="1" s="511">
      <c r="A472" s="277" t="n"/>
      <c r="B472" s="285" t="n"/>
      <c r="C472" s="579" t="n"/>
      <c r="D472" s="580" t="n"/>
      <c r="E472" s="581" t="n"/>
      <c r="F472" s="577" t="n"/>
      <c r="G472" s="582" t="n"/>
      <c r="H472" s="583" t="n"/>
      <c r="I472" s="510" t="n"/>
    </row>
    <row r="473" ht="19.95" customFormat="1" customHeight="1" s="511">
      <c r="A473" s="277" t="n"/>
      <c r="B473" s="285" t="n"/>
      <c r="C473" s="579" t="n"/>
      <c r="D473" s="580" t="n"/>
      <c r="E473" s="581" t="n"/>
      <c r="F473" s="577" t="n"/>
      <c r="G473" s="582" t="n"/>
      <c r="H473" s="583" t="n"/>
      <c r="I473" s="510" t="n"/>
    </row>
    <row r="474" ht="19.95" customFormat="1" customHeight="1" s="511">
      <c r="A474" s="277" t="n"/>
      <c r="B474" s="285" t="n"/>
      <c r="C474" s="579" t="n"/>
      <c r="D474" s="580" t="n"/>
      <c r="E474" s="581" t="n"/>
      <c r="F474" s="577" t="n"/>
      <c r="G474" s="582" t="n"/>
      <c r="H474" s="583" t="n"/>
      <c r="I474" s="510" t="n"/>
    </row>
    <row r="475" ht="19.95" customFormat="1" customHeight="1" s="511">
      <c r="A475" s="277" t="n"/>
      <c r="B475" s="285" t="n"/>
      <c r="C475" s="579" t="n"/>
      <c r="D475" s="580" t="n"/>
      <c r="E475" s="581" t="n"/>
      <c r="F475" s="577" t="n"/>
      <c r="G475" s="582" t="n"/>
      <c r="H475" s="583" t="n"/>
      <c r="I475" s="510" t="n"/>
    </row>
    <row r="476" ht="19.95" customFormat="1" customHeight="1" s="511">
      <c r="A476" s="277" t="n"/>
      <c r="B476" s="285" t="n"/>
      <c r="C476" s="579" t="n"/>
      <c r="D476" s="580" t="n"/>
      <c r="E476" s="581" t="n"/>
      <c r="F476" s="577" t="n"/>
      <c r="G476" s="582" t="n"/>
      <c r="H476" s="583" t="n"/>
      <c r="I476" s="510" t="n"/>
    </row>
    <row r="477" ht="19.95" customFormat="1" customHeight="1" s="511">
      <c r="A477" s="277" t="n"/>
      <c r="B477" s="285" t="n"/>
      <c r="C477" s="579" t="n"/>
      <c r="D477" s="580" t="n"/>
      <c r="E477" s="581" t="n"/>
      <c r="F477" s="577" t="n"/>
      <c r="G477" s="582" t="n"/>
      <c r="H477" s="583" t="n"/>
      <c r="I477" s="510" t="n"/>
    </row>
    <row r="478" ht="19.95" customFormat="1" customHeight="1" s="511">
      <c r="A478" s="277" t="n"/>
      <c r="B478" s="285" t="n"/>
      <c r="C478" s="579" t="n"/>
      <c r="D478" s="580" t="n"/>
      <c r="E478" s="581" t="n"/>
      <c r="F478" s="577" t="n"/>
      <c r="G478" s="582" t="n"/>
      <c r="H478" s="583" t="n"/>
      <c r="I478" s="510" t="n"/>
    </row>
    <row r="479" ht="19.95" customFormat="1" customHeight="1" s="511">
      <c r="A479" s="277" t="n"/>
      <c r="B479" s="285" t="n"/>
      <c r="C479" s="579" t="n"/>
      <c r="D479" s="580" t="n"/>
      <c r="E479" s="581" t="n"/>
      <c r="F479" s="577" t="n"/>
      <c r="G479" s="582" t="n"/>
      <c r="H479" s="583" t="n"/>
      <c r="I479" s="510" t="n"/>
    </row>
    <row r="480" ht="19.95" customFormat="1" customHeight="1" s="511">
      <c r="A480" s="277" t="n"/>
      <c r="B480" s="285" t="n"/>
      <c r="C480" s="579" t="n"/>
      <c r="D480" s="580" t="n"/>
      <c r="E480" s="581" t="n"/>
      <c r="F480" s="577" t="n"/>
      <c r="G480" s="582" t="n"/>
      <c r="H480" s="583" t="n"/>
      <c r="I480" s="510" t="n"/>
    </row>
    <row r="481" ht="19.95" customFormat="1" customHeight="1" s="511">
      <c r="A481" s="277" t="n"/>
      <c r="B481" s="285" t="n"/>
      <c r="C481" s="579" t="n"/>
      <c r="D481" s="580" t="n"/>
      <c r="E481" s="581" t="n"/>
      <c r="F481" s="577" t="n"/>
      <c r="G481" s="582" t="n"/>
      <c r="H481" s="583" t="n"/>
      <c r="I481" s="510" t="n"/>
    </row>
    <row r="482" ht="19.95" customFormat="1" customHeight="1" s="511">
      <c r="A482" s="277" t="n"/>
      <c r="B482" s="285" t="n"/>
      <c r="C482" s="579" t="n"/>
      <c r="D482" s="580" t="n"/>
      <c r="E482" s="581" t="n"/>
      <c r="F482" s="577" t="n"/>
      <c r="G482" s="582" t="n"/>
      <c r="H482" s="583" t="n"/>
      <c r="I482" s="510" t="n"/>
    </row>
    <row r="483" ht="19.95" customFormat="1" customHeight="1" s="511">
      <c r="A483" s="277" t="n"/>
      <c r="B483" s="285" t="n"/>
      <c r="C483" s="579" t="n"/>
      <c r="D483" s="580" t="n"/>
      <c r="E483" s="581" t="n"/>
      <c r="F483" s="577" t="n"/>
      <c r="G483" s="582" t="n"/>
      <c r="H483" s="583" t="n"/>
      <c r="I483" s="510" t="n"/>
    </row>
    <row r="484" ht="19.95" customFormat="1" customHeight="1" s="511">
      <c r="A484" s="277" t="n"/>
      <c r="B484" s="285" t="n"/>
      <c r="C484" s="579" t="n"/>
      <c r="D484" s="580" t="n"/>
      <c r="E484" s="581" t="n"/>
      <c r="F484" s="577" t="n"/>
      <c r="G484" s="582" t="n"/>
      <c r="H484" s="583" t="n"/>
      <c r="I484" s="510" t="n"/>
    </row>
    <row r="485" ht="19.95" customFormat="1" customHeight="1" s="511">
      <c r="A485" s="277" t="n"/>
      <c r="B485" s="285" t="n"/>
      <c r="C485" s="579" t="n"/>
      <c r="D485" s="580" t="n"/>
      <c r="E485" s="581" t="n"/>
      <c r="F485" s="577" t="n"/>
      <c r="G485" s="582" t="n"/>
      <c r="H485" s="583" t="n"/>
      <c r="I485" s="510" t="n"/>
    </row>
    <row r="486" ht="19.95" customFormat="1" customHeight="1" s="511">
      <c r="A486" s="277" t="n"/>
      <c r="B486" s="285" t="n"/>
      <c r="C486" s="579" t="n"/>
      <c r="D486" s="580" t="n"/>
      <c r="E486" s="581" t="n"/>
      <c r="F486" s="577" t="n"/>
      <c r="G486" s="582" t="n"/>
      <c r="H486" s="583" t="n"/>
      <c r="I486" s="510" t="n"/>
    </row>
    <row r="487" ht="19.95" customFormat="1" customHeight="1" s="511">
      <c r="A487" s="277" t="n"/>
      <c r="B487" s="285" t="n"/>
      <c r="C487" s="579" t="n"/>
      <c r="D487" s="580" t="n"/>
      <c r="E487" s="581" t="n"/>
      <c r="F487" s="577" t="n"/>
      <c r="G487" s="582" t="n"/>
      <c r="H487" s="583" t="n"/>
      <c r="I487" s="510" t="n"/>
    </row>
    <row r="488" ht="19.95" customFormat="1" customHeight="1" s="511">
      <c r="A488" s="277" t="n"/>
      <c r="B488" s="285" t="n"/>
      <c r="C488" s="579" t="n"/>
      <c r="D488" s="580" t="n"/>
      <c r="E488" s="581" t="n"/>
      <c r="F488" s="577" t="n"/>
      <c r="G488" s="582" t="n"/>
      <c r="H488" s="583" t="n"/>
      <c r="I488" s="510" t="n"/>
    </row>
    <row r="489" ht="19.95" customFormat="1" customHeight="1" s="511">
      <c r="A489" s="277" t="n"/>
      <c r="B489" s="285" t="n"/>
      <c r="C489" s="579" t="n"/>
      <c r="D489" s="580" t="n"/>
      <c r="E489" s="581" t="n"/>
      <c r="F489" s="577" t="n"/>
      <c r="G489" s="582" t="n"/>
      <c r="H489" s="583" t="n"/>
      <c r="I489" s="510" t="n"/>
    </row>
    <row r="490" ht="19.95" customFormat="1" customHeight="1" s="511">
      <c r="A490" s="277" t="n"/>
      <c r="B490" s="285" t="n"/>
      <c r="C490" s="579" t="n"/>
      <c r="D490" s="580" t="n"/>
      <c r="E490" s="581" t="n"/>
      <c r="F490" s="577" t="n"/>
      <c r="G490" s="582" t="n"/>
      <c r="H490" s="583" t="n"/>
      <c r="I490" s="510" t="n"/>
    </row>
    <row r="491" ht="19.95" customFormat="1" customHeight="1" s="511">
      <c r="A491" s="277" t="n"/>
      <c r="B491" s="285" t="n"/>
      <c r="C491" s="579" t="n"/>
      <c r="D491" s="580" t="n"/>
      <c r="E491" s="581" t="n"/>
      <c r="F491" s="577" t="n"/>
      <c r="G491" s="582" t="n"/>
      <c r="H491" s="583" t="n"/>
      <c r="I491" s="510" t="n"/>
    </row>
    <row r="492" ht="19.95" customFormat="1" customHeight="1" s="511">
      <c r="A492" s="277" t="n"/>
      <c r="B492" s="285" t="n"/>
      <c r="C492" s="579" t="n"/>
      <c r="D492" s="580" t="n"/>
      <c r="E492" s="581" t="n"/>
      <c r="F492" s="577" t="n"/>
      <c r="G492" s="582" t="n"/>
      <c r="H492" s="583" t="n"/>
      <c r="I492" s="510" t="n"/>
    </row>
    <row r="493" ht="19.95" customFormat="1" customHeight="1" s="511">
      <c r="A493" s="277" t="n"/>
      <c r="B493" s="285" t="n"/>
      <c r="C493" s="579" t="n"/>
      <c r="D493" s="580" t="n"/>
      <c r="E493" s="581" t="n"/>
      <c r="F493" s="577" t="n"/>
      <c r="G493" s="582" t="n"/>
      <c r="H493" s="583" t="n"/>
      <c r="I493" s="510" t="n"/>
    </row>
    <row r="494" ht="19.95" customFormat="1" customHeight="1" s="511">
      <c r="A494" s="277" t="n"/>
      <c r="B494" s="285" t="n"/>
      <c r="C494" s="579" t="n"/>
      <c r="D494" s="580" t="n"/>
      <c r="E494" s="581" t="n"/>
      <c r="F494" s="577" t="n"/>
      <c r="G494" s="582" t="n"/>
      <c r="H494" s="583" t="n"/>
      <c r="I494" s="510" t="n"/>
    </row>
    <row r="495" ht="19.95" customFormat="1" customHeight="1" s="511">
      <c r="A495" s="277" t="n"/>
      <c r="B495" s="285" t="n"/>
      <c r="C495" s="579" t="n"/>
      <c r="D495" s="580" t="n"/>
      <c r="E495" s="581" t="n"/>
      <c r="F495" s="577" t="n"/>
      <c r="G495" s="582" t="n"/>
      <c r="H495" s="583" t="n"/>
      <c r="I495" s="510" t="n"/>
    </row>
    <row r="496" ht="19.95" customFormat="1" customHeight="1" s="511">
      <c r="A496" s="277" t="n"/>
      <c r="B496" s="285" t="n"/>
      <c r="C496" s="579" t="n"/>
      <c r="D496" s="580" t="n"/>
      <c r="E496" s="581" t="n"/>
      <c r="F496" s="577" t="n"/>
      <c r="G496" s="582" t="n"/>
      <c r="H496" s="583" t="n"/>
      <c r="I496" s="510" t="n"/>
    </row>
    <row r="497" ht="19.95" customFormat="1" customHeight="1" s="511">
      <c r="A497" s="277" t="n"/>
      <c r="B497" s="285" t="n"/>
      <c r="C497" s="579" t="n"/>
      <c r="D497" s="580" t="n"/>
      <c r="E497" s="581" t="n"/>
      <c r="F497" s="577" t="n"/>
      <c r="G497" s="582" t="n"/>
      <c r="H497" s="583" t="n"/>
      <c r="I497" s="510" t="n"/>
    </row>
    <row r="498" ht="19.95" customFormat="1" customHeight="1" s="511">
      <c r="A498" s="277" t="n"/>
      <c r="B498" s="285" t="n"/>
      <c r="C498" s="579" t="n"/>
      <c r="D498" s="580" t="n"/>
      <c r="E498" s="581" t="n"/>
      <c r="F498" s="577" t="n"/>
      <c r="G498" s="582" t="n"/>
      <c r="H498" s="583" t="n"/>
      <c r="I498" s="510" t="n"/>
    </row>
    <row r="499" ht="19.95" customFormat="1" customHeight="1" s="511">
      <c r="A499" s="277" t="n"/>
      <c r="B499" s="285" t="n"/>
      <c r="C499" s="579" t="n"/>
      <c r="D499" s="580" t="n"/>
      <c r="E499" s="581" t="n"/>
      <c r="F499" s="577" t="n"/>
      <c r="G499" s="582" t="n"/>
      <c r="H499" s="583" t="n"/>
      <c r="I499" s="510" t="n"/>
    </row>
    <row r="500" ht="19.95" customFormat="1" customHeight="1" s="511">
      <c r="A500" s="277" t="n"/>
      <c r="B500" s="285" t="n"/>
      <c r="C500" s="579" t="n"/>
      <c r="D500" s="580" t="n"/>
      <c r="E500" s="581" t="n"/>
      <c r="F500" s="577" t="n"/>
      <c r="G500" s="582" t="n"/>
      <c r="H500" s="583" t="n"/>
      <c r="I500" s="510" t="n"/>
    </row>
    <row r="501" ht="19.95" customFormat="1" customHeight="1" s="511">
      <c r="A501" s="277" t="n"/>
      <c r="B501" s="285" t="n"/>
      <c r="C501" s="579" t="n"/>
      <c r="D501" s="580" t="n"/>
      <c r="E501" s="581" t="n"/>
      <c r="F501" s="577" t="n"/>
      <c r="G501" s="582" t="n"/>
      <c r="H501" s="583" t="n"/>
      <c r="I501" s="510" t="n"/>
    </row>
    <row r="502" ht="19.95" customFormat="1" customHeight="1" s="511">
      <c r="A502" s="277" t="n"/>
      <c r="B502" s="285" t="n"/>
      <c r="C502" s="579" t="n"/>
      <c r="D502" s="580" t="n"/>
      <c r="E502" s="581" t="n"/>
      <c r="F502" s="577" t="n"/>
      <c r="G502" s="582" t="n"/>
      <c r="H502" s="583" t="n"/>
      <c r="I502" s="510" t="n"/>
    </row>
    <row r="503" ht="19.95" customFormat="1" customHeight="1" s="511">
      <c r="A503" s="277" t="n"/>
      <c r="B503" s="285" t="n"/>
      <c r="C503" s="579" t="n"/>
      <c r="D503" s="580" t="n"/>
      <c r="E503" s="581" t="n"/>
      <c r="F503" s="577" t="n"/>
      <c r="G503" s="582" t="n"/>
      <c r="H503" s="583" t="n"/>
      <c r="I503" s="510" t="n"/>
    </row>
    <row r="504" ht="19.95" customFormat="1" customHeight="1" s="511">
      <c r="A504" s="277" t="n"/>
      <c r="B504" s="285" t="n"/>
      <c r="C504" s="579" t="n"/>
      <c r="D504" s="580" t="n"/>
      <c r="E504" s="581" t="n"/>
      <c r="F504" s="577" t="n"/>
      <c r="G504" s="582" t="n"/>
      <c r="H504" s="583" t="n"/>
      <c r="I504" s="510" t="n"/>
    </row>
    <row r="505" ht="19.95" customFormat="1" customHeight="1" s="511">
      <c r="A505" s="277" t="n"/>
      <c r="B505" s="285" t="n"/>
      <c r="C505" s="579" t="n"/>
      <c r="D505" s="580" t="n"/>
      <c r="E505" s="581" t="n"/>
      <c r="F505" s="577" t="n"/>
      <c r="G505" s="582" t="n"/>
      <c r="H505" s="583" t="n"/>
      <c r="I505" s="510" t="n"/>
    </row>
    <row r="506" ht="19.95" customFormat="1" customHeight="1" s="511">
      <c r="A506" s="277" t="n"/>
      <c r="B506" s="285" t="n"/>
      <c r="C506" s="579" t="n"/>
      <c r="D506" s="580" t="n"/>
      <c r="E506" s="581" t="n"/>
      <c r="F506" s="577" t="n"/>
      <c r="G506" s="582" t="n"/>
      <c r="H506" s="583" t="n"/>
      <c r="I506" s="510" t="n"/>
    </row>
    <row r="507" ht="19.95" customFormat="1" customHeight="1" s="511">
      <c r="A507" s="277" t="n"/>
      <c r="B507" s="285" t="n"/>
      <c r="C507" s="579" t="n"/>
      <c r="D507" s="580" t="n"/>
      <c r="E507" s="581" t="n"/>
      <c r="F507" s="577" t="n"/>
      <c r="G507" s="582" t="n"/>
      <c r="H507" s="583" t="n"/>
      <c r="I507" s="510" t="n"/>
    </row>
    <row r="508" ht="19.95" customFormat="1" customHeight="1" s="511">
      <c r="A508" s="277" t="n"/>
      <c r="B508" s="285" t="n"/>
      <c r="C508" s="579" t="n"/>
      <c r="D508" s="580" t="n"/>
      <c r="E508" s="581" t="n"/>
      <c r="F508" s="577" t="n"/>
      <c r="G508" s="582" t="n"/>
      <c r="H508" s="583" t="n"/>
      <c r="I508" s="510" t="n"/>
    </row>
    <row r="509" ht="19.95" customFormat="1" customHeight="1" s="511">
      <c r="A509" s="277" t="n"/>
      <c r="B509" s="285" t="n"/>
      <c r="C509" s="579" t="n"/>
      <c r="D509" s="580" t="n"/>
      <c r="E509" s="581" t="n"/>
      <c r="F509" s="577" t="n"/>
      <c r="G509" s="582" t="n"/>
      <c r="H509" s="583" t="n"/>
      <c r="I509" s="510" t="n"/>
    </row>
    <row r="510" ht="19.95" customFormat="1" customHeight="1" s="511">
      <c r="A510" s="277" t="n"/>
      <c r="B510" s="285" t="n"/>
      <c r="C510" s="579" t="n"/>
      <c r="D510" s="580" t="n"/>
      <c r="E510" s="581" t="n"/>
      <c r="F510" s="577" t="n"/>
      <c r="G510" s="582" t="n"/>
      <c r="H510" s="583" t="n"/>
      <c r="I510" s="510" t="n"/>
    </row>
    <row r="511" ht="19.95" customFormat="1" customHeight="1" s="511">
      <c r="A511" s="277" t="n"/>
      <c r="B511" s="285" t="n"/>
      <c r="C511" s="579" t="n"/>
      <c r="D511" s="580" t="n"/>
      <c r="E511" s="581" t="n"/>
      <c r="F511" s="577" t="n"/>
      <c r="G511" s="582" t="n"/>
      <c r="H511" s="583" t="n"/>
      <c r="I511" s="510" t="n"/>
    </row>
    <row r="512" ht="19.95" customFormat="1" customHeight="1" s="511">
      <c r="A512" s="277" t="n"/>
      <c r="B512" s="285" t="n"/>
      <c r="C512" s="579" t="n"/>
      <c r="D512" s="580" t="n"/>
      <c r="E512" s="581" t="n"/>
      <c r="F512" s="577" t="n"/>
      <c r="G512" s="582" t="n"/>
      <c r="H512" s="583" t="n"/>
      <c r="I512" s="510" t="n"/>
    </row>
    <row r="513" ht="19.95" customFormat="1" customHeight="1" s="511">
      <c r="A513" s="277" t="n"/>
      <c r="B513" s="285" t="n"/>
      <c r="C513" s="579" t="n"/>
      <c r="D513" s="580" t="n"/>
      <c r="E513" s="581" t="n"/>
      <c r="F513" s="577" t="n"/>
      <c r="G513" s="582" t="n"/>
      <c r="H513" s="583" t="n"/>
      <c r="I513" s="510" t="n"/>
    </row>
    <row r="514" ht="19.95" customFormat="1" customHeight="1" s="511">
      <c r="A514" s="277" t="n"/>
      <c r="B514" s="285" t="n"/>
      <c r="C514" s="579" t="n"/>
      <c r="D514" s="580" t="n"/>
      <c r="E514" s="581" t="n"/>
      <c r="F514" s="577" t="n"/>
      <c r="G514" s="582" t="n"/>
      <c r="H514" s="583" t="n"/>
      <c r="I514" s="510" t="n"/>
    </row>
    <row r="515" ht="19.95" customFormat="1" customHeight="1" s="511">
      <c r="A515" s="277" t="n"/>
      <c r="B515" s="285" t="n"/>
      <c r="C515" s="579" t="n"/>
      <c r="D515" s="580" t="n"/>
      <c r="E515" s="581" t="n"/>
      <c r="F515" s="577" t="n"/>
      <c r="G515" s="582" t="n"/>
      <c r="H515" s="583" t="n"/>
      <c r="I515" s="510" t="n"/>
    </row>
    <row r="516" ht="19.95" customFormat="1" customHeight="1" s="511">
      <c r="A516" s="277" t="n"/>
      <c r="B516" s="285" t="n"/>
      <c r="C516" s="579" t="n"/>
      <c r="D516" s="580" t="n"/>
      <c r="E516" s="581" t="n"/>
      <c r="F516" s="577" t="n"/>
      <c r="G516" s="582" t="n"/>
      <c r="H516" s="583" t="n"/>
      <c r="I516" s="510" t="n"/>
    </row>
    <row r="517" ht="19.95" customFormat="1" customHeight="1" s="511">
      <c r="A517" s="277" t="n"/>
      <c r="B517" s="285" t="n"/>
      <c r="C517" s="579" t="n"/>
      <c r="D517" s="580" t="n"/>
      <c r="E517" s="581" t="n"/>
      <c r="F517" s="577" t="n"/>
      <c r="G517" s="582" t="n"/>
      <c r="H517" s="583" t="n"/>
      <c r="I517" s="510" t="n"/>
    </row>
    <row r="518" ht="19.95" customFormat="1" customHeight="1" s="511">
      <c r="A518" s="277" t="n"/>
      <c r="B518" s="285" t="n"/>
      <c r="C518" s="579" t="n"/>
      <c r="D518" s="580" t="n"/>
      <c r="E518" s="581" t="n"/>
      <c r="F518" s="577" t="n"/>
      <c r="G518" s="582" t="n"/>
      <c r="H518" s="583" t="n"/>
      <c r="I518" s="510" t="n"/>
    </row>
    <row r="519" ht="19.95" customFormat="1" customHeight="1" s="511">
      <c r="A519" s="277" t="n"/>
      <c r="B519" s="285" t="n"/>
      <c r="C519" s="579" t="n"/>
      <c r="D519" s="580" t="n"/>
      <c r="E519" s="581" t="n"/>
      <c r="F519" s="577" t="n"/>
      <c r="G519" s="582" t="n"/>
      <c r="H519" s="583" t="n"/>
      <c r="I519" s="510" t="n"/>
    </row>
    <row r="520" ht="19.95" customFormat="1" customHeight="1" s="511">
      <c r="A520" s="277" t="n"/>
      <c r="B520" s="285" t="n"/>
      <c r="C520" s="579" t="n"/>
      <c r="D520" s="580" t="n"/>
      <c r="E520" s="581" t="n"/>
      <c r="F520" s="577" t="n"/>
      <c r="G520" s="582" t="n"/>
      <c r="H520" s="583" t="n"/>
      <c r="I520" s="510" t="n"/>
    </row>
    <row r="521" ht="19.95" customFormat="1" customHeight="1" s="511">
      <c r="A521" s="277" t="n"/>
      <c r="B521" s="285" t="n"/>
      <c r="C521" s="579" t="n"/>
      <c r="D521" s="580" t="n"/>
      <c r="E521" s="581" t="n"/>
      <c r="F521" s="577" t="n"/>
      <c r="G521" s="582" t="n"/>
      <c r="H521" s="583" t="n"/>
      <c r="I521" s="510" t="n"/>
    </row>
    <row r="522" ht="19.95" customFormat="1" customHeight="1" s="511">
      <c r="A522" s="277" t="n"/>
      <c r="B522" s="285" t="n"/>
      <c r="C522" s="579" t="n"/>
      <c r="D522" s="580" t="n"/>
      <c r="E522" s="581" t="n"/>
      <c r="F522" s="577" t="n"/>
      <c r="G522" s="582" t="n"/>
      <c r="H522" s="583" t="n"/>
      <c r="I522" s="510" t="n"/>
    </row>
    <row r="523" ht="19.95" customFormat="1" customHeight="1" s="511">
      <c r="A523" s="277" t="n"/>
      <c r="B523" s="285" t="n"/>
      <c r="C523" s="579" t="n"/>
      <c r="D523" s="580" t="n"/>
      <c r="E523" s="581" t="n"/>
      <c r="F523" s="577" t="n"/>
      <c r="G523" s="582" t="n"/>
      <c r="H523" s="583" t="n"/>
      <c r="I523" s="510" t="n"/>
    </row>
    <row r="524" ht="19.95" customFormat="1" customHeight="1" s="511">
      <c r="A524" s="277" t="n"/>
      <c r="B524" s="285" t="n"/>
      <c r="C524" s="579" t="n"/>
      <c r="D524" s="580" t="n"/>
      <c r="E524" s="581" t="n"/>
      <c r="F524" s="577" t="n"/>
      <c r="G524" s="582" t="n"/>
      <c r="H524" s="583" t="n"/>
      <c r="I524" s="510" t="n"/>
    </row>
    <row r="525" ht="19.95" customFormat="1" customHeight="1" s="511">
      <c r="A525" s="277" t="n"/>
      <c r="B525" s="285" t="n"/>
      <c r="C525" s="579" t="n"/>
      <c r="D525" s="580" t="n"/>
      <c r="E525" s="581" t="n"/>
      <c r="F525" s="577" t="n"/>
      <c r="G525" s="582" t="n"/>
      <c r="H525" s="583" t="n"/>
      <c r="I525" s="510" t="n"/>
    </row>
    <row r="526" ht="19.95" customFormat="1" customHeight="1" s="511">
      <c r="A526" s="277" t="n"/>
      <c r="B526" s="285" t="n"/>
      <c r="C526" s="579" t="n"/>
      <c r="D526" s="580" t="n"/>
      <c r="E526" s="581" t="n"/>
      <c r="F526" s="577" t="n"/>
      <c r="G526" s="582" t="n"/>
      <c r="H526" s="583" t="n"/>
      <c r="I526" s="510" t="n"/>
    </row>
    <row r="527" ht="19.95" customFormat="1" customHeight="1" s="511">
      <c r="A527" s="277" t="n"/>
      <c r="B527" s="285" t="n"/>
      <c r="C527" s="579" t="n"/>
      <c r="D527" s="580" t="n"/>
      <c r="E527" s="581" t="n"/>
      <c r="F527" s="577" t="n"/>
      <c r="G527" s="582" t="n"/>
      <c r="H527" s="583" t="n"/>
      <c r="I527" s="510" t="n"/>
    </row>
    <row r="528" ht="19.95" customFormat="1" customHeight="1" s="511">
      <c r="A528" s="277" t="n"/>
      <c r="B528" s="285" t="n"/>
      <c r="C528" s="579" t="n"/>
      <c r="D528" s="580" t="n"/>
      <c r="E528" s="581" t="n"/>
      <c r="F528" s="577" t="n"/>
      <c r="G528" s="582" t="n"/>
      <c r="H528" s="583" t="n"/>
      <c r="I528" s="510" t="n"/>
    </row>
    <row r="529" ht="19.95" customFormat="1" customHeight="1" s="511">
      <c r="A529" s="277" t="n"/>
      <c r="B529" s="285" t="n"/>
      <c r="C529" s="579" t="n"/>
      <c r="D529" s="580" t="n"/>
      <c r="E529" s="581" t="n"/>
      <c r="F529" s="577" t="n"/>
      <c r="G529" s="582" t="n"/>
      <c r="H529" s="583" t="n"/>
      <c r="I529" s="510" t="n"/>
    </row>
    <row r="530" ht="19.95" customFormat="1" customHeight="1" s="511">
      <c r="A530" s="277" t="n"/>
      <c r="B530" s="285" t="n"/>
      <c r="C530" s="579" t="n"/>
      <c r="D530" s="580" t="n"/>
      <c r="E530" s="581" t="n"/>
      <c r="F530" s="577" t="n"/>
      <c r="G530" s="582" t="n"/>
      <c r="H530" s="583" t="n"/>
      <c r="I530" s="510" t="n"/>
    </row>
    <row r="531" ht="19.95" customFormat="1" customHeight="1" s="511">
      <c r="A531" s="277" t="n"/>
      <c r="B531" s="285" t="n"/>
      <c r="C531" s="579" t="n"/>
      <c r="D531" s="580" t="n"/>
      <c r="E531" s="581" t="n"/>
      <c r="F531" s="577" t="n"/>
      <c r="G531" s="582" t="n"/>
      <c r="H531" s="583" t="n"/>
      <c r="I531" s="510" t="n"/>
    </row>
    <row r="532" ht="19.95" customFormat="1" customHeight="1" s="511">
      <c r="A532" s="277" t="n"/>
      <c r="B532" s="285" t="n"/>
      <c r="C532" s="579" t="n"/>
      <c r="D532" s="580" t="n"/>
      <c r="E532" s="581" t="n"/>
      <c r="F532" s="577" t="n"/>
      <c r="G532" s="582" t="n"/>
      <c r="H532" s="583" t="n"/>
      <c r="I532" s="510" t="n"/>
    </row>
    <row r="533" ht="19.95" customFormat="1" customHeight="1" s="511">
      <c r="A533" s="277" t="n"/>
      <c r="B533" s="285" t="n"/>
      <c r="C533" s="579" t="n"/>
      <c r="D533" s="580" t="n"/>
      <c r="E533" s="581" t="n"/>
      <c r="F533" s="577" t="n"/>
      <c r="G533" s="582" t="n"/>
      <c r="H533" s="583" t="n"/>
      <c r="I533" s="510" t="n"/>
    </row>
    <row r="534" ht="19.95" customFormat="1" customHeight="1" s="511">
      <c r="A534" s="277" t="n"/>
      <c r="B534" s="285" t="n"/>
      <c r="C534" s="579" t="n"/>
      <c r="D534" s="580" t="n"/>
      <c r="E534" s="581" t="n"/>
      <c r="F534" s="577" t="n"/>
      <c r="G534" s="582" t="n"/>
      <c r="H534" s="583" t="n"/>
      <c r="I534" s="510" t="n"/>
    </row>
    <row r="535" ht="19.95" customFormat="1" customHeight="1" s="511">
      <c r="A535" s="277" t="n"/>
      <c r="B535" s="285" t="n"/>
      <c r="C535" s="579" t="n"/>
      <c r="D535" s="580" t="n"/>
      <c r="E535" s="581" t="n"/>
      <c r="F535" s="577" t="n"/>
      <c r="G535" s="582" t="n"/>
      <c r="H535" s="583" t="n"/>
      <c r="I535" s="510" t="n"/>
    </row>
    <row r="536" ht="19.95" customFormat="1" customHeight="1" s="511">
      <c r="A536" s="277" t="n"/>
      <c r="B536" s="285" t="n"/>
      <c r="C536" s="579" t="n"/>
      <c r="D536" s="580" t="n"/>
      <c r="E536" s="581" t="n"/>
      <c r="F536" s="577" t="n"/>
      <c r="G536" s="582" t="n"/>
      <c r="H536" s="583" t="n"/>
      <c r="I536" s="510" t="n"/>
    </row>
    <row r="537" ht="19.95" customFormat="1" customHeight="1" s="511">
      <c r="A537" s="277" t="n"/>
      <c r="B537" s="285" t="n"/>
      <c r="C537" s="579" t="n"/>
      <c r="D537" s="580" t="n"/>
      <c r="E537" s="581" t="n"/>
      <c r="F537" s="577" t="n"/>
      <c r="G537" s="582" t="n"/>
      <c r="H537" s="583" t="n"/>
      <c r="I537" s="510" t="n"/>
    </row>
    <row r="538" ht="19.95" customFormat="1" customHeight="1" s="511">
      <c r="A538" s="277" t="n"/>
      <c r="B538" s="285" t="n"/>
      <c r="C538" s="579" t="n"/>
      <c r="D538" s="580" t="n"/>
      <c r="E538" s="581" t="n"/>
      <c r="F538" s="577" t="n"/>
      <c r="G538" s="582" t="n"/>
      <c r="H538" s="583" t="n"/>
      <c r="I538" s="510" t="n"/>
    </row>
    <row r="539" ht="19.95" customFormat="1" customHeight="1" s="511">
      <c r="A539" s="277" t="n"/>
      <c r="B539" s="285" t="n"/>
      <c r="C539" s="579" t="n"/>
      <c r="D539" s="580" t="n"/>
      <c r="E539" s="581" t="n"/>
      <c r="F539" s="577" t="n"/>
      <c r="G539" s="582" t="n"/>
      <c r="H539" s="583" t="n"/>
      <c r="I539" s="510" t="n"/>
    </row>
    <row r="540" ht="19.95" customFormat="1" customHeight="1" s="511">
      <c r="A540" s="277" t="n"/>
      <c r="B540" s="285" t="n"/>
      <c r="C540" s="579" t="n"/>
      <c r="D540" s="580" t="n"/>
      <c r="E540" s="581" t="n"/>
      <c r="F540" s="577" t="n"/>
      <c r="G540" s="582" t="n"/>
      <c r="H540" s="583" t="n"/>
      <c r="I540" s="510" t="n"/>
    </row>
    <row r="541" ht="19.95" customFormat="1" customHeight="1" s="511">
      <c r="A541" s="277" t="n"/>
      <c r="B541" s="285" t="n"/>
      <c r="C541" s="579" t="n"/>
      <c r="D541" s="580" t="n"/>
      <c r="E541" s="581" t="n"/>
      <c r="F541" s="577" t="n"/>
      <c r="G541" s="582" t="n"/>
      <c r="H541" s="583" t="n"/>
      <c r="I541" s="510" t="n"/>
    </row>
    <row r="542" ht="19.95" customFormat="1" customHeight="1" s="511">
      <c r="A542" s="277" t="n"/>
      <c r="B542" s="285" t="n"/>
      <c r="C542" s="579" t="n"/>
      <c r="D542" s="580" t="n"/>
      <c r="E542" s="581" t="n"/>
      <c r="F542" s="577" t="n"/>
      <c r="G542" s="582" t="n"/>
      <c r="H542" s="583" t="n"/>
      <c r="I542" s="510" t="n"/>
    </row>
    <row r="543" ht="19.95" customFormat="1" customHeight="1" s="511">
      <c r="A543" s="277" t="n"/>
      <c r="B543" s="285" t="n"/>
      <c r="C543" s="579" t="n"/>
      <c r="D543" s="580" t="n"/>
      <c r="E543" s="581" t="n"/>
      <c r="F543" s="577" t="n"/>
      <c r="G543" s="582" t="n"/>
      <c r="H543" s="583" t="n"/>
      <c r="I543" s="510" t="n"/>
    </row>
    <row r="544" ht="19.95" customFormat="1" customHeight="1" s="511">
      <c r="A544" s="277" t="n"/>
      <c r="B544" s="285" t="n"/>
      <c r="C544" s="579" t="n"/>
      <c r="D544" s="580" t="n"/>
      <c r="E544" s="581" t="n"/>
      <c r="F544" s="577" t="n"/>
      <c r="G544" s="582" t="n"/>
      <c r="H544" s="583" t="n"/>
      <c r="I544" s="510" t="n"/>
    </row>
    <row r="545" ht="19.95" customFormat="1" customHeight="1" s="511">
      <c r="A545" s="277" t="n"/>
      <c r="B545" s="285" t="n"/>
      <c r="C545" s="579" t="n"/>
      <c r="D545" s="580" t="n"/>
      <c r="E545" s="581" t="n"/>
      <c r="F545" s="577" t="n"/>
      <c r="G545" s="582" t="n"/>
      <c r="H545" s="583" t="n"/>
      <c r="I545" s="510" t="n"/>
    </row>
    <row r="546" ht="19.95" customFormat="1" customHeight="1" s="511">
      <c r="A546" s="277" t="n"/>
      <c r="B546" s="285" t="n"/>
      <c r="C546" s="579" t="n"/>
      <c r="D546" s="580" t="n"/>
      <c r="E546" s="581" t="n"/>
      <c r="F546" s="577" t="n"/>
      <c r="G546" s="582" t="n"/>
      <c r="H546" s="583" t="n"/>
      <c r="I546" s="510" t="n"/>
    </row>
    <row r="547" ht="19.95" customFormat="1" customHeight="1" s="511">
      <c r="A547" s="277" t="n"/>
      <c r="B547" s="285" t="n"/>
      <c r="C547" s="579" t="n"/>
      <c r="D547" s="580" t="n"/>
      <c r="E547" s="581" t="n"/>
      <c r="F547" s="577" t="n"/>
      <c r="G547" s="582" t="n"/>
      <c r="H547" s="583" t="n"/>
      <c r="I547" s="510" t="n"/>
    </row>
    <row r="548" ht="19.95" customFormat="1" customHeight="1" s="511">
      <c r="A548" s="277" t="n"/>
      <c r="B548" s="285" t="n"/>
      <c r="C548" s="579" t="n"/>
      <c r="D548" s="580" t="n"/>
      <c r="E548" s="581" t="n"/>
      <c r="F548" s="577" t="n"/>
      <c r="G548" s="582" t="n"/>
      <c r="H548" s="583" t="n"/>
      <c r="I548" s="510" t="n"/>
    </row>
    <row r="549" ht="19.95" customFormat="1" customHeight="1" s="511">
      <c r="A549" s="277" t="n"/>
      <c r="B549" s="285" t="n"/>
      <c r="C549" s="579" t="n"/>
      <c r="D549" s="580" t="n"/>
      <c r="E549" s="581" t="n"/>
      <c r="F549" s="577" t="n"/>
      <c r="G549" s="582" t="n"/>
      <c r="H549" s="583" t="n"/>
      <c r="I549" s="510" t="n"/>
    </row>
    <row r="550" ht="19.95" customFormat="1" customHeight="1" s="511">
      <c r="A550" s="277" t="n"/>
      <c r="B550" s="285" t="n"/>
      <c r="C550" s="579" t="n"/>
      <c r="D550" s="580" t="n"/>
      <c r="E550" s="581" t="n"/>
      <c r="F550" s="577" t="n"/>
      <c r="G550" s="582" t="n"/>
      <c r="H550" s="583" t="n"/>
      <c r="I550" s="510" t="n"/>
    </row>
    <row r="551" ht="19.95" customFormat="1" customHeight="1" s="511">
      <c r="A551" s="277" t="n"/>
      <c r="B551" s="285" t="n"/>
      <c r="C551" s="579" t="n"/>
      <c r="D551" s="580" t="n"/>
      <c r="E551" s="581" t="n"/>
      <c r="F551" s="577" t="n"/>
      <c r="G551" s="582" t="n"/>
      <c r="H551" s="583" t="n"/>
      <c r="I551" s="510" t="n"/>
    </row>
    <row r="552" ht="19.95" customFormat="1" customHeight="1" s="511">
      <c r="A552" s="277" t="n"/>
      <c r="B552" s="285" t="n"/>
      <c r="C552" s="579" t="n"/>
      <c r="D552" s="580" t="n"/>
      <c r="E552" s="581" t="n"/>
      <c r="F552" s="577" t="n"/>
      <c r="G552" s="582" t="n"/>
      <c r="H552" s="583" t="n"/>
      <c r="I552" s="510" t="n"/>
    </row>
    <row r="553" ht="19.95" customFormat="1" customHeight="1" s="511">
      <c r="A553" s="277" t="n"/>
      <c r="B553" s="285" t="n"/>
      <c r="C553" s="579" t="n"/>
      <c r="D553" s="580" t="n"/>
      <c r="E553" s="581" t="n"/>
      <c r="F553" s="577" t="n"/>
      <c r="G553" s="582" t="n"/>
      <c r="H553" s="583" t="n"/>
      <c r="I553" s="510" t="n"/>
    </row>
    <row r="554" ht="19.95" customFormat="1" customHeight="1" s="511">
      <c r="A554" s="277" t="n"/>
      <c r="B554" s="285" t="n"/>
      <c r="C554" s="579" t="n"/>
      <c r="D554" s="580" t="n"/>
      <c r="E554" s="581" t="n"/>
      <c r="F554" s="577" t="n"/>
      <c r="G554" s="582" t="n"/>
      <c r="H554" s="583" t="n"/>
      <c r="I554" s="510" t="n"/>
    </row>
    <row r="555" ht="19.95" customFormat="1" customHeight="1" s="511">
      <c r="A555" s="277" t="n"/>
      <c r="B555" s="285" t="n"/>
      <c r="C555" s="579" t="n"/>
      <c r="D555" s="580" t="n"/>
      <c r="E555" s="581" t="n"/>
      <c r="F555" s="577" t="n"/>
      <c r="G555" s="582" t="n"/>
      <c r="H555" s="583" t="n"/>
      <c r="I555" s="510" t="n"/>
    </row>
    <row r="556" ht="19.95" customFormat="1" customHeight="1" s="511">
      <c r="A556" s="277" t="n"/>
      <c r="B556" s="285" t="n"/>
      <c r="C556" s="579" t="n"/>
      <c r="D556" s="580" t="n"/>
      <c r="E556" s="581" t="n"/>
      <c r="F556" s="577" t="n"/>
      <c r="G556" s="582" t="n"/>
      <c r="H556" s="583" t="n"/>
      <c r="I556" s="510" t="n"/>
    </row>
    <row r="557" ht="19.95" customFormat="1" customHeight="1" s="511">
      <c r="A557" s="277" t="n"/>
      <c r="B557" s="285" t="n"/>
      <c r="C557" s="579" t="n"/>
      <c r="D557" s="580" t="n"/>
      <c r="E557" s="581" t="n"/>
      <c r="F557" s="577" t="n"/>
      <c r="G557" s="582" t="n"/>
      <c r="H557" s="583" t="n"/>
      <c r="I557" s="510" t="n"/>
    </row>
    <row r="558" ht="19.95" customFormat="1" customHeight="1" s="511">
      <c r="A558" s="277" t="n"/>
      <c r="B558" s="285" t="n"/>
      <c r="C558" s="579" t="n"/>
      <c r="D558" s="580" t="n"/>
      <c r="E558" s="581" t="n"/>
      <c r="F558" s="577" t="n"/>
      <c r="G558" s="582" t="n"/>
      <c r="H558" s="583" t="n"/>
      <c r="I558" s="510" t="n"/>
    </row>
    <row r="559" ht="19.95" customFormat="1" customHeight="1" s="511">
      <c r="A559" s="277" t="n"/>
      <c r="B559" s="285" t="n"/>
      <c r="C559" s="579" t="n"/>
      <c r="D559" s="580" t="n"/>
      <c r="E559" s="581" t="n"/>
      <c r="F559" s="577" t="n"/>
      <c r="G559" s="582" t="n"/>
      <c r="H559" s="583" t="n"/>
      <c r="I559" s="510" t="n"/>
    </row>
    <row r="560" ht="19.95" customFormat="1" customHeight="1" s="511">
      <c r="A560" s="277" t="n"/>
      <c r="B560" s="285" t="n"/>
      <c r="C560" s="579" t="n"/>
      <c r="D560" s="580" t="n"/>
      <c r="E560" s="581" t="n"/>
      <c r="F560" s="577" t="n"/>
      <c r="G560" s="582" t="n"/>
      <c r="H560" s="583" t="n"/>
      <c r="I560" s="510" t="n"/>
    </row>
    <row r="561" ht="19.95" customFormat="1" customHeight="1" s="511">
      <c r="A561" s="277" t="n"/>
      <c r="B561" s="285" t="n"/>
      <c r="C561" s="579" t="n"/>
      <c r="D561" s="580" t="n"/>
      <c r="E561" s="581" t="n"/>
      <c r="F561" s="577" t="n"/>
      <c r="G561" s="582" t="n"/>
      <c r="H561" s="583" t="n"/>
      <c r="I561" s="510" t="n"/>
    </row>
    <row r="562" ht="19.95" customFormat="1" customHeight="1" s="511">
      <c r="A562" s="277" t="n"/>
      <c r="B562" s="285" t="n"/>
      <c r="C562" s="579" t="n"/>
      <c r="D562" s="580" t="n"/>
      <c r="E562" s="581" t="n"/>
      <c r="F562" s="577" t="n"/>
      <c r="G562" s="582" t="n"/>
      <c r="H562" s="583" t="n"/>
      <c r="I562" s="510" t="n"/>
    </row>
    <row r="563" ht="19.95" customFormat="1" customHeight="1" s="511">
      <c r="A563" s="277" t="n"/>
      <c r="B563" s="285" t="n"/>
      <c r="C563" s="579" t="n"/>
      <c r="D563" s="580" t="n"/>
      <c r="E563" s="581" t="n"/>
      <c r="F563" s="577" t="n"/>
      <c r="G563" s="582" t="n"/>
      <c r="H563" s="583" t="n"/>
      <c r="I563" s="510" t="n"/>
    </row>
    <row r="564" ht="19.95" customFormat="1" customHeight="1" s="511">
      <c r="A564" s="277" t="n"/>
      <c r="B564" s="285" t="n"/>
      <c r="C564" s="579" t="n"/>
      <c r="D564" s="580" t="n"/>
      <c r="E564" s="581" t="n"/>
      <c r="F564" s="577" t="n"/>
      <c r="G564" s="582" t="n"/>
      <c r="H564" s="583" t="n"/>
      <c r="I564" s="510" t="n"/>
    </row>
    <row r="565" ht="19.95" customFormat="1" customHeight="1" s="511">
      <c r="A565" s="277" t="n"/>
      <c r="B565" s="285" t="n"/>
      <c r="C565" s="579" t="n"/>
      <c r="D565" s="580" t="n"/>
      <c r="E565" s="581" t="n"/>
      <c r="F565" s="577" t="n"/>
      <c r="G565" s="582" t="n"/>
      <c r="H565" s="583" t="n"/>
      <c r="I565" s="510" t="n"/>
    </row>
    <row r="566" ht="19.95" customFormat="1" customHeight="1" s="511">
      <c r="A566" s="277" t="n"/>
      <c r="B566" s="285" t="n"/>
      <c r="C566" s="579" t="n"/>
      <c r="D566" s="580" t="n"/>
      <c r="E566" s="581" t="n"/>
      <c r="F566" s="577" t="n"/>
      <c r="G566" s="582" t="n"/>
      <c r="H566" s="583" t="n"/>
      <c r="I566" s="510" t="n"/>
    </row>
    <row r="567" ht="19.95" customFormat="1" customHeight="1" s="511">
      <c r="A567" s="277" t="n"/>
      <c r="B567" s="285" t="n"/>
      <c r="C567" s="579" t="n"/>
      <c r="D567" s="580" t="n"/>
      <c r="E567" s="581" t="n"/>
      <c r="F567" s="577" t="n"/>
      <c r="G567" s="582" t="n"/>
      <c r="H567" s="583" t="n"/>
      <c r="I567" s="510" t="n"/>
    </row>
    <row r="568" ht="19.95" customFormat="1" customHeight="1" s="511">
      <c r="A568" s="277" t="n"/>
      <c r="B568" s="285" t="n"/>
      <c r="C568" s="579" t="n"/>
      <c r="D568" s="580" t="n"/>
      <c r="E568" s="581" t="n"/>
      <c r="F568" s="577" t="n"/>
      <c r="G568" s="582" t="n"/>
      <c r="H568" s="583" t="n"/>
      <c r="I568" s="510" t="n"/>
    </row>
    <row r="569" ht="19.95" customFormat="1" customHeight="1" s="511">
      <c r="A569" s="277" t="n"/>
      <c r="B569" s="285" t="n"/>
      <c r="C569" s="579" t="n"/>
      <c r="D569" s="580" t="n"/>
      <c r="E569" s="581" t="n"/>
      <c r="F569" s="577" t="n"/>
      <c r="G569" s="582" t="n"/>
      <c r="H569" s="583" t="n"/>
      <c r="I569" s="510" t="n"/>
    </row>
    <row r="570" ht="19.95" customFormat="1" customHeight="1" s="511">
      <c r="A570" s="277" t="n"/>
      <c r="B570" s="285" t="n"/>
      <c r="C570" s="579" t="n"/>
      <c r="D570" s="580" t="n"/>
      <c r="E570" s="581" t="n"/>
      <c r="F570" s="577" t="n"/>
      <c r="G570" s="582" t="n"/>
      <c r="H570" s="583" t="n"/>
      <c r="I570" s="510" t="n"/>
    </row>
    <row r="571" ht="19.95" customFormat="1" customHeight="1" s="511">
      <c r="A571" s="277" t="n"/>
      <c r="B571" s="285" t="n"/>
      <c r="C571" s="579" t="n"/>
      <c r="D571" s="580" t="n"/>
      <c r="E571" s="581" t="n"/>
      <c r="F571" s="577" t="n"/>
      <c r="G571" s="582" t="n"/>
      <c r="H571" s="583" t="n"/>
      <c r="I571" s="510" t="n"/>
    </row>
    <row r="572" ht="19.95" customFormat="1" customHeight="1" s="511">
      <c r="A572" s="277" t="n"/>
      <c r="B572" s="285" t="n"/>
      <c r="C572" s="579" t="n"/>
      <c r="D572" s="580" t="n"/>
      <c r="E572" s="581" t="n"/>
      <c r="F572" s="577" t="n"/>
      <c r="G572" s="582" t="n"/>
      <c r="H572" s="583" t="n"/>
      <c r="I572" s="510" t="n"/>
    </row>
    <row r="573" ht="19.95" customFormat="1" customHeight="1" s="511">
      <c r="A573" s="277" t="n"/>
      <c r="B573" s="285" t="n"/>
      <c r="C573" s="579" t="n"/>
      <c r="D573" s="580" t="n"/>
      <c r="E573" s="581" t="n"/>
      <c r="F573" s="577" t="n"/>
      <c r="G573" s="582" t="n"/>
      <c r="H573" s="583" t="n"/>
      <c r="I573" s="510" t="n"/>
    </row>
    <row r="574" ht="19.95" customFormat="1" customHeight="1" s="511">
      <c r="A574" s="277" t="n"/>
      <c r="B574" s="285" t="n"/>
      <c r="C574" s="579" t="n"/>
      <c r="D574" s="580" t="n"/>
      <c r="E574" s="581" t="n"/>
      <c r="F574" s="577" t="n"/>
      <c r="G574" s="582" t="n"/>
      <c r="H574" s="583" t="n"/>
      <c r="I574" s="510" t="n"/>
    </row>
    <row r="575" ht="19.95" customFormat="1" customHeight="1" s="511">
      <c r="A575" s="277" t="n"/>
      <c r="B575" s="285" t="n"/>
      <c r="C575" s="579" t="n"/>
      <c r="D575" s="580" t="n"/>
      <c r="E575" s="581" t="n"/>
      <c r="F575" s="577" t="n"/>
      <c r="G575" s="582" t="n"/>
      <c r="H575" s="583" t="n"/>
      <c r="I575" s="510" t="n"/>
    </row>
    <row r="576" ht="19.95" customFormat="1" customHeight="1" s="511">
      <c r="A576" s="277" t="n"/>
      <c r="B576" s="285" t="n"/>
      <c r="C576" s="579" t="n"/>
      <c r="D576" s="580" t="n"/>
      <c r="E576" s="581" t="n"/>
      <c r="F576" s="577" t="n"/>
      <c r="G576" s="582" t="n"/>
      <c r="H576" s="583" t="n"/>
      <c r="I576" s="510" t="n"/>
    </row>
    <row r="577" ht="19.95" customFormat="1" customHeight="1" s="511">
      <c r="A577" s="277" t="n"/>
      <c r="B577" s="285" t="n"/>
      <c r="C577" s="579" t="n"/>
      <c r="D577" s="580" t="n"/>
      <c r="E577" s="581" t="n"/>
      <c r="F577" s="577" t="n"/>
      <c r="G577" s="582" t="n"/>
      <c r="H577" s="583" t="n"/>
      <c r="I577" s="510" t="n"/>
    </row>
    <row r="578" ht="19.95" customFormat="1" customHeight="1" s="511">
      <c r="A578" s="277" t="n"/>
      <c r="B578" s="285" t="n"/>
      <c r="C578" s="579" t="n"/>
      <c r="D578" s="580" t="n"/>
      <c r="E578" s="581" t="n"/>
      <c r="F578" s="577" t="n"/>
      <c r="G578" s="582" t="n"/>
      <c r="H578" s="583" t="n"/>
      <c r="I578" s="510" t="n"/>
    </row>
    <row r="579" ht="19.95" customFormat="1" customHeight="1" s="511">
      <c r="A579" s="277" t="n"/>
      <c r="B579" s="285" t="n"/>
      <c r="C579" s="579" t="n"/>
      <c r="D579" s="580" t="n"/>
      <c r="E579" s="581" t="n"/>
      <c r="F579" s="577" t="n"/>
      <c r="G579" s="582" t="n"/>
      <c r="H579" s="583" t="n"/>
      <c r="I579" s="510" t="n"/>
    </row>
    <row r="580" ht="19.95" customFormat="1" customHeight="1" s="511">
      <c r="A580" s="277" t="n"/>
      <c r="B580" s="285" t="n"/>
      <c r="C580" s="579" t="n"/>
      <c r="D580" s="580" t="n"/>
      <c r="E580" s="581" t="n"/>
      <c r="F580" s="577" t="n"/>
      <c r="G580" s="582" t="n"/>
      <c r="H580" s="583" t="n"/>
      <c r="I580" s="510" t="n"/>
    </row>
    <row r="581" ht="19.95" customFormat="1" customHeight="1" s="511">
      <c r="A581" s="277" t="n"/>
      <c r="B581" s="285" t="n"/>
      <c r="C581" s="579" t="n"/>
      <c r="D581" s="580" t="n"/>
      <c r="E581" s="581" t="n"/>
      <c r="F581" s="577" t="n"/>
      <c r="G581" s="582" t="n"/>
      <c r="H581" s="583" t="n"/>
      <c r="I581" s="510" t="n"/>
    </row>
    <row r="582" ht="19.95" customFormat="1" customHeight="1" s="511">
      <c r="A582" s="277" t="n"/>
      <c r="B582" s="285" t="n"/>
      <c r="C582" s="579" t="n"/>
      <c r="D582" s="580" t="n"/>
      <c r="E582" s="581" t="n"/>
      <c r="F582" s="577" t="n"/>
      <c r="G582" s="582" t="n"/>
      <c r="H582" s="583" t="n"/>
      <c r="I582" s="510" t="n"/>
    </row>
    <row r="583" ht="19.95" customFormat="1" customHeight="1" s="511">
      <c r="A583" s="277" t="n"/>
      <c r="B583" s="285" t="n"/>
      <c r="C583" s="579" t="n"/>
      <c r="D583" s="580" t="n"/>
      <c r="E583" s="581" t="n"/>
      <c r="F583" s="577" t="n"/>
      <c r="G583" s="582" t="n"/>
      <c r="H583" s="583" t="n"/>
      <c r="I583" s="510" t="n"/>
    </row>
    <row r="584" ht="19.95" customFormat="1" customHeight="1" s="511">
      <c r="A584" s="277" t="n"/>
      <c r="B584" s="285" t="n"/>
      <c r="C584" s="579" t="n"/>
      <c r="D584" s="580" t="n"/>
      <c r="E584" s="581" t="n"/>
      <c r="F584" s="577" t="n"/>
      <c r="G584" s="582" t="n"/>
      <c r="H584" s="583" t="n"/>
      <c r="I584" s="510" t="n"/>
    </row>
    <row r="585" ht="19.95" customFormat="1" customHeight="1" s="511">
      <c r="A585" s="277" t="n"/>
      <c r="B585" s="285" t="n"/>
      <c r="C585" s="579" t="n"/>
      <c r="D585" s="580" t="n"/>
      <c r="E585" s="581" t="n"/>
      <c r="F585" s="577" t="n"/>
      <c r="G585" s="582" t="n"/>
      <c r="H585" s="583" t="n"/>
      <c r="I585" s="510" t="n"/>
    </row>
    <row r="586" ht="19.95" customFormat="1" customHeight="1" s="511">
      <c r="A586" s="277" t="n"/>
      <c r="B586" s="285" t="n"/>
      <c r="C586" s="579" t="n"/>
      <c r="D586" s="580" t="n"/>
      <c r="E586" s="581" t="n"/>
      <c r="F586" s="577" t="n"/>
      <c r="G586" s="582" t="n"/>
      <c r="H586" s="583" t="n"/>
      <c r="I586" s="510" t="n"/>
    </row>
    <row r="587" ht="19.95" customFormat="1" customHeight="1" s="511">
      <c r="A587" s="277" t="n"/>
      <c r="B587" s="285" t="n"/>
      <c r="C587" s="579" t="n"/>
      <c r="D587" s="580" t="n"/>
      <c r="E587" s="581" t="n"/>
      <c r="F587" s="577" t="n"/>
      <c r="G587" s="582" t="n"/>
      <c r="H587" s="583" t="n"/>
      <c r="I587" s="510" t="n"/>
    </row>
    <row r="588" ht="19.95" customFormat="1" customHeight="1" s="511">
      <c r="A588" s="277" t="n"/>
      <c r="B588" s="285" t="n"/>
      <c r="C588" s="579" t="n"/>
      <c r="D588" s="580" t="n"/>
      <c r="E588" s="581" t="n"/>
      <c r="F588" s="577" t="n"/>
      <c r="G588" s="582" t="n"/>
      <c r="H588" s="583" t="n"/>
      <c r="I588" s="510" t="n"/>
    </row>
    <row r="589" ht="19.95" customFormat="1" customHeight="1" s="511">
      <c r="A589" s="277" t="n"/>
      <c r="B589" s="285" t="n"/>
      <c r="C589" s="579" t="n"/>
      <c r="D589" s="580" t="n"/>
      <c r="E589" s="581" t="n"/>
      <c r="F589" s="577" t="n"/>
      <c r="G589" s="582" t="n"/>
      <c r="H589" s="583" t="n"/>
      <c r="I589" s="510" t="n"/>
    </row>
    <row r="590" ht="19.95" customFormat="1" customHeight="1" s="511">
      <c r="A590" s="277" t="n"/>
      <c r="B590" s="285" t="n"/>
      <c r="C590" s="579" t="n"/>
      <c r="D590" s="580" t="n"/>
      <c r="E590" s="581" t="n"/>
      <c r="F590" s="577" t="n"/>
      <c r="G590" s="582" t="n"/>
      <c r="H590" s="583" t="n"/>
      <c r="I590" s="510" t="n"/>
    </row>
    <row r="591" ht="19.95" customFormat="1" customHeight="1" s="511">
      <c r="A591" s="277" t="n"/>
      <c r="B591" s="285" t="n"/>
      <c r="C591" s="579" t="n"/>
      <c r="D591" s="580" t="n"/>
      <c r="E591" s="581" t="n"/>
      <c r="F591" s="577" t="n"/>
      <c r="G591" s="582" t="n"/>
      <c r="H591" s="583" t="n"/>
      <c r="I591" s="510" t="n"/>
    </row>
    <row r="592" ht="19.95" customFormat="1" customHeight="1" s="511">
      <c r="A592" s="277" t="n"/>
      <c r="B592" s="285" t="n"/>
      <c r="C592" s="579" t="n"/>
      <c r="D592" s="580" t="n"/>
      <c r="E592" s="581" t="n"/>
      <c r="F592" s="577" t="n"/>
      <c r="G592" s="582" t="n"/>
      <c r="H592" s="583" t="n"/>
      <c r="I592" s="510" t="n"/>
    </row>
    <row r="593" ht="19.95" customFormat="1" customHeight="1" s="511">
      <c r="A593" s="277" t="n"/>
      <c r="B593" s="285" t="n"/>
      <c r="C593" s="579" t="n"/>
      <c r="D593" s="580" t="n"/>
      <c r="E593" s="581" t="n"/>
      <c r="F593" s="577" t="n"/>
      <c r="G593" s="582" t="n"/>
      <c r="H593" s="583" t="n"/>
      <c r="I593" s="510" t="n"/>
    </row>
    <row r="594" ht="19.95" customFormat="1" customHeight="1" s="511">
      <c r="A594" s="277" t="n"/>
      <c r="B594" s="285" t="n"/>
      <c r="C594" s="579" t="n"/>
      <c r="D594" s="580" t="n"/>
      <c r="E594" s="581" t="n"/>
      <c r="F594" s="577" t="n"/>
      <c r="G594" s="582" t="n"/>
      <c r="H594" s="583" t="n"/>
      <c r="I594" s="510" t="n"/>
    </row>
    <row r="595" ht="19.95" customFormat="1" customHeight="1" s="511">
      <c r="A595" s="277" t="n"/>
      <c r="B595" s="285" t="n"/>
      <c r="C595" s="579" t="n"/>
      <c r="D595" s="580" t="n"/>
      <c r="E595" s="581" t="n"/>
      <c r="F595" s="577" t="n"/>
      <c r="G595" s="582" t="n"/>
      <c r="H595" s="583" t="n"/>
      <c r="I595" s="510" t="n"/>
    </row>
    <row r="596" ht="19.95" customFormat="1" customHeight="1" s="511">
      <c r="A596" s="277" t="n"/>
      <c r="B596" s="285" t="n"/>
      <c r="C596" s="579" t="n"/>
      <c r="D596" s="580" t="n"/>
      <c r="E596" s="581" t="n"/>
      <c r="F596" s="577" t="n"/>
      <c r="G596" s="582" t="n"/>
      <c r="H596" s="583" t="n"/>
      <c r="I596" s="510" t="n"/>
    </row>
    <row r="597" ht="19.95" customFormat="1" customHeight="1" s="511">
      <c r="A597" s="277" t="n"/>
      <c r="B597" s="285" t="n"/>
      <c r="C597" s="579" t="n"/>
      <c r="D597" s="580" t="n"/>
      <c r="E597" s="581" t="n"/>
      <c r="F597" s="577" t="n"/>
      <c r="G597" s="582" t="n"/>
      <c r="H597" s="583" t="n"/>
      <c r="I597" s="510" t="n"/>
    </row>
    <row r="598" ht="19.95" customFormat="1" customHeight="1" s="511">
      <c r="A598" s="277" t="n"/>
      <c r="B598" s="285" t="n"/>
      <c r="C598" s="579" t="n"/>
      <c r="D598" s="580" t="n"/>
      <c r="E598" s="581" t="n"/>
      <c r="F598" s="577" t="n"/>
      <c r="G598" s="582" t="n"/>
      <c r="H598" s="583" t="n"/>
      <c r="I598" s="510" t="n"/>
    </row>
    <row r="599" ht="19.95" customFormat="1" customHeight="1" s="511">
      <c r="A599" s="277" t="n"/>
      <c r="B599" s="285" t="n"/>
      <c r="C599" s="579" t="n"/>
      <c r="D599" s="580" t="n"/>
      <c r="E599" s="581" t="n"/>
      <c r="F599" s="577" t="n"/>
      <c r="G599" s="582" t="n"/>
      <c r="H599" s="583" t="n"/>
      <c r="I599" s="510" t="n"/>
    </row>
    <row r="600" ht="19.95" customFormat="1" customHeight="1" s="511">
      <c r="A600" s="277" t="n"/>
      <c r="B600" s="285" t="n"/>
      <c r="C600" s="579" t="n"/>
      <c r="D600" s="580" t="n"/>
      <c r="E600" s="581" t="n"/>
      <c r="F600" s="577" t="n"/>
      <c r="G600" s="582" t="n"/>
      <c r="H600" s="583" t="n"/>
      <c r="I600" s="510" t="n"/>
    </row>
    <row r="601" ht="19.95" customFormat="1" customHeight="1" s="511">
      <c r="A601" s="277" t="n"/>
      <c r="B601" s="285" t="n"/>
      <c r="C601" s="579" t="n"/>
      <c r="D601" s="580" t="n"/>
      <c r="E601" s="581" t="n"/>
      <c r="F601" s="577" t="n"/>
      <c r="G601" s="582" t="n"/>
      <c r="H601" s="583" t="n"/>
      <c r="I601" s="510" t="n"/>
    </row>
    <row r="602" ht="19.95" customFormat="1" customHeight="1" s="511">
      <c r="A602" s="277" t="n"/>
      <c r="B602" s="285" t="n"/>
      <c r="C602" s="579" t="n"/>
      <c r="D602" s="580" t="n"/>
      <c r="E602" s="581" t="n"/>
      <c r="F602" s="577" t="n"/>
      <c r="G602" s="582" t="n"/>
      <c r="H602" s="583" t="n"/>
      <c r="I602" s="510" t="n"/>
    </row>
    <row r="603" ht="19.95" customFormat="1" customHeight="1" s="511">
      <c r="A603" s="277" t="n"/>
      <c r="B603" s="285" t="n"/>
      <c r="C603" s="579" t="n"/>
      <c r="D603" s="580" t="n"/>
      <c r="E603" s="581" t="n"/>
      <c r="F603" s="577" t="n"/>
      <c r="G603" s="582" t="n"/>
      <c r="H603" s="583" t="n"/>
      <c r="I603" s="510" t="n"/>
    </row>
    <row r="604" ht="19.95" customFormat="1" customHeight="1" s="511">
      <c r="A604" s="277" t="n"/>
      <c r="B604" s="285" t="n"/>
      <c r="C604" s="579" t="n"/>
      <c r="D604" s="580" t="n"/>
      <c r="E604" s="581" t="n"/>
      <c r="F604" s="577" t="n"/>
      <c r="G604" s="582" t="n"/>
      <c r="H604" s="583" t="n"/>
      <c r="I604" s="510" t="n"/>
    </row>
    <row r="605" ht="19.95" customFormat="1" customHeight="1" s="511">
      <c r="A605" s="277" t="n"/>
      <c r="B605" s="285" t="n"/>
      <c r="C605" s="579" t="n"/>
      <c r="D605" s="580" t="n"/>
      <c r="E605" s="581" t="n"/>
      <c r="F605" s="577" t="n"/>
      <c r="G605" s="582" t="n"/>
      <c r="H605" s="583" t="n"/>
      <c r="I605" s="510" t="n"/>
    </row>
    <row r="606" ht="19.95" customFormat="1" customHeight="1" s="511">
      <c r="A606" s="277" t="n"/>
      <c r="B606" s="285" t="n"/>
      <c r="C606" s="579" t="n"/>
      <c r="D606" s="580" t="n"/>
      <c r="E606" s="581" t="n"/>
      <c r="F606" s="577" t="n"/>
      <c r="G606" s="582" t="n"/>
      <c r="H606" s="583" t="n"/>
      <c r="I606" s="510" t="n"/>
    </row>
    <row r="607" ht="19.95" customFormat="1" customHeight="1" s="511">
      <c r="A607" s="277" t="n"/>
      <c r="B607" s="285" t="n"/>
      <c r="C607" s="579" t="n"/>
      <c r="D607" s="580" t="n"/>
      <c r="E607" s="581" t="n"/>
      <c r="F607" s="577" t="n"/>
      <c r="G607" s="582" t="n"/>
      <c r="H607" s="583" t="n"/>
      <c r="I607" s="510" t="n"/>
    </row>
    <row r="608" ht="19.95" customFormat="1" customHeight="1" s="511">
      <c r="A608" s="277" t="n"/>
      <c r="B608" s="285" t="n"/>
      <c r="C608" s="579" t="n"/>
      <c r="D608" s="580" t="n"/>
      <c r="E608" s="581" t="n"/>
      <c r="F608" s="577" t="n"/>
      <c r="G608" s="582" t="n"/>
      <c r="H608" s="583" t="n"/>
      <c r="I608" s="510" t="n"/>
    </row>
    <row r="609" ht="19.95" customFormat="1" customHeight="1" s="511">
      <c r="A609" s="277" t="n"/>
      <c r="B609" s="285" t="n"/>
      <c r="C609" s="579" t="n"/>
      <c r="D609" s="580" t="n"/>
      <c r="E609" s="581" t="n"/>
      <c r="F609" s="577" t="n"/>
      <c r="G609" s="582" t="n"/>
      <c r="H609" s="583" t="n"/>
      <c r="I609" s="510" t="n"/>
    </row>
    <row r="610" ht="19.95" customFormat="1" customHeight="1" s="511">
      <c r="A610" s="277" t="n"/>
      <c r="B610" s="285" t="n"/>
      <c r="C610" s="579" t="n"/>
      <c r="D610" s="580" t="n"/>
      <c r="E610" s="581" t="n"/>
      <c r="F610" s="577" t="n"/>
      <c r="G610" s="582" t="n"/>
      <c r="H610" s="583" t="n"/>
      <c r="I610" s="510" t="n"/>
    </row>
    <row r="611" ht="19.95" customFormat="1" customHeight="1" s="511">
      <c r="A611" s="277" t="n"/>
      <c r="B611" s="285" t="n"/>
      <c r="C611" s="579" t="n"/>
      <c r="D611" s="580" t="n"/>
      <c r="E611" s="581" t="n"/>
      <c r="F611" s="577" t="n"/>
      <c r="G611" s="582" t="n"/>
      <c r="H611" s="583" t="n"/>
      <c r="I611" s="510" t="n"/>
    </row>
    <row r="612" ht="19.95" customFormat="1" customHeight="1" s="511">
      <c r="A612" s="277" t="n"/>
      <c r="B612" s="285" t="n"/>
      <c r="C612" s="579" t="n"/>
      <c r="D612" s="580" t="n"/>
      <c r="E612" s="581" t="n"/>
      <c r="F612" s="577" t="n"/>
      <c r="G612" s="582" t="n"/>
      <c r="H612" s="583" t="n"/>
      <c r="I612" s="510" t="n"/>
    </row>
    <row r="613" ht="19.95" customFormat="1" customHeight="1" s="511">
      <c r="A613" s="277" t="n"/>
      <c r="B613" s="285" t="n"/>
      <c r="C613" s="579" t="n"/>
      <c r="D613" s="580" t="n"/>
      <c r="E613" s="581" t="n"/>
      <c r="F613" s="577" t="n"/>
      <c r="G613" s="582" t="n"/>
      <c r="H613" s="583" t="n"/>
      <c r="I613" s="510" t="n"/>
    </row>
    <row r="614" ht="19.95" customFormat="1" customHeight="1" s="511">
      <c r="A614" s="277" t="n"/>
      <c r="B614" s="285" t="n"/>
      <c r="C614" s="579" t="n"/>
      <c r="D614" s="580" t="n"/>
      <c r="E614" s="581" t="n"/>
      <c r="F614" s="577" t="n"/>
      <c r="G614" s="582" t="n"/>
      <c r="H614" s="583" t="n"/>
      <c r="I614" s="510" t="n"/>
    </row>
    <row r="615" ht="19.95" customFormat="1" customHeight="1" s="511">
      <c r="A615" s="277" t="n"/>
      <c r="B615" s="285" t="n"/>
      <c r="C615" s="579" t="n"/>
      <c r="D615" s="580" t="n"/>
      <c r="E615" s="581" t="n"/>
      <c r="F615" s="577" t="n"/>
      <c r="G615" s="582" t="n"/>
      <c r="H615" s="583" t="n"/>
      <c r="I615" s="510" t="n"/>
    </row>
    <row r="616" ht="19.95" customFormat="1" customHeight="1" s="511">
      <c r="A616" s="277" t="n"/>
      <c r="B616" s="285" t="n"/>
      <c r="C616" s="579" t="n"/>
      <c r="D616" s="580" t="n"/>
      <c r="E616" s="581" t="n"/>
      <c r="F616" s="577" t="n"/>
      <c r="G616" s="582" t="n"/>
      <c r="H616" s="583" t="n"/>
      <c r="I616" s="510" t="n"/>
    </row>
    <row r="617" ht="19.95" customFormat="1" customHeight="1" s="511">
      <c r="A617" s="277" t="n"/>
      <c r="B617" s="285" t="n"/>
      <c r="C617" s="579" t="n"/>
      <c r="D617" s="580" t="n"/>
      <c r="E617" s="581" t="n"/>
      <c r="F617" s="577" t="n"/>
      <c r="G617" s="582" t="n"/>
      <c r="H617" s="583" t="n"/>
      <c r="I617" s="510" t="n"/>
    </row>
    <row r="618" ht="19.95" customFormat="1" customHeight="1" s="511">
      <c r="A618" s="277" t="n"/>
      <c r="B618" s="285" t="n"/>
      <c r="C618" s="579" t="n"/>
      <c r="D618" s="580" t="n"/>
      <c r="E618" s="581" t="n"/>
      <c r="F618" s="577" t="n"/>
      <c r="G618" s="582" t="n"/>
      <c r="H618" s="583" t="n"/>
      <c r="I618" s="510" t="n"/>
    </row>
    <row r="619" ht="19.95" customFormat="1" customHeight="1" s="511">
      <c r="A619" s="277" t="n"/>
      <c r="B619" s="285" t="n"/>
      <c r="C619" s="579" t="n"/>
      <c r="D619" s="580" t="n"/>
      <c r="E619" s="581" t="n"/>
      <c r="F619" s="577" t="n"/>
      <c r="G619" s="582" t="n"/>
      <c r="H619" s="583" t="n"/>
      <c r="I619" s="510" t="n"/>
    </row>
    <row r="620" ht="19.95" customFormat="1" customHeight="1" s="511">
      <c r="A620" s="277" t="n"/>
      <c r="B620" s="285" t="n"/>
      <c r="C620" s="579" t="n"/>
      <c r="D620" s="580" t="n"/>
      <c r="E620" s="581" t="n"/>
      <c r="F620" s="577" t="n"/>
      <c r="G620" s="582" t="n"/>
      <c r="H620" s="583" t="n"/>
      <c r="I620" s="510" t="n"/>
    </row>
    <row r="621" ht="19.95" customFormat="1" customHeight="1" s="511">
      <c r="A621" s="277" t="n"/>
      <c r="B621" s="285" t="n"/>
      <c r="C621" s="579" t="n"/>
      <c r="D621" s="580" t="n"/>
      <c r="E621" s="581" t="n"/>
      <c r="F621" s="577" t="n"/>
      <c r="G621" s="582" t="n"/>
      <c r="H621" s="583" t="n"/>
      <c r="I621" s="510" t="n"/>
    </row>
    <row r="622" ht="19.95" customFormat="1" customHeight="1" s="511">
      <c r="A622" s="277" t="n"/>
      <c r="B622" s="285" t="n"/>
      <c r="C622" s="579" t="n"/>
      <c r="D622" s="580" t="n"/>
      <c r="E622" s="581" t="n"/>
      <c r="F622" s="577" t="n"/>
      <c r="G622" s="582" t="n"/>
      <c r="H622" s="583" t="n"/>
      <c r="I622" s="510" t="n"/>
    </row>
    <row r="623" ht="19.95" customFormat="1" customHeight="1" s="511">
      <c r="A623" s="277" t="n"/>
      <c r="B623" s="285" t="n"/>
      <c r="C623" s="579" t="n"/>
      <c r="D623" s="580" t="n"/>
      <c r="E623" s="581" t="n"/>
      <c r="F623" s="577" t="n"/>
      <c r="G623" s="582" t="n"/>
      <c r="H623" s="583" t="n"/>
      <c r="I623" s="510" t="n"/>
    </row>
    <row r="624" ht="19.95" customFormat="1" customHeight="1" s="511">
      <c r="A624" s="277" t="n"/>
      <c r="B624" s="285" t="n"/>
      <c r="C624" s="579" t="n"/>
      <c r="D624" s="580" t="n"/>
      <c r="E624" s="581" t="n"/>
      <c r="F624" s="577" t="n"/>
      <c r="G624" s="582" t="n"/>
      <c r="H624" s="583" t="n"/>
      <c r="I624" s="510" t="n"/>
    </row>
    <row r="625" ht="19.95" customFormat="1" customHeight="1" s="511">
      <c r="A625" s="277" t="n"/>
      <c r="B625" s="285" t="n"/>
      <c r="C625" s="579" t="n"/>
      <c r="D625" s="580" t="n"/>
      <c r="E625" s="581" t="n"/>
      <c r="F625" s="577" t="n"/>
      <c r="G625" s="582" t="n"/>
      <c r="H625" s="583" t="n"/>
      <c r="I625" s="510" t="n"/>
    </row>
    <row r="626" ht="19.95" customFormat="1" customHeight="1" s="511">
      <c r="A626" s="277" t="n"/>
      <c r="B626" s="285" t="n"/>
      <c r="C626" s="579" t="n"/>
      <c r="D626" s="580" t="n"/>
      <c r="E626" s="581" t="n"/>
      <c r="F626" s="577" t="n"/>
      <c r="G626" s="582" t="n"/>
      <c r="H626" s="583" t="n"/>
      <c r="I626" s="510" t="n"/>
    </row>
    <row r="627" ht="19.95" customFormat="1" customHeight="1" s="511">
      <c r="A627" s="277" t="n"/>
      <c r="B627" s="285" t="n"/>
      <c r="C627" s="579" t="n"/>
      <c r="D627" s="580" t="n"/>
      <c r="E627" s="581" t="n"/>
      <c r="F627" s="577" t="n"/>
      <c r="G627" s="582" t="n"/>
      <c r="H627" s="583" t="n"/>
      <c r="I627" s="510" t="n"/>
    </row>
    <row r="628" ht="19.95" customFormat="1" customHeight="1" s="511">
      <c r="A628" s="277" t="n"/>
      <c r="B628" s="285" t="n"/>
      <c r="C628" s="579" t="n"/>
      <c r="D628" s="580" t="n"/>
      <c r="E628" s="581" t="n"/>
      <c r="F628" s="577" t="n"/>
      <c r="G628" s="582" t="n"/>
      <c r="H628" s="583" t="n"/>
      <c r="I628" s="510" t="n"/>
    </row>
    <row r="629" ht="19.95" customFormat="1" customHeight="1" s="511">
      <c r="A629" s="277" t="n"/>
      <c r="B629" s="285" t="n"/>
      <c r="C629" s="579" t="n"/>
      <c r="D629" s="580" t="n"/>
      <c r="E629" s="581" t="n"/>
      <c r="F629" s="577" t="n"/>
      <c r="G629" s="582" t="n"/>
      <c r="H629" s="583" t="n"/>
      <c r="I629" s="510" t="n"/>
    </row>
    <row r="630" ht="19.95" customFormat="1" customHeight="1" s="511">
      <c r="A630" s="277" t="n"/>
      <c r="B630" s="285" t="n"/>
      <c r="C630" s="579" t="n"/>
      <c r="D630" s="580" t="n"/>
      <c r="E630" s="581" t="n"/>
      <c r="F630" s="577" t="n"/>
      <c r="G630" s="582" t="n"/>
      <c r="H630" s="583" t="n"/>
      <c r="I630" s="510" t="n"/>
    </row>
    <row r="631" ht="19.95" customFormat="1" customHeight="1" s="511">
      <c r="A631" s="277" t="n"/>
      <c r="B631" s="285" t="n"/>
      <c r="C631" s="579" t="n"/>
      <c r="D631" s="580" t="n"/>
      <c r="E631" s="581" t="n"/>
      <c r="F631" s="577" t="n"/>
      <c r="G631" s="582" t="n"/>
      <c r="H631" s="583" t="n"/>
      <c r="I631" s="510" t="n"/>
    </row>
    <row r="632" ht="19.95" customFormat="1" customHeight="1" s="511">
      <c r="A632" s="277" t="n"/>
      <c r="B632" s="285" t="n"/>
      <c r="C632" s="579" t="n"/>
      <c r="D632" s="580" t="n"/>
      <c r="E632" s="581" t="n"/>
      <c r="F632" s="577" t="n"/>
      <c r="G632" s="582" t="n"/>
      <c r="H632" s="583" t="n"/>
      <c r="I632" s="510" t="n"/>
    </row>
    <row r="633" ht="19.95" customFormat="1" customHeight="1" s="511">
      <c r="A633" s="277" t="n"/>
      <c r="B633" s="285" t="n"/>
      <c r="C633" s="579" t="n"/>
      <c r="D633" s="580" t="n"/>
      <c r="E633" s="581" t="n"/>
      <c r="F633" s="577" t="n"/>
      <c r="G633" s="582" t="n"/>
      <c r="H633" s="583" t="n"/>
      <c r="I633" s="510" t="n"/>
    </row>
    <row r="634" ht="19.95" customFormat="1" customHeight="1" s="511">
      <c r="A634" s="277" t="n"/>
      <c r="B634" s="285" t="n"/>
      <c r="C634" s="579" t="n"/>
      <c r="D634" s="580" t="n"/>
      <c r="E634" s="581" t="n"/>
      <c r="F634" s="577" t="n"/>
      <c r="G634" s="582" t="n"/>
      <c r="H634" s="583" t="n"/>
      <c r="I634" s="510" t="n"/>
    </row>
    <row r="635" ht="19.95" customFormat="1" customHeight="1" s="511">
      <c r="A635" s="277" t="n"/>
      <c r="B635" s="285" t="n"/>
      <c r="C635" s="579" t="n"/>
      <c r="D635" s="580" t="n"/>
      <c r="E635" s="581" t="n"/>
      <c r="F635" s="577" t="n"/>
      <c r="G635" s="582" t="n"/>
      <c r="H635" s="583" t="n"/>
      <c r="I635" s="510" t="n"/>
    </row>
    <row r="636" ht="19.95" customFormat="1" customHeight="1" s="511">
      <c r="A636" s="277" t="n"/>
      <c r="B636" s="285" t="n"/>
      <c r="C636" s="579" t="n"/>
      <c r="D636" s="580" t="n"/>
      <c r="E636" s="581" t="n"/>
      <c r="F636" s="577" t="n"/>
      <c r="G636" s="582" t="n"/>
      <c r="H636" s="583" t="n"/>
      <c r="I636" s="510" t="n"/>
    </row>
    <row r="637" ht="19.95" customFormat="1" customHeight="1" s="511">
      <c r="A637" s="277" t="n"/>
      <c r="B637" s="285" t="n"/>
      <c r="C637" s="579" t="n"/>
      <c r="D637" s="580" t="n"/>
      <c r="E637" s="581" t="n"/>
      <c r="F637" s="577" t="n"/>
      <c r="G637" s="582" t="n"/>
      <c r="H637" s="583" t="n"/>
      <c r="I637" s="510" t="n"/>
    </row>
    <row r="638" ht="19.95" customFormat="1" customHeight="1" s="511">
      <c r="A638" s="277" t="n"/>
      <c r="B638" s="285" t="n"/>
      <c r="C638" s="579" t="n"/>
      <c r="D638" s="580" t="n"/>
      <c r="E638" s="581" t="n"/>
      <c r="F638" s="577" t="n"/>
      <c r="G638" s="582" t="n"/>
      <c r="H638" s="583" t="n"/>
      <c r="I638" s="510" t="n"/>
    </row>
    <row r="639" ht="19.95" customFormat="1" customHeight="1" s="511">
      <c r="A639" s="277" t="n"/>
      <c r="B639" s="285" t="n"/>
      <c r="C639" s="579" t="n"/>
      <c r="D639" s="580" t="n"/>
      <c r="E639" s="581" t="n"/>
      <c r="F639" s="577" t="n"/>
      <c r="G639" s="582" t="n"/>
      <c r="H639" s="583" t="n"/>
      <c r="I639" s="510" t="n"/>
    </row>
    <row r="640" ht="19.95" customFormat="1" customHeight="1" s="511">
      <c r="A640" s="277" t="n"/>
      <c r="B640" s="285" t="n"/>
      <c r="C640" s="579" t="n"/>
      <c r="D640" s="580" t="n"/>
      <c r="E640" s="581" t="n"/>
      <c r="F640" s="577" t="n"/>
      <c r="G640" s="582" t="n"/>
      <c r="H640" s="583" t="n"/>
      <c r="I640" s="510" t="n"/>
    </row>
    <row r="641" ht="19.95" customFormat="1" customHeight="1" s="511">
      <c r="A641" s="277" t="n"/>
      <c r="B641" s="285" t="n"/>
      <c r="C641" s="579" t="n"/>
      <c r="D641" s="580" t="n"/>
      <c r="E641" s="581" t="n"/>
      <c r="F641" s="577" t="n"/>
      <c r="G641" s="582" t="n"/>
      <c r="H641" s="583" t="n"/>
      <c r="I641" s="510" t="n"/>
    </row>
    <row r="642" ht="19.95" customFormat="1" customHeight="1" s="511">
      <c r="A642" s="277" t="n"/>
      <c r="B642" s="285" t="n"/>
      <c r="C642" s="579" t="n"/>
      <c r="D642" s="580" t="n"/>
      <c r="E642" s="581" t="n"/>
      <c r="F642" s="577" t="n"/>
      <c r="G642" s="582" t="n"/>
      <c r="H642" s="583" t="n"/>
      <c r="I642" s="510" t="n"/>
    </row>
    <row r="643" ht="19.95" customFormat="1" customHeight="1" s="511">
      <c r="A643" s="277" t="n"/>
      <c r="B643" s="285" t="n"/>
      <c r="C643" s="579" t="n"/>
      <c r="D643" s="580" t="n"/>
      <c r="E643" s="581" t="n"/>
      <c r="F643" s="577" t="n"/>
      <c r="G643" s="582" t="n"/>
      <c r="H643" s="583" t="n"/>
      <c r="I643" s="510" t="n"/>
    </row>
    <row r="644" ht="19.95" customFormat="1" customHeight="1" s="511">
      <c r="A644" s="277" t="n"/>
      <c r="B644" s="285" t="n"/>
      <c r="C644" s="579" t="n"/>
      <c r="D644" s="580" t="n"/>
      <c r="E644" s="581" t="n"/>
      <c r="F644" s="577" t="n"/>
      <c r="G644" s="582" t="n"/>
      <c r="H644" s="583" t="n"/>
      <c r="I644" s="510" t="n"/>
    </row>
    <row r="645" ht="19.95" customFormat="1" customHeight="1" s="511">
      <c r="A645" s="277" t="n"/>
      <c r="B645" s="285" t="n"/>
      <c r="C645" s="579" t="n"/>
      <c r="D645" s="580" t="n"/>
      <c r="E645" s="581" t="n"/>
      <c r="F645" s="577" t="n"/>
      <c r="G645" s="582" t="n"/>
      <c r="H645" s="583" t="n"/>
      <c r="I645" s="510" t="n"/>
    </row>
    <row r="646" ht="19.95" customFormat="1" customHeight="1" s="511">
      <c r="A646" s="277" t="n"/>
      <c r="B646" s="285" t="n"/>
      <c r="C646" s="579" t="n"/>
      <c r="D646" s="580" t="n"/>
      <c r="E646" s="581" t="n"/>
      <c r="F646" s="577" t="n"/>
      <c r="G646" s="582" t="n"/>
      <c r="H646" s="583" t="n"/>
      <c r="I646" s="510" t="n"/>
    </row>
    <row r="647" ht="19.95" customFormat="1" customHeight="1" s="511">
      <c r="A647" s="277" t="n"/>
      <c r="B647" s="285" t="n"/>
      <c r="C647" s="579" t="n"/>
      <c r="D647" s="580" t="n"/>
      <c r="E647" s="581" t="n"/>
      <c r="F647" s="577" t="n"/>
      <c r="G647" s="582" t="n"/>
      <c r="H647" s="583" t="n"/>
      <c r="I647" s="510" t="n"/>
    </row>
    <row r="648" ht="19.95" customFormat="1" customHeight="1" s="511">
      <c r="A648" s="277" t="n"/>
      <c r="B648" s="285" t="n"/>
      <c r="C648" s="579" t="n"/>
      <c r="D648" s="580" t="n"/>
      <c r="E648" s="581" t="n"/>
      <c r="F648" s="577" t="n"/>
      <c r="G648" s="582" t="n"/>
      <c r="H648" s="583" t="n"/>
      <c r="I648" s="510" t="n"/>
    </row>
    <row r="649" ht="19.95" customFormat="1" customHeight="1" s="511">
      <c r="A649" s="277" t="n"/>
      <c r="B649" s="285" t="n"/>
      <c r="C649" s="579" t="n"/>
      <c r="D649" s="580" t="n"/>
      <c r="E649" s="581" t="n"/>
      <c r="F649" s="577" t="n"/>
      <c r="G649" s="582" t="n"/>
      <c r="H649" s="583" t="n"/>
      <c r="I649" s="510" t="n"/>
    </row>
    <row r="650" ht="19.95" customFormat="1" customHeight="1" s="511">
      <c r="A650" s="277" t="n"/>
      <c r="B650" s="285" t="n"/>
      <c r="C650" s="579" t="n"/>
      <c r="D650" s="580" t="n"/>
      <c r="E650" s="581" t="n"/>
      <c r="F650" s="577" t="n"/>
      <c r="G650" s="582" t="n"/>
      <c r="H650" s="583" t="n"/>
      <c r="I650" s="510" t="n"/>
    </row>
    <row r="651" ht="19.95" customFormat="1" customHeight="1" s="511">
      <c r="A651" s="277" t="n"/>
      <c r="B651" s="285" t="n"/>
      <c r="C651" s="579" t="n"/>
      <c r="D651" s="580" t="n"/>
      <c r="E651" s="581" t="n"/>
      <c r="F651" s="577" t="n"/>
      <c r="G651" s="582" t="n"/>
      <c r="H651" s="583" t="n"/>
      <c r="I651" s="510" t="n"/>
    </row>
    <row r="652" ht="19.95" customFormat="1" customHeight="1" s="511">
      <c r="A652" s="277" t="n"/>
      <c r="B652" s="285" t="n"/>
      <c r="C652" s="579" t="n"/>
      <c r="D652" s="580" t="n"/>
      <c r="E652" s="581" t="n"/>
      <c r="F652" s="577" t="n"/>
      <c r="G652" s="582" t="n"/>
      <c r="H652" s="583" t="n"/>
      <c r="I652" s="510" t="n"/>
    </row>
    <row r="653" ht="19.95" customFormat="1" customHeight="1" s="511">
      <c r="A653" s="277" t="n"/>
      <c r="B653" s="285" t="n"/>
      <c r="C653" s="579" t="n"/>
      <c r="D653" s="580" t="n"/>
      <c r="E653" s="581" t="n"/>
      <c r="F653" s="577" t="n"/>
      <c r="G653" s="582" t="n"/>
      <c r="H653" s="583" t="n"/>
      <c r="I653" s="510" t="n"/>
    </row>
    <row r="654" ht="19.95" customFormat="1" customHeight="1" s="511">
      <c r="A654" s="277" t="n"/>
      <c r="B654" s="285" t="n"/>
      <c r="C654" s="579" t="n"/>
      <c r="D654" s="580" t="n"/>
      <c r="E654" s="581" t="n"/>
      <c r="F654" s="577" t="n"/>
      <c r="G654" s="582" t="n"/>
      <c r="H654" s="583" t="n"/>
      <c r="I654" s="510" t="n"/>
    </row>
    <row r="655" ht="19.95" customFormat="1" customHeight="1" s="511">
      <c r="A655" s="277" t="n"/>
      <c r="B655" s="285" t="n"/>
      <c r="C655" s="579" t="n"/>
      <c r="D655" s="580" t="n"/>
      <c r="E655" s="581" t="n"/>
      <c r="F655" s="577" t="n"/>
      <c r="G655" s="582" t="n"/>
      <c r="H655" s="583" t="n"/>
      <c r="I655" s="510" t="n"/>
    </row>
    <row r="656" ht="19.95" customFormat="1" customHeight="1" s="511">
      <c r="A656" s="277" t="n"/>
      <c r="B656" s="285" t="n"/>
      <c r="C656" s="579" t="n"/>
      <c r="D656" s="580" t="n"/>
      <c r="E656" s="581" t="n"/>
      <c r="F656" s="577" t="n"/>
      <c r="G656" s="582" t="n"/>
      <c r="H656" s="583" t="n"/>
      <c r="I656" s="510" t="n"/>
    </row>
    <row r="657" ht="19.95" customFormat="1" customHeight="1" s="511">
      <c r="A657" s="277" t="n"/>
      <c r="B657" s="285" t="n"/>
      <c r="C657" s="579" t="n"/>
      <c r="D657" s="580" t="n"/>
      <c r="E657" s="581" t="n"/>
      <c r="F657" s="577" t="n"/>
      <c r="G657" s="582" t="n"/>
      <c r="H657" s="583" t="n"/>
      <c r="I657" s="510" t="n"/>
    </row>
    <row r="658" ht="19.95" customFormat="1" customHeight="1" s="511">
      <c r="A658" s="277" t="n"/>
      <c r="B658" s="285" t="n"/>
      <c r="C658" s="579" t="n"/>
      <c r="D658" s="580" t="n"/>
      <c r="E658" s="581" t="n"/>
      <c r="F658" s="577" t="n"/>
      <c r="G658" s="582" t="n"/>
      <c r="H658" s="583" t="n"/>
      <c r="I658" s="510" t="n"/>
    </row>
    <row r="659" ht="19.95" customFormat="1" customHeight="1" s="511">
      <c r="A659" s="277" t="n"/>
      <c r="B659" s="285" t="n"/>
      <c r="C659" s="579" t="n"/>
      <c r="D659" s="580" t="n"/>
      <c r="E659" s="581" t="n"/>
      <c r="F659" s="577" t="n"/>
      <c r="G659" s="582" t="n"/>
      <c r="H659" s="583" t="n"/>
      <c r="I659" s="510" t="n"/>
    </row>
    <row r="660" ht="19.95" customFormat="1" customHeight="1" s="511">
      <c r="A660" s="277" t="n"/>
      <c r="B660" s="285" t="n"/>
      <c r="C660" s="579" t="n"/>
      <c r="D660" s="580" t="n"/>
      <c r="E660" s="581" t="n"/>
      <c r="F660" s="577" t="n"/>
      <c r="G660" s="582" t="n"/>
      <c r="H660" s="583" t="n"/>
      <c r="I660" s="510" t="n"/>
    </row>
    <row r="661" ht="19.95" customFormat="1" customHeight="1" s="511">
      <c r="A661" s="277" t="n"/>
      <c r="B661" s="285" t="n"/>
      <c r="C661" s="579" t="n"/>
      <c r="D661" s="580" t="n"/>
      <c r="E661" s="581" t="n"/>
      <c r="F661" s="577" t="n"/>
      <c r="G661" s="582" t="n"/>
      <c r="H661" s="583" t="n"/>
      <c r="I661" s="510" t="n"/>
    </row>
    <row r="662" ht="19.95" customFormat="1" customHeight="1" s="511">
      <c r="A662" s="277" t="n"/>
      <c r="B662" s="285" t="n"/>
      <c r="C662" s="579" t="n"/>
      <c r="D662" s="580" t="n"/>
      <c r="E662" s="581" t="n"/>
      <c r="F662" s="577" t="n"/>
      <c r="G662" s="582" t="n"/>
      <c r="H662" s="583" t="n"/>
      <c r="I662" s="510" t="n"/>
    </row>
    <row r="663" ht="19.95" customFormat="1" customHeight="1" s="511">
      <c r="A663" s="277" t="n"/>
      <c r="B663" s="285" t="n"/>
      <c r="C663" s="579" t="n"/>
      <c r="D663" s="580" t="n"/>
      <c r="E663" s="581" t="n"/>
      <c r="F663" s="577" t="n"/>
      <c r="G663" s="582" t="n"/>
      <c r="H663" s="583" t="n"/>
      <c r="I663" s="510" t="n"/>
    </row>
    <row r="664" ht="19.95" customFormat="1" customHeight="1" s="511">
      <c r="A664" s="277" t="n"/>
      <c r="B664" s="285" t="n"/>
      <c r="C664" s="579" t="n"/>
      <c r="D664" s="580" t="n"/>
      <c r="E664" s="581" t="n"/>
      <c r="F664" s="577" t="n"/>
      <c r="G664" s="582" t="n"/>
      <c r="H664" s="583" t="n"/>
      <c r="I664" s="510" t="n"/>
    </row>
    <row r="665" ht="19.95" customFormat="1" customHeight="1" s="511">
      <c r="A665" s="277" t="n"/>
      <c r="B665" s="285" t="n"/>
      <c r="C665" s="579" t="n"/>
      <c r="D665" s="580" t="n"/>
      <c r="E665" s="581" t="n"/>
      <c r="F665" s="577" t="n"/>
      <c r="G665" s="582" t="n"/>
      <c r="H665" s="583" t="n"/>
      <c r="I665" s="510" t="n"/>
    </row>
    <row r="666" ht="19.95" customFormat="1" customHeight="1" s="511">
      <c r="A666" s="277" t="n"/>
      <c r="B666" s="285" t="n"/>
      <c r="C666" s="579" t="n"/>
      <c r="D666" s="580" t="n"/>
      <c r="E666" s="581" t="n"/>
      <c r="F666" s="577" t="n"/>
      <c r="G666" s="582" t="n"/>
      <c r="H666" s="583" t="n"/>
      <c r="I666" s="510" t="n"/>
    </row>
    <row r="667" ht="19.95" customFormat="1" customHeight="1" s="511">
      <c r="A667" s="277" t="n"/>
      <c r="B667" s="285" t="n"/>
      <c r="C667" s="579" t="n"/>
      <c r="D667" s="580" t="n"/>
      <c r="E667" s="581" t="n"/>
      <c r="F667" s="577" t="n"/>
      <c r="G667" s="582" t="n"/>
      <c r="H667" s="583" t="n"/>
      <c r="I667" s="510" t="n"/>
    </row>
    <row r="668" ht="19.95" customFormat="1" customHeight="1" s="511">
      <c r="A668" s="277" t="n"/>
      <c r="B668" s="285" t="n"/>
      <c r="C668" s="579" t="n"/>
      <c r="D668" s="580" t="n"/>
      <c r="E668" s="581" t="n"/>
      <c r="F668" s="577" t="n"/>
      <c r="G668" s="582" t="n"/>
      <c r="H668" s="583" t="n"/>
      <c r="I668" s="510" t="n"/>
    </row>
    <row r="669" ht="19.95" customFormat="1" customHeight="1" s="511">
      <c r="A669" s="277" t="n"/>
      <c r="B669" s="285" t="n"/>
      <c r="C669" s="579" t="n"/>
      <c r="D669" s="580" t="n"/>
      <c r="E669" s="581" t="n"/>
      <c r="F669" s="577" t="n"/>
      <c r="G669" s="582" t="n"/>
      <c r="H669" s="583" t="n"/>
      <c r="I669" s="510" t="n"/>
    </row>
    <row r="670" ht="19.95" customFormat="1" customHeight="1" s="511">
      <c r="A670" s="277" t="n"/>
      <c r="B670" s="285" t="n"/>
      <c r="C670" s="579" t="n"/>
      <c r="D670" s="580" t="n"/>
      <c r="E670" s="581" t="n"/>
      <c r="F670" s="577" t="n"/>
      <c r="G670" s="582" t="n"/>
      <c r="H670" s="583" t="n"/>
      <c r="I670" s="510" t="n"/>
    </row>
    <row r="671" ht="19.95" customFormat="1" customHeight="1" s="511">
      <c r="A671" s="277" t="n"/>
      <c r="B671" s="285" t="n"/>
      <c r="C671" s="579" t="n"/>
      <c r="D671" s="580" t="n"/>
      <c r="E671" s="581" t="n"/>
      <c r="F671" s="577" t="n"/>
      <c r="G671" s="582" t="n"/>
      <c r="H671" s="583" t="n"/>
      <c r="I671" s="510" t="n"/>
    </row>
    <row r="672" ht="19.95" customFormat="1" customHeight="1" s="511">
      <c r="A672" s="277" t="n"/>
      <c r="B672" s="285" t="n"/>
      <c r="C672" s="579" t="n"/>
      <c r="D672" s="580" t="n"/>
      <c r="E672" s="581" t="n"/>
      <c r="F672" s="577" t="n"/>
      <c r="G672" s="582" t="n"/>
      <c r="H672" s="583" t="n"/>
      <c r="I672" s="510" t="n"/>
    </row>
    <row r="673" ht="19.95" customFormat="1" customHeight="1" s="511">
      <c r="A673" s="277" t="n"/>
      <c r="B673" s="285" t="n"/>
      <c r="C673" s="579" t="n"/>
      <c r="D673" s="580" t="n"/>
      <c r="E673" s="581" t="n"/>
      <c r="F673" s="577" t="n"/>
      <c r="G673" s="582" t="n"/>
      <c r="H673" s="583" t="n"/>
      <c r="I673" s="510" t="n"/>
    </row>
    <row r="674" ht="19.95" customFormat="1" customHeight="1" s="511">
      <c r="A674" s="277" t="n"/>
      <c r="B674" s="285" t="n"/>
      <c r="C674" s="579" t="n"/>
      <c r="D674" s="580" t="n"/>
      <c r="E674" s="581" t="n"/>
      <c r="F674" s="577" t="n"/>
      <c r="G674" s="582" t="n"/>
      <c r="H674" s="583" t="n"/>
      <c r="I674" s="510" t="n"/>
    </row>
    <row r="675" ht="19.95" customFormat="1" customHeight="1" s="511">
      <c r="A675" s="277" t="n"/>
      <c r="B675" s="285" t="n"/>
      <c r="C675" s="579" t="n"/>
      <c r="D675" s="580" t="n"/>
      <c r="E675" s="581" t="n"/>
      <c r="F675" s="577" t="n"/>
      <c r="G675" s="582" t="n"/>
      <c r="H675" s="583" t="n"/>
      <c r="I675" s="510" t="n"/>
    </row>
    <row r="676" ht="19.95" customFormat="1" customHeight="1" s="511">
      <c r="A676" s="277" t="n"/>
      <c r="B676" s="285" t="n"/>
      <c r="C676" s="579" t="n"/>
      <c r="D676" s="580" t="n"/>
      <c r="E676" s="581" t="n"/>
      <c r="F676" s="577" t="n"/>
      <c r="G676" s="582" t="n"/>
      <c r="H676" s="583" t="n"/>
      <c r="I676" s="510" t="n"/>
    </row>
    <row r="677" ht="19.95" customFormat="1" customHeight="1" s="511">
      <c r="A677" s="277" t="n"/>
      <c r="B677" s="285" t="n"/>
      <c r="C677" s="579" t="n"/>
      <c r="D677" s="580" t="n"/>
      <c r="E677" s="581" t="n"/>
      <c r="F677" s="577" t="n"/>
      <c r="G677" s="582" t="n"/>
      <c r="H677" s="583" t="n"/>
      <c r="I677" s="510" t="n"/>
    </row>
    <row r="678" ht="19.95" customFormat="1" customHeight="1" s="511">
      <c r="A678" s="277" t="n"/>
      <c r="B678" s="285" t="n"/>
      <c r="C678" s="579" t="n"/>
      <c r="D678" s="580" t="n"/>
      <c r="E678" s="581" t="n"/>
      <c r="F678" s="577" t="n"/>
      <c r="G678" s="582" t="n"/>
      <c r="H678" s="583" t="n"/>
      <c r="I678" s="510" t="n"/>
    </row>
    <row r="679" ht="19.95" customFormat="1" customHeight="1" s="511">
      <c r="A679" s="277" t="n"/>
      <c r="B679" s="285" t="n"/>
      <c r="C679" s="579" t="n"/>
      <c r="D679" s="580" t="n"/>
      <c r="E679" s="581" t="n"/>
      <c r="F679" s="577" t="n"/>
      <c r="G679" s="582" t="n"/>
      <c r="H679" s="583" t="n"/>
      <c r="I679" s="510" t="n"/>
    </row>
    <row r="680" ht="19.95" customFormat="1" customHeight="1" s="511">
      <c r="A680" s="277" t="n"/>
      <c r="B680" s="285" t="n"/>
      <c r="C680" s="579" t="n"/>
      <c r="D680" s="580" t="n"/>
      <c r="E680" s="581" t="n"/>
      <c r="F680" s="577" t="n"/>
      <c r="G680" s="582" t="n"/>
      <c r="H680" s="583" t="n"/>
      <c r="I680" s="510" t="n"/>
    </row>
    <row r="681" ht="19.95" customFormat="1" customHeight="1" s="511">
      <c r="A681" s="277" t="n"/>
      <c r="B681" s="285" t="n"/>
      <c r="C681" s="579" t="n"/>
      <c r="D681" s="580" t="n"/>
      <c r="E681" s="581" t="n"/>
      <c r="F681" s="577" t="n"/>
      <c r="G681" s="582" t="n"/>
      <c r="H681" s="583" t="n"/>
      <c r="I681" s="510" t="n"/>
    </row>
    <row r="682" ht="19.95" customFormat="1" customHeight="1" s="511">
      <c r="A682" s="277" t="n"/>
      <c r="B682" s="285" t="n"/>
      <c r="C682" s="579" t="n"/>
      <c r="D682" s="580" t="n"/>
      <c r="E682" s="581" t="n"/>
      <c r="F682" s="577" t="n"/>
      <c r="G682" s="582" t="n"/>
      <c r="H682" s="583" t="n"/>
      <c r="I682" s="510" t="n"/>
    </row>
    <row r="683" ht="19.95" customFormat="1" customHeight="1" s="511">
      <c r="A683" s="277" t="n"/>
      <c r="B683" s="285" t="n"/>
      <c r="C683" s="579" t="n"/>
      <c r="D683" s="580" t="n"/>
      <c r="E683" s="581" t="n"/>
      <c r="F683" s="577" t="n"/>
      <c r="G683" s="582" t="n"/>
      <c r="H683" s="583" t="n"/>
      <c r="I683" s="510" t="n"/>
    </row>
    <row r="684" ht="19.95" customFormat="1" customHeight="1" s="511">
      <c r="A684" s="277" t="n"/>
      <c r="B684" s="285" t="n"/>
      <c r="C684" s="579" t="n"/>
      <c r="D684" s="580" t="n"/>
      <c r="E684" s="581" t="n"/>
      <c r="F684" s="577" t="n"/>
      <c r="G684" s="582" t="n"/>
      <c r="H684" s="583" t="n"/>
      <c r="I684" s="510" t="n"/>
    </row>
    <row r="685" ht="19.95" customFormat="1" customHeight="1" s="511">
      <c r="A685" s="277" t="n"/>
      <c r="B685" s="285" t="n"/>
      <c r="C685" s="579" t="n"/>
      <c r="D685" s="580" t="n"/>
      <c r="E685" s="581" t="n"/>
      <c r="F685" s="577" t="n"/>
      <c r="G685" s="582" t="n"/>
      <c r="H685" s="583" t="n"/>
      <c r="I685" s="510" t="n"/>
    </row>
    <row r="686" ht="19.95" customFormat="1" customHeight="1" s="511">
      <c r="A686" s="277" t="n"/>
      <c r="B686" s="285" t="n"/>
      <c r="C686" s="579" t="n"/>
      <c r="D686" s="580" t="n"/>
      <c r="E686" s="581" t="n"/>
      <c r="F686" s="577" t="n"/>
      <c r="G686" s="582" t="n"/>
      <c r="H686" s="583" t="n"/>
      <c r="I686" s="510" t="n"/>
    </row>
    <row r="687" ht="19.95" customFormat="1" customHeight="1" s="511">
      <c r="A687" s="277" t="n"/>
      <c r="B687" s="285" t="n"/>
      <c r="C687" s="579" t="n"/>
      <c r="D687" s="580" t="n"/>
      <c r="E687" s="581" t="n"/>
      <c r="F687" s="577" t="n"/>
      <c r="G687" s="582" t="n"/>
      <c r="H687" s="583" t="n"/>
      <c r="I687" s="510" t="n"/>
    </row>
    <row r="688" ht="19.95" customFormat="1" customHeight="1" s="511">
      <c r="A688" s="277" t="n"/>
      <c r="B688" s="285" t="n"/>
      <c r="C688" s="579" t="n"/>
      <c r="D688" s="580" t="n"/>
      <c r="E688" s="581" t="n"/>
      <c r="F688" s="577" t="n"/>
      <c r="G688" s="582" t="n"/>
      <c r="H688" s="583" t="n"/>
      <c r="I688" s="510" t="n"/>
    </row>
    <row r="689" ht="19.95" customFormat="1" customHeight="1" s="511">
      <c r="A689" s="277" t="n"/>
      <c r="B689" s="285" t="n"/>
      <c r="C689" s="579" t="n"/>
      <c r="D689" s="580" t="n"/>
      <c r="E689" s="581" t="n"/>
      <c r="F689" s="577" t="n"/>
      <c r="G689" s="582" t="n"/>
      <c r="H689" s="583" t="n"/>
      <c r="I689" s="510" t="n"/>
    </row>
    <row r="690" ht="19.95" customFormat="1" customHeight="1" s="511">
      <c r="A690" s="277" t="n"/>
      <c r="B690" s="285" t="n"/>
      <c r="C690" s="579" t="n"/>
      <c r="D690" s="580" t="n"/>
      <c r="E690" s="581" t="n"/>
      <c r="F690" s="577" t="n"/>
      <c r="G690" s="582" t="n"/>
      <c r="H690" s="583" t="n"/>
      <c r="I690" s="510" t="n"/>
    </row>
    <row r="691" ht="19.95" customFormat="1" customHeight="1" s="511">
      <c r="A691" s="277" t="n"/>
      <c r="B691" s="285" t="n"/>
      <c r="C691" s="579" t="n"/>
      <c r="D691" s="580" t="n"/>
      <c r="E691" s="581" t="n"/>
      <c r="F691" s="577" t="n"/>
      <c r="G691" s="582" t="n"/>
      <c r="H691" s="583" t="n"/>
      <c r="I691" s="510" t="n"/>
    </row>
    <row r="692" ht="19.95" customFormat="1" customHeight="1" s="511">
      <c r="A692" s="277" t="n"/>
      <c r="B692" s="285" t="n"/>
      <c r="C692" s="579" t="n"/>
      <c r="D692" s="580" t="n"/>
      <c r="E692" s="581" t="n"/>
      <c r="F692" s="577" t="n"/>
      <c r="G692" s="582" t="n"/>
      <c r="H692" s="583" t="n"/>
      <c r="I692" s="510" t="n"/>
    </row>
    <row r="693" ht="19.95" customFormat="1" customHeight="1" s="511">
      <c r="A693" s="277" t="n"/>
      <c r="B693" s="285" t="n"/>
      <c r="C693" s="579" t="n"/>
      <c r="D693" s="580" t="n"/>
      <c r="E693" s="581" t="n"/>
      <c r="F693" s="577" t="n"/>
      <c r="G693" s="582" t="n"/>
      <c r="H693" s="583" t="n"/>
      <c r="I693" s="510" t="n"/>
    </row>
    <row r="694" ht="19.95" customFormat="1" customHeight="1" s="511">
      <c r="A694" s="277" t="n"/>
      <c r="B694" s="285" t="n"/>
      <c r="C694" s="579" t="n"/>
      <c r="D694" s="580" t="n"/>
      <c r="E694" s="581" t="n"/>
      <c r="F694" s="577" t="n"/>
      <c r="G694" s="582" t="n"/>
      <c r="H694" s="583" t="n"/>
      <c r="I694" s="510" t="n"/>
    </row>
    <row r="695" ht="19.95" customFormat="1" customHeight="1" s="511">
      <c r="A695" s="277" t="n"/>
      <c r="B695" s="285" t="n"/>
      <c r="C695" s="579" t="n"/>
      <c r="D695" s="580" t="n"/>
      <c r="E695" s="581" t="n"/>
      <c r="F695" s="577" t="n"/>
      <c r="G695" s="582" t="n"/>
      <c r="H695" s="583" t="n"/>
      <c r="I695" s="510" t="n"/>
    </row>
    <row r="696" ht="19.95" customFormat="1" customHeight="1" s="511">
      <c r="A696" s="277" t="n"/>
      <c r="B696" s="285" t="n"/>
      <c r="C696" s="579" t="n"/>
      <c r="D696" s="580" t="n"/>
      <c r="E696" s="581" t="n"/>
      <c r="F696" s="577" t="n"/>
      <c r="G696" s="582" t="n"/>
      <c r="H696" s="583" t="n"/>
      <c r="I696" s="510" t="n"/>
    </row>
    <row r="697" ht="19.95" customFormat="1" customHeight="1" s="511">
      <c r="A697" s="277" t="n"/>
      <c r="B697" s="285" t="n"/>
      <c r="C697" s="579" t="n"/>
      <c r="D697" s="580" t="n"/>
      <c r="E697" s="581" t="n"/>
      <c r="F697" s="577" t="n"/>
      <c r="G697" s="582" t="n"/>
      <c r="H697" s="583" t="n"/>
      <c r="I697" s="510" t="n"/>
    </row>
    <row r="698" ht="19.95" customFormat="1" customHeight="1" s="511">
      <c r="A698" s="277" t="n"/>
      <c r="B698" s="285" t="n"/>
      <c r="C698" s="579" t="n"/>
      <c r="D698" s="580" t="n"/>
      <c r="E698" s="581" t="n"/>
      <c r="F698" s="577" t="n"/>
      <c r="G698" s="582" t="n"/>
      <c r="H698" s="583" t="n"/>
      <c r="I698" s="510" t="n"/>
    </row>
    <row r="699" ht="19.95" customFormat="1" customHeight="1" s="511">
      <c r="A699" s="277" t="n"/>
      <c r="B699" s="285" t="n"/>
      <c r="C699" s="579" t="n"/>
      <c r="D699" s="580" t="n"/>
      <c r="E699" s="581" t="n"/>
      <c r="F699" s="577" t="n"/>
      <c r="G699" s="582" t="n"/>
      <c r="H699" s="583" t="n"/>
      <c r="I699" s="510" t="n"/>
    </row>
    <row r="700" ht="19.95" customFormat="1" customHeight="1" s="511">
      <c r="A700" s="277" t="n"/>
      <c r="B700" s="285" t="n"/>
      <c r="C700" s="579" t="n"/>
      <c r="D700" s="580" t="n"/>
      <c r="E700" s="581" t="n"/>
      <c r="F700" s="577" t="n"/>
      <c r="G700" s="582" t="n"/>
      <c r="H700" s="583" t="n"/>
      <c r="I700" s="510" t="n"/>
    </row>
    <row r="701" ht="19.95" customFormat="1" customHeight="1" s="511">
      <c r="A701" s="277" t="n"/>
      <c r="B701" s="285" t="n"/>
      <c r="C701" s="579" t="n"/>
      <c r="D701" s="580" t="n"/>
      <c r="E701" s="581" t="n"/>
      <c r="F701" s="577" t="n"/>
      <c r="G701" s="582" t="n"/>
      <c r="H701" s="583" t="n"/>
      <c r="I701" s="510" t="n"/>
    </row>
    <row r="702" ht="19.95" customFormat="1" customHeight="1" s="511">
      <c r="A702" s="277" t="n"/>
      <c r="B702" s="285" t="n"/>
      <c r="C702" s="579" t="n"/>
      <c r="D702" s="580" t="n"/>
      <c r="E702" s="581" t="n"/>
      <c r="F702" s="577" t="n"/>
      <c r="G702" s="582" t="n"/>
      <c r="H702" s="583" t="n"/>
      <c r="I702" s="510" t="n"/>
    </row>
    <row r="703" ht="19.95" customFormat="1" customHeight="1" s="511">
      <c r="A703" s="277" t="n"/>
      <c r="B703" s="285" t="n"/>
      <c r="C703" s="579" t="n"/>
      <c r="D703" s="580" t="n"/>
      <c r="E703" s="581" t="n"/>
      <c r="F703" s="577" t="n"/>
      <c r="G703" s="582" t="n"/>
      <c r="H703" s="583" t="n"/>
      <c r="I703" s="510" t="n"/>
    </row>
    <row r="704" ht="19.95" customFormat="1" customHeight="1" s="511">
      <c r="A704" s="277" t="n"/>
      <c r="B704" s="285" t="n"/>
      <c r="C704" s="579" t="n"/>
      <c r="D704" s="580" t="n"/>
      <c r="E704" s="581" t="n"/>
      <c r="F704" s="577" t="n"/>
      <c r="G704" s="582" t="n"/>
      <c r="H704" s="583" t="n"/>
      <c r="I704" s="510" t="n"/>
    </row>
    <row r="705" ht="19.95" customFormat="1" customHeight="1" s="511">
      <c r="A705" s="277" t="n"/>
      <c r="B705" s="285" t="n"/>
      <c r="C705" s="579" t="n"/>
      <c r="D705" s="580" t="n"/>
      <c r="E705" s="581" t="n"/>
      <c r="F705" s="577" t="n"/>
      <c r="G705" s="582" t="n"/>
      <c r="H705" s="583" t="n"/>
      <c r="I705" s="510" t="n"/>
    </row>
    <row r="706" ht="19.95" customFormat="1" customHeight="1" s="511">
      <c r="A706" s="277" t="n"/>
      <c r="B706" s="285" t="n"/>
      <c r="C706" s="579" t="n"/>
      <c r="D706" s="580" t="n"/>
      <c r="E706" s="581" t="n"/>
      <c r="F706" s="577" t="n"/>
      <c r="G706" s="582" t="n"/>
      <c r="H706" s="583" t="n"/>
      <c r="I706" s="510" t="n"/>
    </row>
    <row r="707" ht="19.95" customFormat="1" customHeight="1" s="511">
      <c r="A707" s="277" t="n"/>
      <c r="B707" s="285" t="n"/>
      <c r="C707" s="579" t="n"/>
      <c r="D707" s="580" t="n"/>
      <c r="E707" s="581" t="n"/>
      <c r="F707" s="577" t="n"/>
      <c r="G707" s="582" t="n"/>
      <c r="H707" s="583" t="n"/>
      <c r="I707" s="510" t="n"/>
    </row>
    <row r="708" ht="19.95" customFormat="1" customHeight="1" s="511">
      <c r="A708" s="277" t="n"/>
      <c r="B708" s="285" t="n"/>
      <c r="C708" s="579" t="n"/>
      <c r="D708" s="580" t="n"/>
      <c r="E708" s="581" t="n"/>
      <c r="F708" s="577" t="n"/>
      <c r="G708" s="582" t="n"/>
      <c r="H708" s="583" t="n"/>
      <c r="I708" s="510" t="n"/>
    </row>
    <row r="709" ht="19.95" customFormat="1" customHeight="1" s="511">
      <c r="A709" s="277" t="n"/>
      <c r="B709" s="285" t="n"/>
      <c r="C709" s="579" t="n"/>
      <c r="D709" s="580" t="n"/>
      <c r="E709" s="581" t="n"/>
      <c r="F709" s="577" t="n"/>
      <c r="G709" s="582" t="n"/>
      <c r="H709" s="583" t="n"/>
      <c r="I709" s="510" t="n"/>
    </row>
    <row r="710" ht="19.95" customFormat="1" customHeight="1" s="511">
      <c r="A710" s="277" t="n"/>
      <c r="B710" s="285" t="n"/>
      <c r="C710" s="579" t="n"/>
      <c r="D710" s="580" t="n"/>
      <c r="E710" s="581" t="n"/>
      <c r="F710" s="577" t="n"/>
      <c r="G710" s="582" t="n"/>
      <c r="H710" s="583" t="n"/>
      <c r="I710" s="510" t="n"/>
    </row>
    <row r="711" ht="19.95" customFormat="1" customHeight="1" s="511">
      <c r="A711" s="277" t="n"/>
      <c r="B711" s="285" t="n"/>
      <c r="C711" s="579" t="n"/>
      <c r="D711" s="580" t="n"/>
      <c r="E711" s="581" t="n"/>
      <c r="F711" s="577" t="n"/>
      <c r="G711" s="582" t="n"/>
      <c r="H711" s="583" t="n"/>
      <c r="I711" s="510" t="n"/>
    </row>
    <row r="712" ht="19.95" customFormat="1" customHeight="1" s="511">
      <c r="A712" s="277" t="n"/>
      <c r="B712" s="285" t="n"/>
      <c r="C712" s="579" t="n"/>
      <c r="D712" s="580" t="n"/>
      <c r="E712" s="581" t="n"/>
      <c r="F712" s="577" t="n"/>
      <c r="G712" s="582" t="n"/>
      <c r="H712" s="583" t="n"/>
      <c r="I712" s="510" t="n"/>
    </row>
    <row r="713" ht="19.95" customFormat="1" customHeight="1" s="511">
      <c r="A713" s="277" t="n"/>
      <c r="B713" s="285" t="n"/>
      <c r="C713" s="579" t="n"/>
      <c r="D713" s="580" t="n"/>
      <c r="E713" s="581" t="n"/>
      <c r="F713" s="577" t="n"/>
      <c r="G713" s="582" t="n"/>
      <c r="H713" s="583" t="n"/>
      <c r="I713" s="510" t="n"/>
    </row>
    <row r="714" ht="19.95" customFormat="1" customHeight="1" s="511">
      <c r="A714" s="277" t="n"/>
      <c r="B714" s="285" t="n"/>
      <c r="C714" s="579" t="n"/>
      <c r="D714" s="580" t="n"/>
      <c r="E714" s="581" t="n"/>
      <c r="F714" s="577" t="n"/>
      <c r="G714" s="582" t="n"/>
      <c r="H714" s="583" t="n"/>
      <c r="I714" s="510" t="n"/>
    </row>
    <row r="715" ht="19.95" customFormat="1" customHeight="1" s="511">
      <c r="A715" s="277" t="n"/>
      <c r="B715" s="285" t="n"/>
      <c r="C715" s="579" t="n"/>
      <c r="D715" s="580" t="n"/>
      <c r="E715" s="581" t="n"/>
      <c r="F715" s="577" t="n"/>
      <c r="G715" s="582" t="n"/>
      <c r="H715" s="583" t="n"/>
      <c r="I715" s="510" t="n"/>
    </row>
    <row r="716" ht="19.95" customFormat="1" customHeight="1" s="511">
      <c r="A716" s="277" t="n"/>
      <c r="B716" s="285" t="n"/>
      <c r="C716" s="579" t="n"/>
      <c r="D716" s="580" t="n"/>
      <c r="E716" s="581" t="n"/>
      <c r="F716" s="577" t="n"/>
      <c r="G716" s="582" t="n"/>
      <c r="H716" s="583" t="n"/>
      <c r="I716" s="510" t="n"/>
    </row>
    <row r="717" ht="19.95" customFormat="1" customHeight="1" s="511">
      <c r="A717" s="277" t="n"/>
      <c r="B717" s="285" t="n"/>
      <c r="C717" s="579" t="n"/>
      <c r="D717" s="580" t="n"/>
      <c r="E717" s="581" t="n"/>
      <c r="F717" s="577" t="n"/>
      <c r="G717" s="582" t="n"/>
      <c r="H717" s="583" t="n"/>
      <c r="I717" s="510" t="n"/>
    </row>
    <row r="718" ht="19.95" customFormat="1" customHeight="1" s="511">
      <c r="A718" s="277" t="n"/>
      <c r="B718" s="285" t="n"/>
      <c r="C718" s="579" t="n"/>
      <c r="D718" s="580" t="n"/>
      <c r="E718" s="581" t="n"/>
      <c r="F718" s="577" t="n"/>
      <c r="G718" s="582" t="n"/>
      <c r="H718" s="583" t="n"/>
      <c r="I718" s="510" t="n"/>
    </row>
    <row r="719" ht="19.95" customFormat="1" customHeight="1" s="511">
      <c r="A719" s="277" t="n"/>
      <c r="B719" s="285" t="n"/>
      <c r="C719" s="579" t="n"/>
      <c r="D719" s="580" t="n"/>
      <c r="E719" s="581" t="n"/>
      <c r="F719" s="577" t="n"/>
      <c r="G719" s="582" t="n"/>
      <c r="H719" s="583" t="n"/>
      <c r="I719" s="510" t="n"/>
    </row>
    <row r="720" ht="19.95" customFormat="1" customHeight="1" s="511">
      <c r="A720" s="277" t="n"/>
      <c r="B720" s="285" t="n"/>
      <c r="C720" s="579" t="n"/>
      <c r="D720" s="580" t="n"/>
      <c r="E720" s="581" t="n"/>
      <c r="F720" s="577" t="n"/>
      <c r="G720" s="582" t="n"/>
      <c r="H720" s="583" t="n"/>
      <c r="I720" s="510" t="n"/>
    </row>
    <row r="721" ht="19.95" customFormat="1" customHeight="1" s="511">
      <c r="A721" s="277" t="n"/>
      <c r="B721" s="285" t="n"/>
      <c r="C721" s="579" t="n"/>
      <c r="D721" s="580" t="n"/>
      <c r="E721" s="581" t="n"/>
      <c r="F721" s="577" t="n"/>
      <c r="G721" s="582" t="n"/>
      <c r="H721" s="583" t="n"/>
      <c r="I721" s="510" t="n"/>
    </row>
    <row r="722" ht="19.95" customFormat="1" customHeight="1" s="511">
      <c r="A722" s="277" t="n"/>
      <c r="B722" s="285" t="n"/>
      <c r="C722" s="579" t="n"/>
      <c r="D722" s="580" t="n"/>
      <c r="E722" s="581" t="n"/>
      <c r="F722" s="577" t="n"/>
      <c r="G722" s="582" t="n"/>
      <c r="H722" s="583" t="n"/>
      <c r="I722" s="510" t="n"/>
    </row>
    <row r="723" ht="19.95" customFormat="1" customHeight="1" s="511">
      <c r="A723" s="277" t="n"/>
      <c r="B723" s="285" t="n"/>
      <c r="C723" s="579" t="n"/>
      <c r="D723" s="580" t="n"/>
      <c r="E723" s="581" t="n"/>
      <c r="F723" s="577" t="n"/>
      <c r="G723" s="582" t="n"/>
      <c r="H723" s="583" t="n"/>
      <c r="I723" s="510" t="n"/>
    </row>
    <row r="724" ht="19.95" customFormat="1" customHeight="1" s="511">
      <c r="A724" s="277" t="n"/>
      <c r="B724" s="285" t="n"/>
      <c r="C724" s="579" t="n"/>
      <c r="D724" s="580" t="n"/>
      <c r="E724" s="581" t="n"/>
      <c r="F724" s="577" t="n"/>
      <c r="G724" s="582" t="n"/>
      <c r="H724" s="583" t="n"/>
      <c r="I724" s="510" t="n"/>
    </row>
    <row r="725" ht="19.95" customFormat="1" customHeight="1" s="511">
      <c r="A725" s="277" t="n"/>
      <c r="B725" s="285" t="n"/>
      <c r="C725" s="579" t="n"/>
      <c r="D725" s="580" t="n"/>
      <c r="E725" s="581" t="n"/>
      <c r="F725" s="577" t="n"/>
      <c r="G725" s="582" t="n"/>
      <c r="H725" s="583" t="n"/>
      <c r="I725" s="510" t="n"/>
    </row>
    <row r="726" ht="19.95" customFormat="1" customHeight="1" s="511">
      <c r="A726" s="277" t="n"/>
      <c r="B726" s="285" t="n"/>
      <c r="C726" s="579" t="n"/>
      <c r="D726" s="580" t="n"/>
      <c r="E726" s="581" t="n"/>
      <c r="F726" s="577" t="n"/>
      <c r="G726" s="582" t="n"/>
      <c r="H726" s="583" t="n"/>
      <c r="I726" s="510" t="n"/>
    </row>
    <row r="727" ht="19.95" customFormat="1" customHeight="1" s="511">
      <c r="A727" s="277" t="n"/>
      <c r="B727" s="285" t="n"/>
      <c r="C727" s="579" t="n"/>
      <c r="D727" s="580" t="n"/>
      <c r="E727" s="581" t="n"/>
      <c r="F727" s="577" t="n"/>
      <c r="G727" s="582" t="n"/>
      <c r="H727" s="583" t="n"/>
      <c r="I727" s="510" t="n"/>
    </row>
    <row r="728" ht="19.95" customFormat="1" customHeight="1" s="511">
      <c r="A728" s="277" t="n"/>
      <c r="B728" s="285" t="n"/>
      <c r="C728" s="579" t="n"/>
      <c r="D728" s="580" t="n"/>
      <c r="E728" s="581" t="n"/>
      <c r="F728" s="577" t="n"/>
      <c r="G728" s="582" t="n"/>
      <c r="H728" s="583" t="n"/>
      <c r="I728" s="510" t="n"/>
    </row>
    <row r="729" ht="19.95" customFormat="1" customHeight="1" s="511">
      <c r="A729" s="277" t="n"/>
      <c r="B729" s="285" t="n"/>
      <c r="C729" s="579" t="n"/>
      <c r="D729" s="580" t="n"/>
      <c r="E729" s="581" t="n"/>
      <c r="F729" s="577" t="n"/>
      <c r="G729" s="582" t="n"/>
      <c r="H729" s="583" t="n"/>
      <c r="I729" s="510" t="n"/>
    </row>
    <row r="730" ht="19.95" customFormat="1" customHeight="1" s="511">
      <c r="A730" s="277" t="n"/>
      <c r="B730" s="285" t="n"/>
      <c r="C730" s="579" t="n"/>
      <c r="D730" s="580" t="n"/>
      <c r="E730" s="581" t="n"/>
      <c r="F730" s="577" t="n"/>
      <c r="G730" s="582" t="n"/>
      <c r="H730" s="583" t="n"/>
      <c r="I730" s="510" t="n"/>
    </row>
    <row r="731" ht="19.95" customFormat="1" customHeight="1" s="511">
      <c r="A731" s="277" t="n"/>
      <c r="B731" s="285" t="n"/>
      <c r="C731" s="579" t="n"/>
      <c r="D731" s="580" t="n"/>
      <c r="E731" s="581" t="n"/>
      <c r="F731" s="577" t="n"/>
      <c r="G731" s="582" t="n"/>
      <c r="H731" s="583" t="n"/>
      <c r="I731" s="510" t="n"/>
    </row>
    <row r="732" ht="19.95" customFormat="1" customHeight="1" s="511">
      <c r="A732" s="277" t="n"/>
      <c r="B732" s="285" t="n"/>
      <c r="C732" s="579" t="n"/>
      <c r="D732" s="580" t="n"/>
      <c r="E732" s="581" t="n"/>
      <c r="F732" s="577" t="n"/>
      <c r="G732" s="582" t="n"/>
      <c r="H732" s="583" t="n"/>
      <c r="I732" s="510" t="n"/>
    </row>
    <row r="733" ht="19.95" customFormat="1" customHeight="1" s="511">
      <c r="A733" s="277" t="n"/>
      <c r="B733" s="285" t="n"/>
      <c r="C733" s="579" t="n"/>
      <c r="D733" s="580" t="n"/>
      <c r="E733" s="581" t="n"/>
      <c r="F733" s="577" t="n"/>
      <c r="G733" s="582" t="n"/>
      <c r="H733" s="583" t="n"/>
      <c r="I733" s="510" t="n"/>
    </row>
    <row r="734" ht="19.95" customFormat="1" customHeight="1" s="511">
      <c r="A734" s="277" t="n"/>
      <c r="B734" s="285" t="n"/>
      <c r="C734" s="579" t="n"/>
      <c r="D734" s="580" t="n"/>
      <c r="E734" s="581" t="n"/>
      <c r="F734" s="577" t="n"/>
      <c r="G734" s="582" t="n"/>
      <c r="H734" s="583" t="n"/>
      <c r="I734" s="510" t="n"/>
    </row>
    <row r="735" ht="19.95" customFormat="1" customHeight="1" s="511">
      <c r="A735" s="277" t="n"/>
      <c r="B735" s="285" t="n"/>
      <c r="C735" s="579" t="n"/>
      <c r="D735" s="580" t="n"/>
      <c r="E735" s="581" t="n"/>
      <c r="F735" s="577" t="n"/>
      <c r="G735" s="582" t="n"/>
      <c r="H735" s="583" t="n"/>
      <c r="I735" s="510" t="n"/>
    </row>
    <row r="736" ht="19.95" customFormat="1" customHeight="1" s="511">
      <c r="A736" s="277" t="n"/>
      <c r="B736" s="285" t="n"/>
      <c r="C736" s="579" t="n"/>
      <c r="D736" s="580" t="n"/>
      <c r="E736" s="581" t="n"/>
      <c r="F736" s="577" t="n"/>
      <c r="G736" s="582" t="n"/>
      <c r="H736" s="583" t="n"/>
      <c r="I736" s="510" t="n"/>
    </row>
    <row r="737" ht="19.95" customFormat="1" customHeight="1" s="511">
      <c r="A737" s="277" t="n"/>
      <c r="B737" s="285" t="n"/>
      <c r="C737" s="579" t="n"/>
      <c r="D737" s="580" t="n"/>
      <c r="E737" s="581" t="n"/>
      <c r="F737" s="577" t="n"/>
      <c r="G737" s="582" t="n"/>
      <c r="H737" s="583" t="n"/>
      <c r="I737" s="510" t="n"/>
    </row>
    <row r="738" ht="19.95" customFormat="1" customHeight="1" s="511">
      <c r="A738" s="277" t="n"/>
      <c r="B738" s="285" t="n"/>
      <c r="C738" s="579" t="n"/>
      <c r="D738" s="580" t="n"/>
      <c r="E738" s="581" t="n"/>
      <c r="F738" s="577" t="n"/>
      <c r="G738" s="582" t="n"/>
      <c r="H738" s="583" t="n"/>
      <c r="I738" s="510" t="n"/>
    </row>
    <row r="739" ht="19.95" customFormat="1" customHeight="1" s="511">
      <c r="A739" s="277" t="n"/>
      <c r="B739" s="285" t="n"/>
      <c r="C739" s="579" t="n"/>
      <c r="D739" s="580" t="n"/>
      <c r="E739" s="581" t="n"/>
      <c r="F739" s="577" t="n"/>
      <c r="G739" s="582" t="n"/>
      <c r="H739" s="583" t="n"/>
      <c r="I739" s="510" t="n"/>
    </row>
    <row r="740" ht="19.95" customFormat="1" customHeight="1" s="511">
      <c r="A740" s="277" t="n"/>
      <c r="B740" s="285" t="n"/>
      <c r="C740" s="579" t="n"/>
      <c r="D740" s="580" t="n"/>
      <c r="E740" s="581" t="n"/>
      <c r="F740" s="577" t="n"/>
      <c r="G740" s="582" t="n"/>
      <c r="H740" s="583" t="n"/>
      <c r="I740" s="510" t="n"/>
    </row>
    <row r="741" ht="19.95" customFormat="1" customHeight="1" s="511">
      <c r="A741" s="277" t="n"/>
      <c r="B741" s="285" t="n"/>
      <c r="C741" s="579" t="n"/>
      <c r="D741" s="580" t="n"/>
      <c r="E741" s="581" t="n"/>
      <c r="F741" s="577" t="n"/>
      <c r="G741" s="582" t="n"/>
      <c r="H741" s="583" t="n"/>
      <c r="I741" s="510" t="n"/>
    </row>
    <row r="742" ht="19.95" customFormat="1" customHeight="1" s="511">
      <c r="A742" s="277" t="n"/>
      <c r="B742" s="285" t="n"/>
      <c r="C742" s="579" t="n"/>
      <c r="D742" s="580" t="n"/>
      <c r="E742" s="581" t="n"/>
      <c r="F742" s="577" t="n"/>
      <c r="G742" s="582" t="n"/>
      <c r="H742" s="583" t="n"/>
      <c r="I742" s="510" t="n"/>
    </row>
    <row r="743" ht="19.95" customFormat="1" customHeight="1" s="511">
      <c r="A743" s="277" t="n"/>
      <c r="B743" s="285" t="n"/>
      <c r="C743" s="579" t="n"/>
      <c r="D743" s="580" t="n"/>
      <c r="E743" s="581" t="n"/>
      <c r="F743" s="577" t="n"/>
      <c r="G743" s="582" t="n"/>
      <c r="H743" s="583" t="n"/>
      <c r="I743" s="510" t="n"/>
    </row>
    <row r="744" ht="19.95" customFormat="1" customHeight="1" s="511">
      <c r="A744" s="277" t="n"/>
      <c r="B744" s="285" t="n"/>
      <c r="C744" s="579" t="n"/>
      <c r="D744" s="580" t="n"/>
      <c r="E744" s="581" t="n"/>
      <c r="F744" s="577" t="n"/>
      <c r="G744" s="582" t="n"/>
      <c r="H744" s="583" t="n"/>
      <c r="I744" s="510" t="n"/>
    </row>
    <row r="745" ht="19.95" customFormat="1" customHeight="1" s="511">
      <c r="A745" s="277" t="n"/>
      <c r="B745" s="285" t="n"/>
      <c r="C745" s="579" t="n"/>
      <c r="D745" s="580" t="n"/>
      <c r="E745" s="581" t="n"/>
      <c r="F745" s="577" t="n"/>
      <c r="G745" s="582" t="n"/>
      <c r="H745" s="583" t="n"/>
      <c r="I745" s="510" t="n"/>
    </row>
    <row r="746" ht="19.95" customFormat="1" customHeight="1" s="511">
      <c r="A746" s="277" t="n"/>
      <c r="B746" s="285" t="n"/>
      <c r="C746" s="579" t="n"/>
      <c r="D746" s="580" t="n"/>
      <c r="E746" s="581" t="n"/>
      <c r="F746" s="577" t="n"/>
      <c r="G746" s="582" t="n"/>
      <c r="H746" s="583" t="n"/>
      <c r="I746" s="510" t="n"/>
    </row>
    <row r="747" ht="19.95" customFormat="1" customHeight="1" s="511">
      <c r="A747" s="277" t="n"/>
      <c r="B747" s="285" t="n"/>
      <c r="C747" s="579" t="n"/>
      <c r="D747" s="580" t="n"/>
      <c r="E747" s="581" t="n"/>
      <c r="F747" s="577" t="n"/>
      <c r="G747" s="582" t="n"/>
      <c r="H747" s="583" t="n"/>
      <c r="I747" s="510" t="n"/>
    </row>
    <row r="748" ht="19.95" customFormat="1" customHeight="1" s="511">
      <c r="A748" s="277" t="n"/>
      <c r="B748" s="285" t="n"/>
      <c r="C748" s="579" t="n"/>
      <c r="D748" s="580" t="n"/>
      <c r="E748" s="581" t="n"/>
      <c r="F748" s="577" t="n"/>
      <c r="G748" s="582" t="n"/>
      <c r="H748" s="583" t="n"/>
      <c r="I748" s="510" t="n"/>
    </row>
    <row r="749" ht="19.95" customFormat="1" customHeight="1" s="511">
      <c r="A749" s="277" t="n"/>
      <c r="B749" s="285" t="n"/>
      <c r="C749" s="579" t="n"/>
      <c r="D749" s="580" t="n"/>
      <c r="E749" s="581" t="n"/>
      <c r="F749" s="577" t="n"/>
      <c r="G749" s="582" t="n"/>
      <c r="H749" s="583" t="n"/>
      <c r="I749" s="510" t="n"/>
    </row>
    <row r="750" ht="19.95" customFormat="1" customHeight="1" s="511">
      <c r="A750" s="277" t="n"/>
      <c r="B750" s="285" t="n"/>
      <c r="C750" s="579" t="n"/>
      <c r="D750" s="580" t="n"/>
      <c r="E750" s="581" t="n"/>
      <c r="F750" s="577" t="n"/>
      <c r="G750" s="582" t="n"/>
      <c r="H750" s="583" t="n"/>
      <c r="I750" s="510" t="n"/>
    </row>
    <row r="751" ht="19.95" customFormat="1" customHeight="1" s="511">
      <c r="A751" s="277" t="n"/>
      <c r="B751" s="285" t="n"/>
      <c r="C751" s="579" t="n"/>
      <c r="D751" s="580" t="n"/>
      <c r="E751" s="581" t="n"/>
      <c r="F751" s="577" t="n"/>
      <c r="G751" s="582" t="n"/>
      <c r="H751" s="583" t="n"/>
      <c r="I751" s="510" t="n"/>
    </row>
    <row r="752" ht="19.95" customFormat="1" customHeight="1" s="511">
      <c r="A752" s="277" t="n"/>
      <c r="B752" s="285" t="n"/>
      <c r="C752" s="579" t="n"/>
      <c r="D752" s="580" t="n"/>
      <c r="E752" s="581" t="n"/>
      <c r="F752" s="577" t="n"/>
      <c r="G752" s="582" t="n"/>
      <c r="H752" s="583" t="n"/>
      <c r="I752" s="510" t="n"/>
    </row>
    <row r="753" ht="19.95" customFormat="1" customHeight="1" s="511">
      <c r="A753" s="277" t="n"/>
      <c r="B753" s="285" t="n"/>
      <c r="C753" s="579" t="n"/>
      <c r="D753" s="580" t="n"/>
      <c r="E753" s="581" t="n"/>
      <c r="F753" s="577" t="n"/>
      <c r="G753" s="582" t="n"/>
      <c r="H753" s="583" t="n"/>
      <c r="I753" s="510" t="n"/>
    </row>
    <row r="754" ht="19.95" customFormat="1" customHeight="1" s="511">
      <c r="A754" s="277" t="n"/>
      <c r="B754" s="285" t="n"/>
      <c r="C754" s="579" t="n"/>
      <c r="D754" s="580" t="n"/>
      <c r="E754" s="581" t="n"/>
      <c r="F754" s="577" t="n"/>
      <c r="G754" s="582" t="n"/>
      <c r="H754" s="583" t="n"/>
      <c r="I754" s="510" t="n"/>
    </row>
    <row r="755" ht="19.95" customFormat="1" customHeight="1" s="511">
      <c r="A755" s="277" t="n"/>
      <c r="B755" s="285" t="n"/>
      <c r="C755" s="579" t="n"/>
      <c r="D755" s="580" t="n"/>
      <c r="E755" s="581" t="n"/>
      <c r="F755" s="577" t="n"/>
      <c r="G755" s="582" t="n"/>
      <c r="H755" s="583" t="n"/>
      <c r="I755" s="510" t="n"/>
    </row>
    <row r="756" ht="19.95" customFormat="1" customHeight="1" s="511">
      <c r="A756" s="277" t="n"/>
      <c r="B756" s="285" t="n"/>
      <c r="C756" s="579" t="n"/>
      <c r="D756" s="580" t="n"/>
      <c r="E756" s="581" t="n"/>
      <c r="F756" s="577" t="n"/>
      <c r="G756" s="582" t="n"/>
      <c r="H756" s="583" t="n"/>
      <c r="I756" s="510" t="n"/>
    </row>
    <row r="757" ht="19.95" customFormat="1" customHeight="1" s="511">
      <c r="A757" s="277" t="n"/>
      <c r="B757" s="285" t="n"/>
      <c r="C757" s="579" t="n"/>
      <c r="D757" s="580" t="n"/>
      <c r="E757" s="581" t="n"/>
      <c r="F757" s="577" t="n"/>
      <c r="G757" s="582" t="n"/>
      <c r="H757" s="583" t="n"/>
      <c r="I757" s="510" t="n"/>
    </row>
    <row r="758" ht="19.95" customFormat="1" customHeight="1" s="511">
      <c r="A758" s="277" t="n"/>
      <c r="B758" s="285" t="n"/>
      <c r="C758" s="579" t="n"/>
      <c r="D758" s="580" t="n"/>
      <c r="E758" s="581" t="n"/>
      <c r="F758" s="577" t="n"/>
      <c r="G758" s="582" t="n"/>
      <c r="H758" s="583" t="n"/>
      <c r="I758" s="510" t="n"/>
    </row>
    <row r="759" ht="19.95" customFormat="1" customHeight="1" s="511">
      <c r="A759" s="277" t="n"/>
      <c r="B759" s="285" t="n"/>
      <c r="C759" s="579" t="n"/>
      <c r="D759" s="580" t="n"/>
      <c r="E759" s="581" t="n"/>
      <c r="F759" s="577" t="n"/>
      <c r="G759" s="582" t="n"/>
      <c r="H759" s="583" t="n"/>
      <c r="I759" s="510" t="n"/>
    </row>
    <row r="760" ht="19.95" customFormat="1" customHeight="1" s="511">
      <c r="A760" s="277" t="n"/>
      <c r="B760" s="285" t="n"/>
      <c r="C760" s="579" t="n"/>
      <c r="D760" s="580" t="n"/>
      <c r="E760" s="581" t="n"/>
      <c r="F760" s="577" t="n"/>
      <c r="G760" s="582" t="n"/>
      <c r="H760" s="583" t="n"/>
      <c r="I760" s="510" t="n"/>
    </row>
    <row r="761" ht="19.95" customFormat="1" customHeight="1" s="511">
      <c r="A761" s="277" t="n"/>
      <c r="B761" s="285" t="n"/>
      <c r="C761" s="579" t="n"/>
      <c r="D761" s="580" t="n"/>
      <c r="E761" s="581" t="n"/>
      <c r="F761" s="577" t="n"/>
      <c r="G761" s="582" t="n"/>
      <c r="H761" s="583" t="n"/>
      <c r="I761" s="510" t="n"/>
    </row>
    <row r="762" ht="19.95" customFormat="1" customHeight="1" s="511">
      <c r="A762" s="277" t="n"/>
      <c r="B762" s="285" t="n"/>
      <c r="C762" s="579" t="n"/>
      <c r="D762" s="580" t="n"/>
      <c r="E762" s="581" t="n"/>
      <c r="F762" s="577" t="n"/>
      <c r="G762" s="582" t="n"/>
      <c r="H762" s="583" t="n"/>
      <c r="I762" s="510" t="n"/>
    </row>
    <row r="763" ht="19.95" customFormat="1" customHeight="1" s="511">
      <c r="A763" s="277" t="n"/>
      <c r="B763" s="285" t="n"/>
      <c r="C763" s="579" t="n"/>
      <c r="D763" s="580" t="n"/>
      <c r="E763" s="581" t="n"/>
      <c r="F763" s="577" t="n"/>
      <c r="G763" s="582" t="n"/>
      <c r="H763" s="583" t="n"/>
      <c r="I763" s="510" t="n"/>
    </row>
    <row r="764" ht="19.95" customFormat="1" customHeight="1" s="511">
      <c r="A764" s="277" t="n"/>
      <c r="B764" s="285" t="n"/>
      <c r="C764" s="579" t="n"/>
      <c r="D764" s="580" t="n"/>
      <c r="E764" s="581" t="n"/>
      <c r="F764" s="577" t="n"/>
      <c r="G764" s="582" t="n"/>
      <c r="H764" s="583" t="n"/>
      <c r="I764" s="510" t="n"/>
    </row>
    <row r="765" ht="19.95" customFormat="1" customHeight="1" s="511">
      <c r="A765" s="277" t="n"/>
      <c r="B765" s="285" t="n"/>
      <c r="C765" s="579" t="n"/>
      <c r="D765" s="580" t="n"/>
      <c r="E765" s="581" t="n"/>
      <c r="F765" s="577" t="n"/>
      <c r="G765" s="582" t="n"/>
      <c r="H765" s="583" t="n"/>
      <c r="I765" s="510" t="n"/>
    </row>
    <row r="766" ht="19.95" customFormat="1" customHeight="1" s="511">
      <c r="A766" s="277" t="n"/>
      <c r="B766" s="285" t="n"/>
      <c r="C766" s="579" t="n"/>
      <c r="D766" s="580" t="n"/>
      <c r="E766" s="581" t="n"/>
      <c r="F766" s="577" t="n"/>
      <c r="G766" s="582" t="n"/>
      <c r="H766" s="583" t="n"/>
      <c r="I766" s="510" t="n"/>
    </row>
    <row r="767" ht="19.95" customFormat="1" customHeight="1" s="511">
      <c r="A767" s="277" t="n"/>
      <c r="B767" s="285" t="n"/>
      <c r="C767" s="579" t="n"/>
      <c r="D767" s="580" t="n"/>
      <c r="E767" s="581" t="n"/>
      <c r="F767" s="577" t="n"/>
      <c r="G767" s="582" t="n"/>
      <c r="H767" s="583" t="n"/>
      <c r="I767" s="510" t="n"/>
    </row>
    <row r="768" ht="19.95" customFormat="1" customHeight="1" s="511">
      <c r="A768" s="277" t="n"/>
      <c r="B768" s="285" t="n"/>
      <c r="C768" s="579" t="n"/>
      <c r="D768" s="580" t="n"/>
      <c r="E768" s="581" t="n"/>
      <c r="F768" s="577" t="n"/>
      <c r="G768" s="582" t="n"/>
      <c r="H768" s="583" t="n"/>
      <c r="I768" s="510" t="n"/>
    </row>
    <row r="769" ht="19.95" customFormat="1" customHeight="1" s="511">
      <c r="A769" s="277" t="n"/>
      <c r="B769" s="285" t="n"/>
      <c r="C769" s="579" t="n"/>
      <c r="D769" s="580" t="n"/>
      <c r="E769" s="581" t="n"/>
      <c r="F769" s="577" t="n"/>
      <c r="G769" s="582" t="n"/>
      <c r="H769" s="583" t="n"/>
      <c r="I769" s="510" t="n"/>
    </row>
    <row r="770" ht="19.95" customFormat="1" customHeight="1" s="511">
      <c r="A770" s="277" t="n"/>
      <c r="B770" s="285" t="n"/>
      <c r="C770" s="579" t="n"/>
      <c r="D770" s="580" t="n"/>
      <c r="E770" s="581" t="n"/>
      <c r="F770" s="577" t="n"/>
      <c r="G770" s="582" t="n"/>
      <c r="H770" s="583" t="n"/>
      <c r="I770" s="510" t="n"/>
    </row>
    <row r="771" ht="19.95" customFormat="1" customHeight="1" s="511">
      <c r="A771" s="277" t="n"/>
      <c r="B771" s="285" t="n"/>
      <c r="C771" s="579" t="n"/>
      <c r="D771" s="580" t="n"/>
      <c r="E771" s="581" t="n"/>
      <c r="F771" s="577" t="n"/>
      <c r="G771" s="582" t="n"/>
      <c r="H771" s="583" t="n"/>
      <c r="I771" s="510" t="n"/>
    </row>
    <row r="772" ht="19.95" customFormat="1" customHeight="1" s="511">
      <c r="A772" s="277" t="n"/>
      <c r="B772" s="285" t="n"/>
      <c r="C772" s="579" t="n"/>
      <c r="D772" s="580" t="n"/>
      <c r="E772" s="581" t="n"/>
      <c r="F772" s="577" t="n"/>
      <c r="G772" s="582" t="n"/>
      <c r="H772" s="583" t="n"/>
      <c r="I772" s="510" t="n"/>
    </row>
    <row r="773" ht="19.95" customFormat="1" customHeight="1" s="511">
      <c r="A773" s="277" t="n"/>
      <c r="B773" s="285" t="n"/>
      <c r="C773" s="579" t="n"/>
      <c r="D773" s="580" t="n"/>
      <c r="E773" s="581" t="n"/>
      <c r="F773" s="577" t="n"/>
      <c r="G773" s="582" t="n"/>
      <c r="H773" s="583" t="n"/>
      <c r="I773" s="510" t="n"/>
    </row>
    <row r="774" ht="19.95" customFormat="1" customHeight="1" s="511">
      <c r="A774" s="277" t="n"/>
      <c r="B774" s="285" t="n"/>
      <c r="C774" s="579" t="n"/>
      <c r="D774" s="580" t="n"/>
      <c r="E774" s="581" t="n"/>
      <c r="F774" s="577" t="n"/>
      <c r="G774" s="582" t="n"/>
      <c r="H774" s="583" t="n"/>
      <c r="I774" s="510" t="n"/>
    </row>
    <row r="775" ht="19.95" customFormat="1" customHeight="1" s="511">
      <c r="A775" s="277" t="n"/>
      <c r="B775" s="285" t="n"/>
      <c r="C775" s="579" t="n"/>
      <c r="D775" s="580" t="n"/>
      <c r="E775" s="581" t="n"/>
      <c r="F775" s="577" t="n"/>
      <c r="G775" s="582" t="n"/>
      <c r="H775" s="583" t="n"/>
      <c r="I775" s="510" t="n"/>
    </row>
    <row r="776" ht="19.95" customFormat="1" customHeight="1" s="511">
      <c r="A776" s="277" t="n"/>
      <c r="B776" s="285" t="n"/>
      <c r="C776" s="579" t="n"/>
      <c r="D776" s="580" t="n"/>
      <c r="E776" s="581" t="n"/>
      <c r="F776" s="577" t="n"/>
      <c r="G776" s="582" t="n"/>
      <c r="H776" s="583" t="n"/>
      <c r="I776" s="510" t="n"/>
    </row>
    <row r="777" ht="19.95" customFormat="1" customHeight="1" s="511">
      <c r="A777" s="277" t="n"/>
      <c r="B777" s="285" t="n"/>
      <c r="C777" s="579" t="n"/>
      <c r="D777" s="580" t="n"/>
      <c r="E777" s="581" t="n"/>
      <c r="F777" s="577" t="n"/>
      <c r="G777" s="582" t="n"/>
      <c r="H777" s="583" t="n"/>
      <c r="I777" s="510" t="n"/>
    </row>
    <row r="778" ht="19.95" customFormat="1" customHeight="1" s="511">
      <c r="A778" s="277" t="n"/>
      <c r="B778" s="285" t="n"/>
      <c r="C778" s="579" t="n"/>
      <c r="D778" s="580" t="n"/>
      <c r="E778" s="581" t="n"/>
      <c r="F778" s="577" t="n"/>
      <c r="G778" s="582" t="n"/>
      <c r="H778" s="583" t="n"/>
      <c r="I778" s="510" t="n"/>
    </row>
    <row r="779" ht="19.95" customFormat="1" customHeight="1" s="511">
      <c r="A779" s="277" t="n"/>
      <c r="B779" s="285" t="n"/>
      <c r="C779" s="579" t="n"/>
      <c r="D779" s="580" t="n"/>
      <c r="E779" s="581" t="n"/>
      <c r="F779" s="577" t="n"/>
      <c r="G779" s="582" t="n"/>
      <c r="H779" s="583" t="n"/>
      <c r="I779" s="510" t="n"/>
    </row>
    <row r="780" ht="19.95" customFormat="1" customHeight="1" s="511">
      <c r="A780" s="277" t="n"/>
      <c r="B780" s="285" t="n"/>
      <c r="C780" s="579" t="n"/>
      <c r="D780" s="580" t="n"/>
      <c r="E780" s="581" t="n"/>
      <c r="F780" s="577" t="n"/>
      <c r="G780" s="582" t="n"/>
      <c r="H780" s="583" t="n"/>
      <c r="I780" s="510" t="n"/>
    </row>
    <row r="781" ht="19.95" customFormat="1" customHeight="1" s="511">
      <c r="A781" s="277" t="n"/>
      <c r="B781" s="285" t="n"/>
      <c r="C781" s="579" t="n"/>
      <c r="D781" s="580" t="n"/>
      <c r="E781" s="581" t="n"/>
      <c r="F781" s="577" t="n"/>
      <c r="G781" s="582" t="n"/>
      <c r="H781" s="583" t="n"/>
      <c r="I781" s="510" t="n"/>
    </row>
    <row r="782" ht="19.95" customFormat="1" customHeight="1" s="511">
      <c r="A782" s="277" t="n"/>
      <c r="B782" s="285" t="n"/>
      <c r="C782" s="579" t="n"/>
      <c r="D782" s="580" t="n"/>
      <c r="E782" s="581" t="n"/>
      <c r="F782" s="577" t="n"/>
      <c r="G782" s="582" t="n"/>
      <c r="H782" s="583" t="n"/>
      <c r="I782" s="510" t="n"/>
    </row>
    <row r="783" ht="19.95" customFormat="1" customHeight="1" s="511">
      <c r="A783" s="277" t="n"/>
      <c r="B783" s="285" t="n"/>
      <c r="C783" s="579" t="n"/>
      <c r="D783" s="580" t="n"/>
      <c r="E783" s="581" t="n"/>
      <c r="F783" s="577" t="n"/>
      <c r="G783" s="582" t="n"/>
      <c r="H783" s="583" t="n"/>
      <c r="I783" s="510" t="n"/>
    </row>
    <row r="784" ht="19.95" customFormat="1" customHeight="1" s="511">
      <c r="A784" s="277" t="n"/>
      <c r="B784" s="285" t="n"/>
      <c r="C784" s="579" t="n"/>
      <c r="D784" s="580" t="n"/>
      <c r="E784" s="581" t="n"/>
      <c r="F784" s="577" t="n"/>
      <c r="G784" s="582" t="n"/>
      <c r="H784" s="583" t="n"/>
      <c r="I784" s="510" t="n"/>
    </row>
    <row r="785" ht="19.95" customFormat="1" customHeight="1" s="511">
      <c r="A785" s="277" t="n"/>
      <c r="B785" s="285" t="n"/>
      <c r="C785" s="579" t="n"/>
      <c r="D785" s="580" t="n"/>
      <c r="E785" s="581" t="n"/>
      <c r="F785" s="577" t="n"/>
      <c r="G785" s="582" t="n"/>
      <c r="H785" s="583" t="n"/>
      <c r="I785" s="510" t="n"/>
    </row>
    <row r="786" ht="19.95" customFormat="1" customHeight="1" s="511">
      <c r="A786" s="277" t="n"/>
      <c r="B786" s="285" t="n"/>
      <c r="C786" s="579" t="n"/>
      <c r="D786" s="580" t="n"/>
      <c r="E786" s="581" t="n"/>
      <c r="F786" s="577" t="n"/>
      <c r="G786" s="582" t="n"/>
      <c r="H786" s="583" t="n"/>
      <c r="I786" s="510" t="n"/>
    </row>
    <row r="787" ht="19.95" customFormat="1" customHeight="1" s="511">
      <c r="A787" s="277" t="n"/>
      <c r="B787" s="285" t="n"/>
      <c r="C787" s="579" t="n"/>
      <c r="D787" s="580" t="n"/>
      <c r="E787" s="581" t="n"/>
      <c r="F787" s="577" t="n"/>
      <c r="G787" s="582" t="n"/>
      <c r="H787" s="583" t="n"/>
      <c r="I787" s="510" t="n"/>
    </row>
    <row r="788" ht="19.95" customFormat="1" customHeight="1" s="511">
      <c r="A788" s="277" t="n"/>
      <c r="B788" s="285" t="n"/>
      <c r="C788" s="579" t="n"/>
      <c r="D788" s="580" t="n"/>
      <c r="E788" s="581" t="n"/>
      <c r="F788" s="577" t="n"/>
      <c r="G788" s="582" t="n"/>
      <c r="H788" s="583" t="n"/>
      <c r="I788" s="510" t="n"/>
    </row>
    <row r="789" ht="19.95" customFormat="1" customHeight="1" s="511">
      <c r="A789" s="277" t="n"/>
      <c r="B789" s="285" t="n"/>
      <c r="C789" s="579" t="n"/>
      <c r="D789" s="580" t="n"/>
      <c r="E789" s="581" t="n"/>
      <c r="F789" s="577" t="n"/>
      <c r="G789" s="582" t="n"/>
      <c r="H789" s="583" t="n"/>
      <c r="I789" s="510" t="n"/>
    </row>
    <row r="790" ht="19.95" customFormat="1" customHeight="1" s="511">
      <c r="A790" s="277" t="n"/>
      <c r="B790" s="285" t="n"/>
      <c r="C790" s="579" t="n"/>
      <c r="D790" s="580" t="n"/>
      <c r="E790" s="581" t="n"/>
      <c r="F790" s="577" t="n"/>
      <c r="G790" s="582" t="n"/>
      <c r="H790" s="583" t="n"/>
      <c r="I790" s="510" t="n"/>
    </row>
    <row r="791" ht="19.95" customFormat="1" customHeight="1" s="511">
      <c r="A791" s="277" t="n"/>
      <c r="B791" s="285" t="n"/>
      <c r="C791" s="579" t="n"/>
      <c r="D791" s="580" t="n"/>
      <c r="E791" s="581" t="n"/>
      <c r="F791" s="577" t="n"/>
      <c r="G791" s="582" t="n"/>
      <c r="H791" s="583" t="n"/>
      <c r="I791" s="510" t="n"/>
    </row>
    <row r="792" ht="19.95" customFormat="1" customHeight="1" s="511">
      <c r="A792" s="277" t="n"/>
      <c r="B792" s="285" t="n"/>
      <c r="C792" s="579" t="n"/>
      <c r="D792" s="580" t="n"/>
      <c r="E792" s="581" t="n"/>
      <c r="F792" s="577" t="n"/>
      <c r="G792" s="582" t="n"/>
      <c r="H792" s="583" t="n"/>
      <c r="I792" s="510" t="n"/>
    </row>
    <row r="793" ht="19.95" customFormat="1" customHeight="1" s="511">
      <c r="A793" s="277" t="n"/>
      <c r="B793" s="285" t="n"/>
      <c r="C793" s="579" t="n"/>
      <c r="D793" s="580" t="n"/>
      <c r="E793" s="581" t="n"/>
      <c r="F793" s="577" t="n"/>
      <c r="G793" s="582" t="n"/>
      <c r="H793" s="583" t="n"/>
      <c r="I793" s="510" t="n"/>
    </row>
    <row r="794" ht="19.95" customFormat="1" customHeight="1" s="511">
      <c r="A794" s="277" t="n"/>
      <c r="B794" s="285" t="n"/>
      <c r="C794" s="579" t="n"/>
      <c r="D794" s="580" t="n"/>
      <c r="E794" s="581" t="n"/>
      <c r="F794" s="577" t="n"/>
      <c r="G794" s="582" t="n"/>
      <c r="H794" s="583" t="n"/>
      <c r="I794" s="510" t="n"/>
    </row>
    <row r="795" ht="19.95" customFormat="1" customHeight="1" s="511">
      <c r="A795" s="277" t="n"/>
      <c r="B795" s="285" t="n"/>
      <c r="C795" s="579" t="n"/>
      <c r="D795" s="580" t="n"/>
      <c r="E795" s="581" t="n"/>
      <c r="F795" s="577" t="n"/>
      <c r="G795" s="582" t="n"/>
      <c r="H795" s="583" t="n"/>
      <c r="I795" s="510" t="n"/>
    </row>
    <row r="796" ht="19.95" customFormat="1" customHeight="1" s="511">
      <c r="A796" s="277" t="n"/>
      <c r="B796" s="285" t="n"/>
      <c r="C796" s="579" t="n"/>
      <c r="D796" s="580" t="n"/>
      <c r="E796" s="581" t="n"/>
      <c r="F796" s="577" t="n"/>
      <c r="G796" s="582" t="n"/>
      <c r="H796" s="583" t="n"/>
      <c r="I796" s="510" t="n"/>
    </row>
    <row r="797" ht="19.95" customFormat="1" customHeight="1" s="511">
      <c r="A797" s="277" t="n"/>
      <c r="B797" s="285" t="n"/>
      <c r="C797" s="579" t="n"/>
      <c r="D797" s="580" t="n"/>
      <c r="E797" s="581" t="n"/>
      <c r="F797" s="577" t="n"/>
      <c r="G797" s="582" t="n"/>
      <c r="H797" s="583" t="n"/>
      <c r="I797" s="510" t="n"/>
    </row>
    <row r="798" ht="19.95" customFormat="1" customHeight="1" s="511">
      <c r="A798" s="277" t="n"/>
      <c r="B798" s="285" t="n"/>
      <c r="C798" s="579" t="n"/>
      <c r="D798" s="580" t="n"/>
      <c r="E798" s="581" t="n"/>
      <c r="F798" s="577" t="n"/>
      <c r="G798" s="582" t="n"/>
      <c r="H798" s="583" t="n"/>
      <c r="I798" s="510" t="n"/>
    </row>
    <row r="799" ht="19.95" customFormat="1" customHeight="1" s="511">
      <c r="A799" s="277" t="n"/>
      <c r="B799" s="285" t="n"/>
      <c r="C799" s="579" t="n"/>
      <c r="D799" s="580" t="n"/>
      <c r="E799" s="581" t="n"/>
      <c r="F799" s="577" t="n"/>
      <c r="G799" s="582" t="n"/>
      <c r="H799" s="583" t="n"/>
      <c r="I799" s="510" t="n"/>
    </row>
    <row r="800" ht="19.95" customFormat="1" customHeight="1" s="511">
      <c r="A800" s="277" t="n"/>
      <c r="B800" s="285" t="n"/>
      <c r="C800" s="579" t="n"/>
      <c r="D800" s="580" t="n"/>
      <c r="E800" s="581" t="n"/>
      <c r="F800" s="577" t="n"/>
      <c r="G800" s="582" t="n"/>
      <c r="H800" s="583" t="n"/>
      <c r="I800" s="510" t="n"/>
    </row>
    <row r="801" ht="19.95" customFormat="1" customHeight="1" s="511">
      <c r="A801" s="277" t="n"/>
      <c r="B801" s="285" t="n"/>
      <c r="C801" s="579" t="n"/>
      <c r="D801" s="580" t="n"/>
      <c r="E801" s="581" t="n"/>
      <c r="F801" s="577" t="n"/>
      <c r="G801" s="582" t="n"/>
      <c r="H801" s="583" t="n"/>
      <c r="I801" s="510" t="n"/>
    </row>
    <row r="802" ht="19.95" customFormat="1" customHeight="1" s="511">
      <c r="A802" s="277" t="n"/>
      <c r="B802" s="285" t="n"/>
      <c r="C802" s="579" t="n"/>
      <c r="D802" s="580" t="n"/>
      <c r="E802" s="581" t="n"/>
      <c r="F802" s="577" t="n"/>
      <c r="G802" s="582" t="n"/>
      <c r="H802" s="583" t="n"/>
      <c r="I802" s="510" t="n"/>
    </row>
    <row r="803" ht="19.95" customFormat="1" customHeight="1" s="511">
      <c r="A803" s="277" t="n"/>
      <c r="B803" s="285" t="n"/>
      <c r="C803" s="579" t="n"/>
      <c r="D803" s="580" t="n"/>
      <c r="E803" s="581" t="n"/>
      <c r="F803" s="577" t="n"/>
      <c r="G803" s="582" t="n"/>
      <c r="H803" s="583" t="n"/>
      <c r="I803" s="510" t="n"/>
    </row>
    <row r="804" ht="19.95" customFormat="1" customHeight="1" s="511">
      <c r="A804" s="277" t="n"/>
      <c r="B804" s="285" t="n"/>
      <c r="C804" s="579" t="n"/>
      <c r="D804" s="580" t="n"/>
      <c r="E804" s="581" t="n"/>
      <c r="F804" s="577" t="n"/>
      <c r="G804" s="582" t="n"/>
      <c r="H804" s="583" t="n"/>
      <c r="I804" s="510" t="n"/>
    </row>
    <row r="805" ht="19.95" customFormat="1" customHeight="1" s="511">
      <c r="A805" s="277" t="n"/>
      <c r="B805" s="285" t="n"/>
      <c r="C805" s="579" t="n"/>
      <c r="D805" s="580" t="n"/>
      <c r="E805" s="581" t="n"/>
      <c r="F805" s="577" t="n"/>
      <c r="G805" s="582" t="n"/>
      <c r="H805" s="583" t="n"/>
      <c r="I805" s="510" t="n"/>
    </row>
    <row r="806" ht="19.95" customFormat="1" customHeight="1" s="511">
      <c r="A806" s="277" t="n"/>
      <c r="B806" s="285" t="n"/>
      <c r="C806" s="579" t="n"/>
      <c r="D806" s="580" t="n"/>
      <c r="E806" s="581" t="n"/>
      <c r="F806" s="577" t="n"/>
      <c r="G806" s="582" t="n"/>
      <c r="H806" s="583" t="n"/>
      <c r="I806" s="510" t="n"/>
    </row>
    <row r="807" ht="19.95" customFormat="1" customHeight="1" s="511">
      <c r="A807" s="277" t="n"/>
      <c r="B807" s="285" t="n"/>
      <c r="C807" s="579" t="n"/>
      <c r="D807" s="580" t="n"/>
      <c r="E807" s="581" t="n"/>
      <c r="F807" s="577" t="n"/>
      <c r="G807" s="582" t="n"/>
      <c r="H807" s="583" t="n"/>
      <c r="I807" s="510" t="n"/>
    </row>
    <row r="808" ht="19.95" customFormat="1" customHeight="1" s="511">
      <c r="A808" s="277" t="n"/>
      <c r="B808" s="285" t="n"/>
      <c r="C808" s="579" t="n"/>
      <c r="D808" s="580" t="n"/>
      <c r="E808" s="581" t="n"/>
      <c r="F808" s="577" t="n"/>
      <c r="G808" s="582" t="n"/>
      <c r="H808" s="583" t="n"/>
      <c r="I808" s="510" t="n"/>
    </row>
    <row r="809" ht="19.95" customFormat="1" customHeight="1" s="511">
      <c r="A809" s="277" t="n"/>
      <c r="B809" s="285" t="n"/>
      <c r="C809" s="579" t="n"/>
      <c r="D809" s="580" t="n"/>
      <c r="E809" s="581" t="n"/>
      <c r="F809" s="577" t="n"/>
      <c r="G809" s="582" t="n"/>
      <c r="H809" s="583" t="n"/>
      <c r="I809" s="510" t="n"/>
    </row>
    <row r="810" ht="19.95" customFormat="1" customHeight="1" s="511">
      <c r="A810" s="277" t="n"/>
      <c r="B810" s="285" t="n"/>
      <c r="C810" s="579" t="n"/>
      <c r="D810" s="580" t="n"/>
      <c r="E810" s="581" t="n"/>
      <c r="F810" s="577" t="n"/>
      <c r="G810" s="582" t="n"/>
      <c r="H810" s="583" t="n"/>
      <c r="I810" s="510" t="n"/>
    </row>
    <row r="811" ht="19.95" customFormat="1" customHeight="1" s="511">
      <c r="A811" s="277" t="n"/>
      <c r="B811" s="285" t="n"/>
      <c r="C811" s="579" t="n"/>
      <c r="D811" s="580" t="n"/>
      <c r="E811" s="581" t="n"/>
      <c r="F811" s="577" t="n"/>
      <c r="G811" s="582" t="n"/>
      <c r="H811" s="583" t="n"/>
      <c r="I811" s="510" t="n"/>
    </row>
    <row r="812" ht="19.95" customFormat="1" customHeight="1" s="511">
      <c r="A812" s="277" t="n"/>
      <c r="B812" s="285" t="n"/>
      <c r="C812" s="579" t="n"/>
      <c r="D812" s="580" t="n"/>
      <c r="E812" s="581" t="n"/>
      <c r="F812" s="577" t="n"/>
      <c r="G812" s="582" t="n"/>
      <c r="H812" s="583" t="n"/>
      <c r="I812" s="510" t="n"/>
    </row>
    <row r="813" ht="19.95" customFormat="1" customHeight="1" s="511">
      <c r="A813" s="277" t="n"/>
      <c r="B813" s="285" t="n"/>
      <c r="C813" s="579" t="n"/>
      <c r="D813" s="580" t="n"/>
      <c r="E813" s="581" t="n"/>
      <c r="F813" s="577" t="n"/>
      <c r="G813" s="582" t="n"/>
      <c r="H813" s="583" t="n"/>
      <c r="I813" s="510" t="n"/>
    </row>
    <row r="814" ht="19.95" customFormat="1" customHeight="1" s="511">
      <c r="A814" s="277" t="n"/>
      <c r="B814" s="285" t="n"/>
      <c r="C814" s="579" t="n"/>
      <c r="D814" s="580" t="n"/>
      <c r="E814" s="581" t="n"/>
      <c r="F814" s="577" t="n"/>
      <c r="G814" s="582" t="n"/>
      <c r="H814" s="583" t="n"/>
      <c r="I814" s="510" t="n"/>
    </row>
    <row r="815" ht="19.95" customFormat="1" customHeight="1" s="511">
      <c r="A815" s="277" t="n"/>
      <c r="B815" s="285" t="n"/>
      <c r="C815" s="579" t="n"/>
      <c r="D815" s="580" t="n"/>
      <c r="E815" s="581" t="n"/>
      <c r="F815" s="577" t="n"/>
      <c r="G815" s="582" t="n"/>
      <c r="H815" s="583" t="n"/>
      <c r="I815" s="510" t="n"/>
    </row>
    <row r="816" ht="19.95" customFormat="1" customHeight="1" s="511">
      <c r="A816" s="277" t="n"/>
      <c r="B816" s="285" t="n"/>
      <c r="C816" s="579" t="n"/>
      <c r="D816" s="580" t="n"/>
      <c r="E816" s="581" t="n"/>
      <c r="F816" s="577" t="n"/>
      <c r="G816" s="582" t="n"/>
      <c r="H816" s="583" t="n"/>
      <c r="I816" s="510" t="n"/>
    </row>
    <row r="817" ht="19.95" customFormat="1" customHeight="1" s="511">
      <c r="A817" s="277" t="n"/>
      <c r="B817" s="285" t="n"/>
      <c r="C817" s="579" t="n"/>
      <c r="D817" s="580" t="n"/>
      <c r="E817" s="581" t="n"/>
      <c r="F817" s="577" t="n"/>
      <c r="G817" s="582" t="n"/>
      <c r="H817" s="583" t="n"/>
      <c r="I817" s="510" t="n"/>
    </row>
    <row r="818" ht="19.95" customFormat="1" customHeight="1" s="511">
      <c r="A818" s="277" t="n"/>
      <c r="B818" s="285" t="n"/>
      <c r="C818" s="579" t="n"/>
      <c r="D818" s="580" t="n"/>
      <c r="E818" s="581" t="n"/>
      <c r="F818" s="577" t="n"/>
      <c r="G818" s="582" t="n"/>
      <c r="H818" s="583" t="n"/>
      <c r="I818" s="510" t="n"/>
    </row>
    <row r="819" ht="19.95" customFormat="1" customHeight="1" s="511">
      <c r="A819" s="277" t="n"/>
      <c r="B819" s="285" t="n"/>
      <c r="C819" s="579" t="n"/>
      <c r="D819" s="580" t="n"/>
      <c r="E819" s="581" t="n"/>
      <c r="F819" s="577" t="n"/>
      <c r="G819" s="582" t="n"/>
      <c r="H819" s="583" t="n"/>
      <c r="I819" s="510" t="n"/>
    </row>
    <row r="820" ht="19.95" customFormat="1" customHeight="1" s="511">
      <c r="A820" s="277" t="n"/>
      <c r="B820" s="285" t="n"/>
      <c r="C820" s="579" t="n"/>
      <c r="D820" s="580" t="n"/>
      <c r="E820" s="581" t="n"/>
      <c r="F820" s="577" t="n"/>
      <c r="G820" s="582" t="n"/>
      <c r="H820" s="583" t="n"/>
      <c r="I820" s="510" t="n"/>
    </row>
    <row r="821" ht="19.95" customFormat="1" customHeight="1" s="511">
      <c r="A821" s="277" t="n"/>
      <c r="B821" s="285" t="n"/>
      <c r="C821" s="579" t="n"/>
      <c r="D821" s="580" t="n"/>
      <c r="E821" s="581" t="n"/>
      <c r="F821" s="577" t="n"/>
      <c r="G821" s="582" t="n"/>
      <c r="H821" s="583" t="n"/>
      <c r="I821" s="510" t="n"/>
    </row>
    <row r="822" ht="19.95" customFormat="1" customHeight="1" s="511">
      <c r="A822" s="277" t="n"/>
      <c r="B822" s="285" t="n"/>
      <c r="C822" s="579" t="n"/>
      <c r="D822" s="580" t="n"/>
      <c r="E822" s="581" t="n"/>
      <c r="F822" s="577" t="n"/>
      <c r="G822" s="582" t="n"/>
      <c r="H822" s="583" t="n"/>
      <c r="I822" s="510" t="n"/>
    </row>
    <row r="823" ht="19.95" customFormat="1" customHeight="1" s="511">
      <c r="A823" s="277" t="n"/>
      <c r="B823" s="285" t="n"/>
      <c r="C823" s="579" t="n"/>
      <c r="D823" s="580" t="n"/>
      <c r="E823" s="581" t="n"/>
      <c r="F823" s="577" t="n"/>
      <c r="G823" s="582" t="n"/>
      <c r="H823" s="583" t="n"/>
      <c r="I823" s="510" t="n"/>
    </row>
    <row r="824" ht="19.95" customFormat="1" customHeight="1" s="511">
      <c r="A824" s="277" t="n"/>
      <c r="B824" s="285" t="n"/>
      <c r="C824" s="579" t="n"/>
      <c r="D824" s="580" t="n"/>
      <c r="E824" s="581" t="n"/>
      <c r="F824" s="577" t="n"/>
      <c r="G824" s="582" t="n"/>
      <c r="H824" s="583" t="n"/>
      <c r="I824" s="510" t="n"/>
    </row>
    <row r="825" ht="19.95" customFormat="1" customHeight="1" s="511">
      <c r="A825" s="277" t="n"/>
      <c r="B825" s="285" t="n"/>
      <c r="C825" s="579" t="n"/>
      <c r="D825" s="580" t="n"/>
      <c r="E825" s="581" t="n"/>
      <c r="F825" s="577" t="n"/>
      <c r="G825" s="582" t="n"/>
      <c r="H825" s="583" t="n"/>
      <c r="I825" s="510" t="n"/>
    </row>
    <row r="826" ht="19.95" customFormat="1" customHeight="1" s="511">
      <c r="A826" s="277" t="n"/>
      <c r="B826" s="285" t="n"/>
      <c r="C826" s="579" t="n"/>
      <c r="D826" s="580" t="n"/>
      <c r="E826" s="581" t="n"/>
      <c r="F826" s="577" t="n"/>
      <c r="G826" s="582" t="n"/>
      <c r="H826" s="583" t="n"/>
      <c r="I826" s="510" t="n"/>
    </row>
    <row r="827" ht="19.95" customFormat="1" customHeight="1" s="511">
      <c r="A827" s="277" t="n"/>
      <c r="B827" s="285" t="n"/>
      <c r="C827" s="579" t="n"/>
      <c r="D827" s="580" t="n"/>
      <c r="E827" s="581" t="n"/>
      <c r="F827" s="577" t="n"/>
      <c r="G827" s="582" t="n"/>
      <c r="H827" s="583" t="n"/>
      <c r="I827" s="510" t="n"/>
    </row>
    <row r="828" ht="19.95" customFormat="1" customHeight="1" s="511">
      <c r="A828" s="277" t="n"/>
      <c r="B828" s="285" t="n"/>
      <c r="C828" s="579" t="n"/>
      <c r="D828" s="580" t="n"/>
      <c r="E828" s="581" t="n"/>
      <c r="F828" s="577" t="n"/>
      <c r="G828" s="582" t="n"/>
      <c r="H828" s="583" t="n"/>
      <c r="I828" s="510" t="n"/>
    </row>
    <row r="829" ht="19.95" customFormat="1" customHeight="1" s="511">
      <c r="A829" s="277" t="n"/>
      <c r="B829" s="285" t="n"/>
      <c r="C829" s="579" t="n"/>
      <c r="D829" s="580" t="n"/>
      <c r="E829" s="581" t="n"/>
      <c r="F829" s="577" t="n"/>
      <c r="G829" s="582" t="n"/>
      <c r="H829" s="583" t="n"/>
      <c r="I829" s="510" t="n"/>
    </row>
    <row r="830" ht="19.95" customFormat="1" customHeight="1" s="511">
      <c r="A830" s="277" t="n"/>
      <c r="B830" s="285" t="n"/>
      <c r="C830" s="579" t="n"/>
      <c r="D830" s="580" t="n"/>
      <c r="E830" s="581" t="n"/>
      <c r="F830" s="577" t="n"/>
      <c r="G830" s="582" t="n"/>
      <c r="H830" s="583" t="n"/>
      <c r="I830" s="510" t="n"/>
    </row>
    <row r="831" ht="19.95" customFormat="1" customHeight="1" s="511">
      <c r="A831" s="277" t="n"/>
      <c r="B831" s="285" t="n"/>
      <c r="C831" s="579" t="n"/>
      <c r="D831" s="580" t="n"/>
      <c r="E831" s="581" t="n"/>
      <c r="F831" s="577" t="n"/>
      <c r="G831" s="582" t="n"/>
      <c r="H831" s="583" t="n"/>
      <c r="I831" s="510" t="n"/>
    </row>
    <row r="832" ht="19.95" customFormat="1" customHeight="1" s="511">
      <c r="A832" s="277" t="n"/>
      <c r="B832" s="285" t="n"/>
      <c r="C832" s="579" t="n"/>
      <c r="D832" s="580" t="n"/>
      <c r="E832" s="581" t="n"/>
      <c r="F832" s="577" t="n"/>
      <c r="G832" s="582" t="n"/>
      <c r="H832" s="583" t="n"/>
      <c r="I832" s="510" t="n"/>
    </row>
    <row r="833" ht="19.95" customFormat="1" customHeight="1" s="511">
      <c r="A833" s="277" t="n"/>
      <c r="B833" s="285" t="n"/>
      <c r="C833" s="579" t="n"/>
      <c r="D833" s="580" t="n"/>
      <c r="E833" s="581" t="n"/>
      <c r="F833" s="577" t="n"/>
      <c r="G833" s="582" t="n"/>
      <c r="H833" s="583" t="n"/>
      <c r="I833" s="510" t="n"/>
    </row>
    <row r="834" ht="19.95" customFormat="1" customHeight="1" s="511">
      <c r="A834" s="277" t="n"/>
      <c r="B834" s="285" t="n"/>
      <c r="C834" s="579" t="n"/>
      <c r="D834" s="580" t="n"/>
      <c r="E834" s="581" t="n"/>
      <c r="F834" s="577" t="n"/>
      <c r="G834" s="582" t="n"/>
      <c r="H834" s="583" t="n"/>
      <c r="I834" s="510" t="n"/>
    </row>
    <row r="835" ht="19.95" customFormat="1" customHeight="1" s="511">
      <c r="A835" s="277" t="n"/>
      <c r="B835" s="285" t="n"/>
      <c r="C835" s="579" t="n"/>
      <c r="D835" s="580" t="n"/>
      <c r="E835" s="581" t="n"/>
      <c r="F835" s="577" t="n"/>
      <c r="G835" s="582" t="n"/>
      <c r="H835" s="583" t="n"/>
      <c r="I835" s="510" t="n"/>
    </row>
    <row r="836" ht="19.95" customFormat="1" customHeight="1" s="511">
      <c r="A836" s="277" t="n"/>
      <c r="B836" s="285" t="n"/>
      <c r="C836" s="579" t="n"/>
      <c r="D836" s="580" t="n"/>
      <c r="E836" s="581" t="n"/>
      <c r="F836" s="577" t="n"/>
      <c r="G836" s="582" t="n"/>
      <c r="H836" s="583" t="n"/>
      <c r="I836" s="510" t="n"/>
    </row>
    <row r="837" ht="19.95" customFormat="1" customHeight="1" s="511">
      <c r="A837" s="277" t="n"/>
      <c r="B837" s="285" t="n"/>
      <c r="C837" s="579" t="n"/>
      <c r="D837" s="580" t="n"/>
      <c r="E837" s="581" t="n"/>
      <c r="F837" s="577" t="n"/>
      <c r="G837" s="582" t="n"/>
      <c r="H837" s="583" t="n"/>
      <c r="I837" s="510" t="n"/>
    </row>
    <row r="838" ht="19.95" customFormat="1" customHeight="1" s="511">
      <c r="A838" s="277" t="n"/>
      <c r="B838" s="285" t="n"/>
      <c r="C838" s="579" t="n"/>
      <c r="D838" s="580" t="n"/>
      <c r="E838" s="581" t="n"/>
      <c r="F838" s="577" t="n"/>
      <c r="G838" s="582" t="n"/>
      <c r="H838" s="583" t="n"/>
      <c r="I838" s="510" t="n"/>
    </row>
    <row r="839" ht="19.95" customFormat="1" customHeight="1" s="511">
      <c r="A839" s="277" t="n"/>
      <c r="B839" s="285" t="n"/>
      <c r="C839" s="579" t="n"/>
      <c r="D839" s="580" t="n"/>
      <c r="E839" s="581" t="n"/>
      <c r="F839" s="577" t="n"/>
      <c r="G839" s="582" t="n"/>
      <c r="H839" s="583" t="n"/>
      <c r="I839" s="510" t="n"/>
    </row>
    <row r="840" ht="19.95" customFormat="1" customHeight="1" s="511">
      <c r="A840" s="277" t="n"/>
      <c r="B840" s="285" t="n"/>
      <c r="C840" s="579" t="n"/>
      <c r="D840" s="580" t="n"/>
      <c r="E840" s="581" t="n"/>
      <c r="F840" s="577" t="n"/>
      <c r="G840" s="582" t="n"/>
      <c r="H840" s="583" t="n"/>
      <c r="I840" s="510" t="n"/>
    </row>
    <row r="841" ht="19.95" customFormat="1" customHeight="1" s="511">
      <c r="A841" s="277" t="n"/>
      <c r="B841" s="285" t="n"/>
      <c r="C841" s="579" t="n"/>
      <c r="D841" s="580" t="n"/>
      <c r="E841" s="581" t="n"/>
      <c r="F841" s="577" t="n"/>
      <c r="G841" s="582" t="n"/>
      <c r="H841" s="583" t="n"/>
      <c r="I841" s="510" t="n"/>
    </row>
    <row r="842" ht="19.95" customFormat="1" customHeight="1" s="511">
      <c r="A842" s="277" t="n"/>
      <c r="B842" s="285" t="n"/>
      <c r="C842" s="579" t="n"/>
      <c r="D842" s="580" t="n"/>
      <c r="E842" s="581" t="n"/>
      <c r="F842" s="577" t="n"/>
      <c r="G842" s="582" t="n"/>
      <c r="H842" s="583" t="n"/>
      <c r="I842" s="510" t="n"/>
    </row>
    <row r="843" ht="19.95" customFormat="1" customHeight="1" s="511">
      <c r="A843" s="277" t="n"/>
      <c r="B843" s="285" t="n"/>
      <c r="C843" s="579" t="n"/>
      <c r="D843" s="580" t="n"/>
      <c r="E843" s="581" t="n"/>
      <c r="F843" s="577" t="n"/>
      <c r="G843" s="582" t="n"/>
      <c r="H843" s="583" t="n"/>
      <c r="I843" s="510" t="n"/>
    </row>
    <row r="844" ht="19.95" customFormat="1" customHeight="1" s="511">
      <c r="A844" s="277" t="n"/>
      <c r="B844" s="285" t="n"/>
      <c r="C844" s="579" t="n"/>
      <c r="D844" s="580" t="n"/>
      <c r="E844" s="581" t="n"/>
      <c r="F844" s="577" t="n"/>
      <c r="G844" s="582" t="n"/>
      <c r="H844" s="583" t="n"/>
      <c r="I844" s="510" t="n"/>
    </row>
    <row r="845" ht="19.95" customFormat="1" customHeight="1" s="511">
      <c r="A845" s="277" t="n"/>
      <c r="B845" s="285" t="n"/>
      <c r="C845" s="579" t="n"/>
      <c r="D845" s="580" t="n"/>
      <c r="E845" s="581" t="n"/>
      <c r="F845" s="577" t="n"/>
      <c r="G845" s="582" t="n"/>
      <c r="H845" s="583" t="n"/>
      <c r="I845" s="510" t="n"/>
    </row>
    <row r="846" ht="19.95" customFormat="1" customHeight="1" s="511">
      <c r="A846" s="277" t="n"/>
      <c r="B846" s="285" t="n"/>
      <c r="C846" s="579" t="n"/>
      <c r="D846" s="580" t="n"/>
      <c r="E846" s="581" t="n"/>
      <c r="F846" s="577" t="n"/>
      <c r="G846" s="582" t="n"/>
      <c r="H846" s="583" t="n"/>
      <c r="I846" s="510" t="n"/>
    </row>
    <row r="847" ht="19.95" customFormat="1" customHeight="1" s="511">
      <c r="A847" s="277" t="n"/>
      <c r="B847" s="285" t="n"/>
      <c r="C847" s="579" t="n"/>
      <c r="D847" s="580" t="n"/>
      <c r="E847" s="581" t="n"/>
      <c r="F847" s="577" t="n"/>
      <c r="G847" s="582" t="n"/>
      <c r="H847" s="583" t="n"/>
      <c r="I847" s="510" t="n"/>
    </row>
    <row r="848" ht="19.95" customFormat="1" customHeight="1" s="511">
      <c r="A848" s="277" t="n"/>
      <c r="B848" s="285" t="n"/>
      <c r="C848" s="579" t="n"/>
      <c r="D848" s="580" t="n"/>
      <c r="E848" s="581" t="n"/>
      <c r="F848" s="577" t="n"/>
      <c r="G848" s="582" t="n"/>
      <c r="H848" s="583" t="n"/>
      <c r="I848" s="510" t="n"/>
    </row>
    <row r="849" ht="19.95" customFormat="1" customHeight="1" s="511">
      <c r="A849" s="277" t="n"/>
      <c r="B849" s="285" t="n"/>
      <c r="C849" s="579" t="n"/>
      <c r="D849" s="580" t="n"/>
      <c r="E849" s="581" t="n"/>
      <c r="F849" s="577" t="n"/>
      <c r="G849" s="582" t="n"/>
      <c r="H849" s="583" t="n"/>
      <c r="I849" s="510" t="n"/>
    </row>
    <row r="850" ht="19.95" customFormat="1" customHeight="1" s="511">
      <c r="A850" s="277" t="n"/>
      <c r="B850" s="285" t="n"/>
      <c r="C850" s="579" t="n"/>
      <c r="D850" s="580" t="n"/>
      <c r="E850" s="581" t="n"/>
      <c r="F850" s="577" t="n"/>
      <c r="G850" s="582" t="n"/>
      <c r="H850" s="583" t="n"/>
      <c r="I850" s="510" t="n"/>
    </row>
    <row r="851" ht="19.95" customFormat="1" customHeight="1" s="511">
      <c r="A851" s="277" t="n"/>
      <c r="B851" s="285" t="n"/>
      <c r="C851" s="579" t="n"/>
      <c r="D851" s="580" t="n"/>
      <c r="E851" s="581" t="n"/>
      <c r="F851" s="577" t="n"/>
      <c r="G851" s="582" t="n"/>
      <c r="H851" s="583" t="n"/>
      <c r="I851" s="510" t="n"/>
    </row>
    <row r="852" ht="19.95" customFormat="1" customHeight="1" s="511">
      <c r="A852" s="277" t="n"/>
      <c r="B852" s="285" t="n"/>
      <c r="C852" s="579" t="n"/>
      <c r="D852" s="580" t="n"/>
      <c r="E852" s="581" t="n"/>
      <c r="F852" s="577" t="n"/>
      <c r="G852" s="582" t="n"/>
      <c r="H852" s="583" t="n"/>
      <c r="I852" s="510" t="n"/>
    </row>
    <row r="853" ht="19.95" customFormat="1" customHeight="1" s="511">
      <c r="A853" s="277" t="n"/>
      <c r="B853" s="285" t="n"/>
      <c r="C853" s="579" t="n"/>
      <c r="D853" s="580" t="n"/>
      <c r="E853" s="581" t="n"/>
      <c r="F853" s="577" t="n"/>
      <c r="G853" s="582" t="n"/>
      <c r="H853" s="583" t="n"/>
      <c r="I853" s="510" t="n"/>
    </row>
    <row r="854" ht="19.95" customFormat="1" customHeight="1" s="511">
      <c r="A854" s="277" t="n"/>
      <c r="B854" s="285" t="n"/>
      <c r="C854" s="579" t="n"/>
      <c r="D854" s="580" t="n"/>
      <c r="E854" s="581" t="n"/>
      <c r="F854" s="577" t="n"/>
      <c r="G854" s="582" t="n"/>
      <c r="H854" s="583" t="n"/>
      <c r="I854" s="510" t="n"/>
    </row>
    <row r="855" ht="19.95" customFormat="1" customHeight="1" s="511">
      <c r="A855" s="277" t="n"/>
      <c r="B855" s="285" t="n"/>
      <c r="C855" s="579" t="n"/>
      <c r="D855" s="580" t="n"/>
      <c r="E855" s="581" t="n"/>
      <c r="F855" s="577" t="n"/>
      <c r="G855" s="582" t="n"/>
      <c r="H855" s="583" t="n"/>
      <c r="I855" s="510" t="n"/>
    </row>
    <row r="856" ht="19.95" customFormat="1" customHeight="1" s="511">
      <c r="A856" s="277" t="n"/>
      <c r="B856" s="285" t="n"/>
      <c r="C856" s="579" t="n"/>
      <c r="D856" s="580" t="n"/>
      <c r="E856" s="581" t="n"/>
      <c r="F856" s="577" t="n"/>
      <c r="G856" s="582" t="n"/>
      <c r="H856" s="583" t="n"/>
      <c r="I856" s="510" t="n"/>
    </row>
    <row r="857" ht="19.95" customFormat="1" customHeight="1" s="511">
      <c r="A857" s="277" t="n"/>
      <c r="B857" s="285" t="n"/>
      <c r="C857" s="579" t="n"/>
      <c r="D857" s="580" t="n"/>
      <c r="E857" s="581" t="n"/>
      <c r="F857" s="577" t="n"/>
      <c r="G857" s="582" t="n"/>
      <c r="H857" s="583" t="n"/>
      <c r="I857" s="510" t="n"/>
    </row>
    <row r="858" ht="19.95" customFormat="1" customHeight="1" s="511">
      <c r="A858" s="277" t="n"/>
      <c r="B858" s="285" t="n"/>
      <c r="C858" s="579" t="n"/>
      <c r="D858" s="580" t="n"/>
      <c r="E858" s="581" t="n"/>
      <c r="F858" s="577" t="n"/>
      <c r="G858" s="582" t="n"/>
      <c r="H858" s="583" t="n"/>
      <c r="I858" s="510" t="n"/>
    </row>
    <row r="859" ht="19.95" customFormat="1" customHeight="1" s="511">
      <c r="A859" s="277" t="n"/>
      <c r="B859" s="285" t="n"/>
      <c r="C859" s="579" t="n"/>
      <c r="D859" s="580" t="n"/>
      <c r="E859" s="581" t="n"/>
      <c r="F859" s="577" t="n"/>
      <c r="G859" s="582" t="n"/>
      <c r="H859" s="583" t="n"/>
      <c r="I859" s="510" t="n"/>
    </row>
    <row r="860" ht="19.95" customFormat="1" customHeight="1" s="511">
      <c r="A860" s="277" t="n"/>
      <c r="B860" s="285" t="n"/>
      <c r="C860" s="579" t="n"/>
      <c r="D860" s="580" t="n"/>
      <c r="E860" s="581" t="n"/>
      <c r="F860" s="577" t="n"/>
      <c r="G860" s="582" t="n"/>
      <c r="H860" s="583" t="n"/>
      <c r="I860" s="510" t="n"/>
    </row>
    <row r="861" ht="19.95" customFormat="1" customHeight="1" s="511">
      <c r="A861" s="277" t="n"/>
      <c r="B861" s="285" t="n"/>
      <c r="C861" s="579" t="n"/>
      <c r="D861" s="580" t="n"/>
      <c r="E861" s="581" t="n"/>
      <c r="F861" s="577" t="n"/>
      <c r="G861" s="582" t="n"/>
      <c r="H861" s="583" t="n"/>
      <c r="I861" s="510" t="n"/>
    </row>
    <row r="862" ht="19.95" customFormat="1" customHeight="1" s="511">
      <c r="A862" s="277" t="n"/>
      <c r="B862" s="285" t="n"/>
      <c r="C862" s="579" t="n"/>
      <c r="D862" s="580" t="n"/>
      <c r="E862" s="581" t="n"/>
      <c r="F862" s="577" t="n"/>
      <c r="G862" s="582" t="n"/>
      <c r="H862" s="583" t="n"/>
      <c r="I862" s="510" t="n"/>
    </row>
    <row r="863" ht="19.95" customFormat="1" customHeight="1" s="511">
      <c r="A863" s="277" t="n"/>
      <c r="B863" s="285" t="n"/>
      <c r="C863" s="579" t="n"/>
      <c r="D863" s="580" t="n"/>
      <c r="E863" s="581" t="n"/>
      <c r="F863" s="577" t="n"/>
      <c r="G863" s="582" t="n"/>
      <c r="H863" s="583" t="n"/>
      <c r="I863" s="510" t="n"/>
    </row>
    <row r="864" ht="19.95" customFormat="1" customHeight="1" s="511">
      <c r="A864" s="277" t="n"/>
      <c r="B864" s="285" t="n"/>
      <c r="C864" s="579" t="n"/>
      <c r="D864" s="580" t="n"/>
      <c r="E864" s="581" t="n"/>
      <c r="F864" s="577" t="n"/>
      <c r="G864" s="582" t="n"/>
      <c r="H864" s="583" t="n"/>
      <c r="I864" s="510" t="n"/>
    </row>
    <row r="865" ht="19.95" customFormat="1" customHeight="1" s="511">
      <c r="A865" s="277" t="n"/>
      <c r="B865" s="285" t="n"/>
      <c r="C865" s="579" t="n"/>
      <c r="D865" s="580" t="n"/>
      <c r="E865" s="581" t="n"/>
      <c r="F865" s="577" t="n"/>
      <c r="G865" s="582" t="n"/>
      <c r="H865" s="583" t="n"/>
      <c r="I865" s="510" t="n"/>
    </row>
    <row r="866" ht="19.95" customFormat="1" customHeight="1" s="511">
      <c r="A866" s="277" t="n"/>
      <c r="B866" s="285" t="n"/>
      <c r="C866" s="579" t="n"/>
      <c r="D866" s="580" t="n"/>
      <c r="E866" s="581" t="n"/>
      <c r="F866" s="577" t="n"/>
      <c r="G866" s="582" t="n"/>
      <c r="H866" s="583" t="n"/>
      <c r="I866" s="510" t="n"/>
    </row>
    <row r="867" ht="19.95" customFormat="1" customHeight="1" s="511">
      <c r="A867" s="277" t="n"/>
      <c r="B867" s="285" t="n"/>
      <c r="C867" s="579" t="n"/>
      <c r="D867" s="580" t="n"/>
      <c r="E867" s="581" t="n"/>
      <c r="F867" s="577" t="n"/>
      <c r="G867" s="582" t="n"/>
      <c r="H867" s="583" t="n"/>
      <c r="I867" s="510" t="n"/>
    </row>
    <row r="868" ht="19.95" customFormat="1" customHeight="1" s="511">
      <c r="A868" s="277" t="n"/>
      <c r="B868" s="285" t="n"/>
      <c r="C868" s="579" t="n"/>
      <c r="D868" s="580" t="n"/>
      <c r="E868" s="581" t="n"/>
      <c r="F868" s="577" t="n"/>
      <c r="G868" s="582" t="n"/>
      <c r="H868" s="583" t="n"/>
      <c r="I868" s="510" t="n"/>
    </row>
    <row r="869" ht="19.95" customFormat="1" customHeight="1" s="511">
      <c r="A869" s="277" t="n"/>
      <c r="B869" s="285" t="n"/>
      <c r="C869" s="579" t="n"/>
      <c r="D869" s="580" t="n"/>
      <c r="E869" s="581" t="n"/>
      <c r="F869" s="577" t="n"/>
      <c r="G869" s="582" t="n"/>
      <c r="H869" s="583" t="n"/>
      <c r="I869" s="510" t="n"/>
    </row>
    <row r="870" ht="19.95" customFormat="1" customHeight="1" s="511">
      <c r="A870" s="277" t="n"/>
      <c r="B870" s="285" t="n"/>
      <c r="C870" s="579" t="n"/>
      <c r="D870" s="580" t="n"/>
      <c r="E870" s="581" t="n"/>
      <c r="F870" s="577" t="n"/>
      <c r="G870" s="582" t="n"/>
      <c r="H870" s="583" t="n"/>
      <c r="I870" s="510" t="n"/>
    </row>
    <row r="871" ht="19.95" customFormat="1" customHeight="1" s="511">
      <c r="A871" s="277" t="n"/>
      <c r="B871" s="285" t="n"/>
      <c r="C871" s="579" t="n"/>
      <c r="D871" s="580" t="n"/>
      <c r="E871" s="581" t="n"/>
      <c r="F871" s="577" t="n"/>
      <c r="G871" s="582" t="n"/>
      <c r="H871" s="583" t="n"/>
      <c r="I871" s="510" t="n"/>
    </row>
    <row r="872" ht="19.95" customFormat="1" customHeight="1" s="511">
      <c r="A872" s="277" t="n"/>
      <c r="B872" s="285" t="n"/>
      <c r="C872" s="579" t="n"/>
      <c r="D872" s="580" t="n"/>
      <c r="E872" s="581" t="n"/>
      <c r="F872" s="577" t="n"/>
      <c r="G872" s="582" t="n"/>
      <c r="H872" s="583" t="n"/>
      <c r="I872" s="510" t="n"/>
    </row>
    <row r="873" ht="19.95" customFormat="1" customHeight="1" s="511">
      <c r="A873" s="277" t="n"/>
      <c r="B873" s="285" t="n"/>
      <c r="C873" s="579" t="n"/>
      <c r="D873" s="580" t="n"/>
      <c r="E873" s="581" t="n"/>
      <c r="F873" s="577" t="n"/>
      <c r="G873" s="582" t="n"/>
      <c r="H873" s="583" t="n"/>
      <c r="I873" s="510" t="n"/>
    </row>
    <row r="874" ht="19.95" customFormat="1" customHeight="1" s="511">
      <c r="A874" s="277" t="n"/>
      <c r="B874" s="285" t="n"/>
      <c r="C874" s="579" t="n"/>
      <c r="D874" s="580" t="n"/>
      <c r="E874" s="581" t="n"/>
      <c r="F874" s="577" t="n"/>
      <c r="G874" s="582" t="n"/>
      <c r="H874" s="583" t="n"/>
      <c r="I874" s="510" t="n"/>
    </row>
    <row r="875" ht="19.95" customFormat="1" customHeight="1" s="511">
      <c r="A875" s="277" t="n"/>
      <c r="B875" s="285" t="n"/>
      <c r="C875" s="579" t="n"/>
      <c r="D875" s="580" t="n"/>
      <c r="E875" s="581" t="n"/>
      <c r="F875" s="577" t="n"/>
      <c r="G875" s="582" t="n"/>
      <c r="H875" s="583" t="n"/>
      <c r="I875" s="510" t="n"/>
    </row>
    <row r="876" ht="19.95" customFormat="1" customHeight="1" s="511">
      <c r="A876" s="277" t="n"/>
      <c r="B876" s="285" t="n"/>
      <c r="C876" s="579" t="n"/>
      <c r="D876" s="580" t="n"/>
      <c r="E876" s="581" t="n"/>
      <c r="F876" s="577" t="n"/>
      <c r="G876" s="582" t="n"/>
      <c r="H876" s="583" t="n"/>
      <c r="I876" s="510" t="n"/>
    </row>
    <row r="877" ht="19.95" customFormat="1" customHeight="1" s="511">
      <c r="A877" s="277" t="n"/>
      <c r="B877" s="285" t="n"/>
      <c r="C877" s="579" t="n"/>
      <c r="D877" s="580" t="n"/>
      <c r="E877" s="581" t="n"/>
      <c r="F877" s="577" t="n"/>
      <c r="G877" s="582" t="n"/>
      <c r="H877" s="583" t="n"/>
      <c r="I877" s="510" t="n"/>
    </row>
    <row r="878" ht="19.95" customFormat="1" customHeight="1" s="511">
      <c r="A878" s="277" t="n"/>
      <c r="B878" s="285" t="n"/>
      <c r="C878" s="579" t="n"/>
      <c r="D878" s="580" t="n"/>
      <c r="E878" s="581" t="n"/>
      <c r="F878" s="577" t="n"/>
      <c r="G878" s="582" t="n"/>
      <c r="H878" s="583" t="n"/>
      <c r="I878" s="510" t="n"/>
    </row>
    <row r="879" ht="19.95" customFormat="1" customHeight="1" s="511">
      <c r="A879" s="277" t="n"/>
      <c r="B879" s="285" t="n"/>
      <c r="C879" s="579" t="n"/>
      <c r="D879" s="580" t="n"/>
      <c r="E879" s="581" t="n"/>
      <c r="F879" s="577" t="n"/>
      <c r="G879" s="582" t="n"/>
      <c r="H879" s="583" t="n"/>
      <c r="I879" s="510" t="n"/>
    </row>
    <row r="880" ht="19.95" customFormat="1" customHeight="1" s="511">
      <c r="A880" s="277" t="n"/>
      <c r="B880" s="285" t="n"/>
      <c r="C880" s="579" t="n"/>
      <c r="D880" s="580" t="n"/>
      <c r="E880" s="581" t="n"/>
      <c r="F880" s="577" t="n"/>
      <c r="G880" s="582" t="n"/>
      <c r="H880" s="583" t="n"/>
      <c r="I880" s="510" t="n"/>
    </row>
    <row r="881" ht="19.95" customFormat="1" customHeight="1" s="511">
      <c r="A881" s="277" t="n"/>
      <c r="B881" s="285" t="n"/>
      <c r="C881" s="579" t="n"/>
      <c r="D881" s="580" t="n"/>
      <c r="E881" s="581" t="n"/>
      <c r="F881" s="577" t="n"/>
      <c r="G881" s="582" t="n"/>
      <c r="H881" s="583" t="n"/>
      <c r="I881" s="510" t="n"/>
    </row>
    <row r="882" ht="19.95" customFormat="1" customHeight="1" s="511">
      <c r="A882" s="277" t="n"/>
      <c r="B882" s="285" t="n"/>
      <c r="C882" s="579" t="n"/>
      <c r="D882" s="580" t="n"/>
      <c r="E882" s="581" t="n"/>
      <c r="F882" s="577" t="n"/>
      <c r="G882" s="582" t="n"/>
      <c r="H882" s="583" t="n"/>
      <c r="I882" s="510" t="n"/>
    </row>
    <row r="883" ht="19.95" customFormat="1" customHeight="1" s="511">
      <c r="A883" s="277" t="n"/>
      <c r="B883" s="285" t="n"/>
      <c r="C883" s="579" t="n"/>
      <c r="D883" s="580" t="n"/>
      <c r="E883" s="581" t="n"/>
      <c r="F883" s="577" t="n"/>
      <c r="G883" s="582" t="n"/>
      <c r="H883" s="583" t="n"/>
      <c r="I883" s="510" t="n"/>
    </row>
    <row r="884" ht="19.95" customFormat="1" customHeight="1" s="511">
      <c r="A884" s="277" t="n"/>
      <c r="B884" s="285" t="n"/>
      <c r="C884" s="579" t="n"/>
      <c r="D884" s="580" t="n"/>
      <c r="E884" s="581" t="n"/>
      <c r="F884" s="577" t="n"/>
      <c r="G884" s="582" t="n"/>
      <c r="H884" s="583" t="n"/>
      <c r="I884" s="510" t="n"/>
    </row>
    <row r="885" ht="19.95" customFormat="1" customHeight="1" s="511">
      <c r="A885" s="277" t="n"/>
      <c r="B885" s="285" t="n"/>
      <c r="C885" s="579" t="n"/>
      <c r="D885" s="580" t="n"/>
      <c r="E885" s="581" t="n"/>
      <c r="F885" s="577" t="n"/>
      <c r="G885" s="582" t="n"/>
      <c r="H885" s="583" t="n"/>
      <c r="I885" s="510" t="n"/>
    </row>
    <row r="886" ht="19.95" customFormat="1" customHeight="1" s="511">
      <c r="A886" s="277" t="n"/>
      <c r="B886" s="285" t="n"/>
      <c r="C886" s="579" t="n"/>
      <c r="D886" s="580" t="n"/>
      <c r="E886" s="581" t="n"/>
      <c r="F886" s="577" t="n"/>
      <c r="G886" s="582" t="n"/>
      <c r="H886" s="583" t="n"/>
      <c r="I886" s="510" t="n"/>
    </row>
    <row r="887" ht="19.95" customFormat="1" customHeight="1" s="511">
      <c r="A887" s="277" t="n"/>
      <c r="B887" s="285" t="n"/>
      <c r="C887" s="579" t="n"/>
      <c r="D887" s="580" t="n"/>
      <c r="E887" s="581" t="n"/>
      <c r="F887" s="577" t="n"/>
      <c r="G887" s="582" t="n"/>
      <c r="H887" s="583" t="n"/>
      <c r="I887" s="510" t="n"/>
    </row>
    <row r="888" ht="19.95" customFormat="1" customHeight="1" s="511">
      <c r="A888" s="277" t="n"/>
      <c r="B888" s="285" t="n"/>
      <c r="C888" s="579" t="n"/>
      <c r="D888" s="580" t="n"/>
      <c r="E888" s="581" t="n"/>
      <c r="F888" s="577" t="n"/>
      <c r="G888" s="582" t="n"/>
      <c r="H888" s="583" t="n"/>
      <c r="I888" s="510" t="n"/>
    </row>
    <row r="889" ht="19.95" customFormat="1" customHeight="1" s="511">
      <c r="A889" s="277" t="n"/>
      <c r="B889" s="285" t="n"/>
      <c r="C889" s="579" t="n"/>
      <c r="D889" s="580" t="n"/>
      <c r="E889" s="581" t="n"/>
      <c r="F889" s="577" t="n"/>
      <c r="G889" s="582" t="n"/>
      <c r="H889" s="583" t="n"/>
      <c r="I889" s="510" t="n"/>
    </row>
    <row r="890" ht="19.95" customFormat="1" customHeight="1" s="511">
      <c r="A890" s="277" t="n"/>
      <c r="B890" s="285" t="n"/>
      <c r="C890" s="579" t="n"/>
      <c r="D890" s="580" t="n"/>
      <c r="E890" s="581" t="n"/>
      <c r="F890" s="577" t="n"/>
      <c r="G890" s="582" t="n"/>
      <c r="H890" s="583" t="n"/>
      <c r="I890" s="510" t="n"/>
    </row>
    <row r="891" ht="19.95" customFormat="1" customHeight="1" s="511">
      <c r="A891" s="277" t="n"/>
      <c r="B891" s="285" t="n"/>
      <c r="C891" s="579" t="n"/>
      <c r="D891" s="580" t="n"/>
      <c r="E891" s="581" t="n"/>
      <c r="F891" s="577" t="n"/>
      <c r="G891" s="582" t="n"/>
      <c r="H891" s="583" t="n"/>
      <c r="I891" s="510" t="n"/>
    </row>
    <row r="892" ht="19.95" customFormat="1" customHeight="1" s="511">
      <c r="A892" s="277" t="n"/>
      <c r="B892" s="285" t="n"/>
      <c r="C892" s="579" t="n"/>
      <c r="D892" s="580" t="n"/>
      <c r="E892" s="581" t="n"/>
      <c r="F892" s="577" t="n"/>
      <c r="G892" s="582" t="n"/>
      <c r="H892" s="583" t="n"/>
      <c r="I892" s="510" t="n"/>
    </row>
    <row r="893" ht="19.95" customFormat="1" customHeight="1" s="511">
      <c r="A893" s="277" t="n"/>
      <c r="B893" s="285" t="n"/>
      <c r="C893" s="579" t="n"/>
      <c r="D893" s="580" t="n"/>
      <c r="E893" s="581" t="n"/>
      <c r="F893" s="577" t="n"/>
      <c r="G893" s="582" t="n"/>
      <c r="H893" s="583" t="n"/>
      <c r="I893" s="510" t="n"/>
    </row>
    <row r="894" ht="19.95" customFormat="1" customHeight="1" s="511">
      <c r="A894" s="277" t="n"/>
      <c r="B894" s="285" t="n"/>
      <c r="C894" s="579" t="n"/>
      <c r="D894" s="580" t="n"/>
      <c r="E894" s="581" t="n"/>
      <c r="F894" s="577" t="n"/>
      <c r="G894" s="582" t="n"/>
      <c r="H894" s="583" t="n"/>
      <c r="I894" s="510" t="n"/>
    </row>
    <row r="895" ht="19.95" customFormat="1" customHeight="1" s="511">
      <c r="A895" s="277" t="n"/>
      <c r="B895" s="285" t="n"/>
      <c r="C895" s="579" t="n"/>
      <c r="D895" s="580" t="n"/>
      <c r="E895" s="581" t="n"/>
      <c r="F895" s="577" t="n"/>
      <c r="G895" s="582" t="n"/>
      <c r="H895" s="583" t="n"/>
      <c r="I895" s="510" t="n"/>
    </row>
    <row r="896" ht="19.95" customFormat="1" customHeight="1" s="511">
      <c r="A896" s="277" t="n"/>
      <c r="B896" s="285" t="n"/>
      <c r="C896" s="579" t="n"/>
      <c r="D896" s="580" t="n"/>
      <c r="E896" s="581" t="n"/>
      <c r="F896" s="577" t="n"/>
      <c r="G896" s="582" t="n"/>
      <c r="H896" s="583" t="n"/>
      <c r="I896" s="510" t="n"/>
    </row>
    <row r="897" ht="19.95" customFormat="1" customHeight="1" s="511">
      <c r="A897" s="277" t="n"/>
      <c r="B897" s="285" t="n"/>
      <c r="C897" s="579" t="n"/>
      <c r="D897" s="580" t="n"/>
      <c r="E897" s="581" t="n"/>
      <c r="F897" s="577" t="n"/>
      <c r="G897" s="582" t="n"/>
      <c r="H897" s="583" t="n"/>
      <c r="I897" s="510" t="n"/>
    </row>
    <row r="898" ht="19.95" customFormat="1" customHeight="1" s="511">
      <c r="A898" s="277" t="n"/>
      <c r="B898" s="285" t="n"/>
      <c r="C898" s="579" t="n"/>
      <c r="D898" s="580" t="n"/>
      <c r="E898" s="581" t="n"/>
      <c r="F898" s="577" t="n"/>
      <c r="G898" s="582" t="n"/>
      <c r="H898" s="583" t="n"/>
      <c r="I898" s="510" t="n"/>
    </row>
    <row r="899" ht="19.95" customFormat="1" customHeight="1" s="511">
      <c r="A899" s="277" t="n"/>
      <c r="B899" s="285" t="n"/>
      <c r="C899" s="579" t="n"/>
      <c r="D899" s="580" t="n"/>
      <c r="E899" s="581" t="n"/>
      <c r="F899" s="577" t="n"/>
      <c r="G899" s="582" t="n"/>
      <c r="H899" s="583" t="n"/>
      <c r="I899" s="510" t="n"/>
    </row>
    <row r="900" ht="19.95" customFormat="1" customHeight="1" s="511">
      <c r="A900" s="277" t="n"/>
      <c r="B900" s="285" t="n"/>
      <c r="C900" s="579" t="n"/>
      <c r="D900" s="580" t="n"/>
      <c r="E900" s="581" t="n"/>
      <c r="F900" s="577" t="n"/>
      <c r="G900" s="582" t="n"/>
      <c r="H900" s="583" t="n"/>
      <c r="I900" s="510" t="n"/>
    </row>
    <row r="901" ht="19.95" customFormat="1" customHeight="1" s="511">
      <c r="A901" s="277" t="n"/>
      <c r="B901" s="285" t="n"/>
      <c r="C901" s="579" t="n"/>
      <c r="D901" s="580" t="n"/>
      <c r="E901" s="581" t="n"/>
      <c r="F901" s="577" t="n"/>
      <c r="G901" s="582" t="n"/>
      <c r="H901" s="583" t="n"/>
      <c r="I901" s="510" t="n"/>
    </row>
    <row r="902" ht="19.95" customFormat="1" customHeight="1" s="511">
      <c r="A902" s="277" t="n"/>
      <c r="B902" s="285" t="n"/>
      <c r="C902" s="579" t="n"/>
      <c r="D902" s="580" t="n"/>
      <c r="E902" s="581" t="n"/>
      <c r="F902" s="577" t="n"/>
      <c r="G902" s="582" t="n"/>
      <c r="H902" s="583" t="n"/>
      <c r="I902" s="510" t="n"/>
    </row>
    <row r="903" ht="19.95" customFormat="1" customHeight="1" s="511">
      <c r="A903" s="277" t="n"/>
      <c r="B903" s="285" t="n"/>
      <c r="C903" s="579" t="n"/>
      <c r="D903" s="580" t="n"/>
      <c r="E903" s="581" t="n"/>
      <c r="F903" s="577" t="n"/>
      <c r="G903" s="582" t="n"/>
      <c r="H903" s="583" t="n"/>
      <c r="I903" s="510" t="n"/>
    </row>
    <row r="904" ht="19.95" customFormat="1" customHeight="1" s="511">
      <c r="A904" s="277" t="n"/>
      <c r="B904" s="285" t="n"/>
      <c r="C904" s="579" t="n"/>
      <c r="D904" s="580" t="n"/>
      <c r="E904" s="581" t="n"/>
      <c r="F904" s="577" t="n"/>
      <c r="G904" s="582" t="n"/>
      <c r="H904" s="583" t="n"/>
      <c r="I904" s="510" t="n"/>
    </row>
    <row r="905" ht="19.95" customFormat="1" customHeight="1" s="511">
      <c r="A905" s="277" t="n"/>
      <c r="B905" s="285" t="n"/>
      <c r="C905" s="579" t="n"/>
      <c r="D905" s="580" t="n"/>
      <c r="E905" s="581" t="n"/>
      <c r="F905" s="577" t="n"/>
      <c r="G905" s="582" t="n"/>
      <c r="H905" s="583" t="n"/>
      <c r="I905" s="510" t="n"/>
    </row>
    <row r="906" ht="19.95" customFormat="1" customHeight="1" s="511">
      <c r="A906" s="277" t="n"/>
      <c r="B906" s="285" t="n"/>
      <c r="C906" s="579" t="n"/>
      <c r="D906" s="580" t="n"/>
      <c r="E906" s="581" t="n"/>
      <c r="F906" s="577" t="n"/>
      <c r="G906" s="582" t="n"/>
      <c r="H906" s="583" t="n"/>
      <c r="I906" s="510" t="n"/>
    </row>
    <row r="907" ht="19.95" customFormat="1" customHeight="1" s="511">
      <c r="A907" s="277" t="n"/>
      <c r="B907" s="285" t="n"/>
      <c r="C907" s="579" t="n"/>
      <c r="D907" s="580" t="n"/>
      <c r="E907" s="581" t="n"/>
      <c r="F907" s="577" t="n"/>
      <c r="G907" s="582" t="n"/>
      <c r="H907" s="583" t="n"/>
      <c r="I907" s="510" t="n"/>
    </row>
    <row r="908" ht="19.95" customFormat="1" customHeight="1" s="511">
      <c r="A908" s="277" t="n"/>
      <c r="B908" s="285" t="n"/>
      <c r="C908" s="579" t="n"/>
      <c r="D908" s="580" t="n"/>
      <c r="E908" s="581" t="n"/>
      <c r="F908" s="577" t="n"/>
      <c r="G908" s="582" t="n"/>
      <c r="H908" s="583" t="n"/>
      <c r="I908" s="510" t="n"/>
    </row>
    <row r="909" ht="19.95" customFormat="1" customHeight="1" s="511">
      <c r="A909" s="277" t="n"/>
      <c r="B909" s="285" t="n"/>
      <c r="C909" s="579" t="n"/>
      <c r="D909" s="580" t="n"/>
      <c r="E909" s="581" t="n"/>
      <c r="F909" s="577" t="n"/>
      <c r="G909" s="582" t="n"/>
      <c r="H909" s="583" t="n"/>
      <c r="I909" s="510" t="n"/>
    </row>
    <row r="910" ht="19.95" customFormat="1" customHeight="1" s="511">
      <c r="A910" s="277" t="n"/>
      <c r="B910" s="285" t="n"/>
      <c r="C910" s="579" t="n"/>
      <c r="D910" s="580" t="n"/>
      <c r="E910" s="581" t="n"/>
      <c r="F910" s="577" t="n"/>
      <c r="G910" s="582" t="n"/>
      <c r="H910" s="583" t="n"/>
      <c r="I910" s="510" t="n"/>
    </row>
    <row r="911" ht="19.95" customFormat="1" customHeight="1" s="511">
      <c r="A911" s="277" t="n"/>
      <c r="B911" s="285" t="n"/>
      <c r="C911" s="579" t="n"/>
      <c r="D911" s="580" t="n"/>
      <c r="E911" s="581" t="n"/>
      <c r="F911" s="577" t="n"/>
      <c r="G911" s="582" t="n"/>
      <c r="H911" s="583" t="n"/>
      <c r="I911" s="510" t="n"/>
    </row>
    <row r="912" ht="19.95" customFormat="1" customHeight="1" s="511">
      <c r="A912" s="277" t="n"/>
      <c r="B912" s="285" t="n"/>
      <c r="C912" s="579" t="n"/>
      <c r="D912" s="580" t="n"/>
      <c r="E912" s="581" t="n"/>
      <c r="F912" s="577" t="n"/>
      <c r="G912" s="582" t="n"/>
      <c r="H912" s="583" t="n"/>
      <c r="I912" s="510" t="n"/>
    </row>
    <row r="913" ht="19.95" customFormat="1" customHeight="1" s="511">
      <c r="A913" s="277" t="n"/>
      <c r="B913" s="285" t="n"/>
      <c r="C913" s="579" t="n"/>
      <c r="D913" s="580" t="n"/>
      <c r="E913" s="581" t="n"/>
      <c r="F913" s="577" t="n"/>
      <c r="G913" s="582" t="n"/>
      <c r="H913" s="583" t="n"/>
      <c r="I913" s="510" t="n"/>
    </row>
    <row r="914" ht="19.95" customFormat="1" customHeight="1" s="511">
      <c r="A914" s="277" t="n"/>
      <c r="B914" s="285" t="n"/>
      <c r="C914" s="579" t="n"/>
      <c r="D914" s="580" t="n"/>
      <c r="E914" s="581" t="n"/>
      <c r="F914" s="577" t="n"/>
      <c r="G914" s="582" t="n"/>
      <c r="H914" s="583" t="n"/>
      <c r="I914" s="510" t="n"/>
    </row>
    <row r="915" ht="19.95" customFormat="1" customHeight="1" s="511">
      <c r="A915" s="277" t="n"/>
      <c r="B915" s="285" t="n"/>
      <c r="C915" s="579" t="n"/>
      <c r="D915" s="580" t="n"/>
      <c r="E915" s="581" t="n"/>
      <c r="F915" s="577" t="n"/>
      <c r="G915" s="582" t="n"/>
      <c r="H915" s="583" t="n"/>
      <c r="I915" s="510" t="n"/>
    </row>
    <row r="916" ht="19.95" customFormat="1" customHeight="1" s="511">
      <c r="A916" s="277" t="n"/>
      <c r="B916" s="285" t="n"/>
      <c r="C916" s="579" t="n"/>
      <c r="D916" s="580" t="n"/>
      <c r="E916" s="581" t="n"/>
      <c r="F916" s="577" t="n"/>
      <c r="G916" s="582" t="n"/>
      <c r="H916" s="583" t="n"/>
      <c r="I916" s="510" t="n"/>
    </row>
    <row r="917" ht="19.95" customFormat="1" customHeight="1" s="511">
      <c r="A917" s="277" t="n"/>
      <c r="B917" s="285" t="n"/>
      <c r="C917" s="579" t="n"/>
      <c r="D917" s="580" t="n"/>
      <c r="E917" s="581" t="n"/>
      <c r="F917" s="577" t="n"/>
      <c r="G917" s="582" t="n"/>
      <c r="H917" s="583" t="n"/>
      <c r="I917" s="510" t="n"/>
    </row>
    <row r="918" ht="19.95" customFormat="1" customHeight="1" s="511">
      <c r="A918" s="277" t="n"/>
      <c r="B918" s="285" t="n"/>
      <c r="C918" s="579" t="n"/>
      <c r="D918" s="580" t="n"/>
      <c r="E918" s="581" t="n"/>
      <c r="F918" s="577" t="n"/>
      <c r="G918" s="582" t="n"/>
      <c r="H918" s="583" t="n"/>
      <c r="I918" s="510" t="n"/>
    </row>
    <row r="919" ht="19.95" customFormat="1" customHeight="1" s="511">
      <c r="A919" s="277" t="n"/>
      <c r="B919" s="285" t="n"/>
      <c r="C919" s="579" t="n"/>
      <c r="D919" s="580" t="n"/>
      <c r="E919" s="581" t="n"/>
      <c r="F919" s="577" t="n"/>
      <c r="G919" s="582" t="n"/>
      <c r="H919" s="583" t="n"/>
      <c r="I919" s="510" t="n"/>
    </row>
    <row r="920" ht="19.95" customFormat="1" customHeight="1" s="511">
      <c r="A920" s="277" t="n"/>
      <c r="B920" s="285" t="n"/>
      <c r="C920" s="579" t="n"/>
      <c r="D920" s="580" t="n"/>
      <c r="E920" s="581" t="n"/>
      <c r="F920" s="577" t="n"/>
      <c r="G920" s="582" t="n"/>
      <c r="H920" s="583" t="n"/>
      <c r="I920" s="510" t="n"/>
    </row>
    <row r="921" ht="19.95" customFormat="1" customHeight="1" s="511">
      <c r="A921" s="277" t="n"/>
      <c r="B921" s="285" t="n"/>
      <c r="C921" s="579" t="n"/>
      <c r="D921" s="580" t="n"/>
      <c r="E921" s="581" t="n"/>
      <c r="F921" s="577" t="n"/>
      <c r="G921" s="582" t="n"/>
      <c r="H921" s="583" t="n"/>
      <c r="I921" s="510" t="n"/>
    </row>
    <row r="922" ht="19.95" customFormat="1" customHeight="1" s="511">
      <c r="A922" s="277" t="n"/>
      <c r="B922" s="285" t="n"/>
      <c r="C922" s="579" t="n"/>
      <c r="D922" s="580" t="n"/>
      <c r="E922" s="581" t="n"/>
      <c r="F922" s="577" t="n"/>
      <c r="G922" s="582" t="n"/>
      <c r="H922" s="583" t="n"/>
      <c r="I922" s="510" t="n"/>
    </row>
    <row r="923" ht="19.95" customFormat="1" customHeight="1" s="511">
      <c r="A923" s="277" t="n"/>
      <c r="B923" s="285" t="n"/>
      <c r="C923" s="579" t="n"/>
      <c r="D923" s="580" t="n"/>
      <c r="E923" s="581" t="n"/>
      <c r="F923" s="577" t="n"/>
      <c r="G923" s="582" t="n"/>
      <c r="H923" s="583" t="n"/>
      <c r="I923" s="510" t="n"/>
    </row>
    <row r="924" ht="19.95" customFormat="1" customHeight="1" s="511">
      <c r="A924" s="277" t="n"/>
      <c r="B924" s="285" t="n"/>
      <c r="C924" s="579" t="n"/>
      <c r="D924" s="580" t="n"/>
      <c r="E924" s="581" t="n"/>
      <c r="F924" s="577" t="n"/>
      <c r="G924" s="582" t="n"/>
      <c r="H924" s="583" t="n"/>
      <c r="I924" s="510" t="n"/>
    </row>
    <row r="925" ht="19.95" customFormat="1" customHeight="1" s="511">
      <c r="A925" s="277" t="n"/>
      <c r="B925" s="285" t="n"/>
      <c r="C925" s="579" t="n"/>
      <c r="D925" s="580" t="n"/>
      <c r="E925" s="581" t="n"/>
      <c r="F925" s="577" t="n"/>
      <c r="G925" s="582" t="n"/>
      <c r="H925" s="583" t="n"/>
      <c r="I925" s="510" t="n"/>
    </row>
    <row r="926" ht="19.95" customFormat="1" customHeight="1" s="511">
      <c r="A926" s="277" t="n"/>
      <c r="B926" s="285" t="n"/>
      <c r="C926" s="579" t="n"/>
      <c r="D926" s="580" t="n"/>
      <c r="E926" s="581" t="n"/>
      <c r="F926" s="577" t="n"/>
      <c r="G926" s="582" t="n"/>
      <c r="H926" s="583" t="n"/>
      <c r="I926" s="510" t="n"/>
    </row>
    <row r="927" ht="19.95" customFormat="1" customHeight="1" s="511">
      <c r="A927" s="277" t="n"/>
      <c r="B927" s="285" t="n"/>
      <c r="C927" s="579" t="n"/>
      <c r="D927" s="580" t="n"/>
      <c r="E927" s="581" t="n"/>
      <c r="F927" s="577" t="n"/>
      <c r="G927" s="582" t="n"/>
      <c r="H927" s="583" t="n"/>
      <c r="I927" s="510" t="n"/>
    </row>
    <row r="928" ht="19.95" customFormat="1" customHeight="1" s="511">
      <c r="A928" s="277" t="n"/>
      <c r="B928" s="285" t="n"/>
      <c r="C928" s="579" t="n"/>
      <c r="D928" s="580" t="n"/>
      <c r="E928" s="581" t="n"/>
      <c r="F928" s="577" t="n"/>
      <c r="G928" s="582" t="n"/>
      <c r="H928" s="583" t="n"/>
      <c r="I928" s="510" t="n"/>
    </row>
    <row r="929" ht="19.95" customFormat="1" customHeight="1" s="511">
      <c r="A929" s="277" t="n"/>
      <c r="B929" s="285" t="n"/>
      <c r="C929" s="579" t="n"/>
      <c r="D929" s="580" t="n"/>
      <c r="E929" s="581" t="n"/>
      <c r="F929" s="577" t="n"/>
      <c r="G929" s="582" t="n"/>
      <c r="H929" s="583" t="n"/>
      <c r="I929" s="510" t="n"/>
    </row>
    <row r="930" ht="19.95" customFormat="1" customHeight="1" s="511">
      <c r="A930" s="277" t="n"/>
      <c r="B930" s="285" t="n"/>
      <c r="C930" s="579" t="n"/>
      <c r="D930" s="580" t="n"/>
      <c r="E930" s="581" t="n"/>
      <c r="F930" s="577" t="n"/>
      <c r="G930" s="582" t="n"/>
      <c r="H930" s="583" t="n"/>
      <c r="I930" s="510" t="n"/>
    </row>
    <row r="931" ht="19.95" customFormat="1" customHeight="1" s="511">
      <c r="A931" s="277" t="n"/>
      <c r="B931" s="285" t="n"/>
      <c r="C931" s="579" t="n"/>
      <c r="D931" s="580" t="n"/>
      <c r="E931" s="581" t="n"/>
      <c r="F931" s="577" t="n"/>
      <c r="G931" s="582" t="n"/>
      <c r="H931" s="583" t="n"/>
      <c r="I931" s="510" t="n"/>
    </row>
    <row r="932" ht="19.95" customFormat="1" customHeight="1" s="511">
      <c r="A932" s="277" t="n"/>
      <c r="B932" s="285" t="n"/>
      <c r="C932" s="579" t="n"/>
      <c r="D932" s="580" t="n"/>
      <c r="E932" s="581" t="n"/>
      <c r="F932" s="577" t="n"/>
      <c r="G932" s="582" t="n"/>
      <c r="H932" s="583" t="n"/>
      <c r="I932" s="510" t="n"/>
    </row>
    <row r="933" ht="19.95" customFormat="1" customHeight="1" s="511">
      <c r="A933" s="277" t="n"/>
      <c r="B933" s="285" t="n"/>
      <c r="C933" s="579" t="n"/>
      <c r="D933" s="580" t="n"/>
      <c r="E933" s="581" t="n"/>
      <c r="F933" s="577" t="n"/>
      <c r="G933" s="582" t="n"/>
      <c r="H933" s="583" t="n"/>
      <c r="I933" s="510" t="n"/>
    </row>
    <row r="934" ht="19.95" customFormat="1" customHeight="1" s="511">
      <c r="A934" s="277" t="n"/>
      <c r="B934" s="285" t="n"/>
      <c r="C934" s="579" t="n"/>
      <c r="D934" s="580" t="n"/>
      <c r="E934" s="581" t="n"/>
      <c r="F934" s="577" t="n"/>
      <c r="G934" s="582" t="n"/>
      <c r="H934" s="583" t="n"/>
      <c r="I934" s="510" t="n"/>
    </row>
    <row r="935" ht="19.95" customFormat="1" customHeight="1" s="511">
      <c r="A935" s="277" t="n"/>
      <c r="B935" s="285" t="n"/>
      <c r="C935" s="579" t="n"/>
      <c r="D935" s="580" t="n"/>
      <c r="E935" s="581" t="n"/>
      <c r="F935" s="577" t="n"/>
      <c r="G935" s="582" t="n"/>
      <c r="H935" s="583" t="n"/>
      <c r="I935" s="510" t="n"/>
    </row>
    <row r="936" ht="19.95" customFormat="1" customHeight="1" s="511">
      <c r="A936" s="277" t="n"/>
      <c r="B936" s="285" t="n"/>
      <c r="C936" s="579" t="n"/>
      <c r="D936" s="580" t="n"/>
      <c r="E936" s="581" t="n"/>
      <c r="F936" s="577" t="n"/>
      <c r="G936" s="582" t="n"/>
      <c r="H936" s="583" t="n"/>
      <c r="I936" s="510" t="n"/>
    </row>
    <row r="937" ht="19.95" customFormat="1" customHeight="1" s="511">
      <c r="A937" s="277" t="n"/>
      <c r="B937" s="285" t="n"/>
      <c r="C937" s="579" t="n"/>
      <c r="D937" s="580" t="n"/>
      <c r="E937" s="581" t="n"/>
      <c r="F937" s="577" t="n"/>
      <c r="G937" s="582" t="n"/>
      <c r="H937" s="583" t="n"/>
      <c r="I937" s="510" t="n"/>
    </row>
    <row r="938" ht="19.95" customFormat="1" customHeight="1" s="511">
      <c r="A938" s="277" t="n"/>
      <c r="B938" s="285" t="n"/>
      <c r="C938" s="579" t="n"/>
      <c r="D938" s="580" t="n"/>
      <c r="E938" s="581" t="n"/>
      <c r="F938" s="577" t="n"/>
      <c r="G938" s="582" t="n"/>
      <c r="H938" s="583" t="n"/>
      <c r="I938" s="510" t="n"/>
    </row>
    <row r="939" ht="19.95" customFormat="1" customHeight="1" s="511">
      <c r="A939" s="277" t="n"/>
      <c r="B939" s="285" t="n"/>
      <c r="C939" s="579" t="n"/>
      <c r="D939" s="580" t="n"/>
      <c r="E939" s="581" t="n"/>
      <c r="F939" s="577" t="n"/>
      <c r="G939" s="582" t="n"/>
      <c r="H939" s="583" t="n"/>
      <c r="I939" s="510" t="n"/>
    </row>
    <row r="940" ht="19.95" customFormat="1" customHeight="1" s="511">
      <c r="A940" s="277" t="n"/>
      <c r="B940" s="285" t="n"/>
      <c r="C940" s="579" t="n"/>
      <c r="D940" s="580" t="n"/>
      <c r="E940" s="581" t="n"/>
      <c r="F940" s="577" t="n"/>
      <c r="G940" s="582" t="n"/>
      <c r="H940" s="583" t="n"/>
      <c r="I940" s="510" t="n"/>
    </row>
    <row r="941" ht="19.95" customFormat="1" customHeight="1" s="511">
      <c r="A941" s="277" t="n"/>
      <c r="B941" s="285" t="n"/>
      <c r="C941" s="579" t="n"/>
      <c r="D941" s="580" t="n"/>
      <c r="E941" s="581" t="n"/>
      <c r="F941" s="577" t="n"/>
      <c r="G941" s="582" t="n"/>
      <c r="H941" s="583" t="n"/>
      <c r="I941" s="510" t="n"/>
    </row>
    <row r="942" ht="19.95" customFormat="1" customHeight="1" s="511">
      <c r="A942" s="277" t="n"/>
      <c r="B942" s="285" t="n"/>
      <c r="C942" s="579" t="n"/>
      <c r="D942" s="580" t="n"/>
      <c r="E942" s="581" t="n"/>
      <c r="F942" s="577" t="n"/>
      <c r="G942" s="582" t="n"/>
      <c r="H942" s="583" t="n"/>
      <c r="I942" s="510" t="n"/>
    </row>
    <row r="943" ht="19.95" customFormat="1" customHeight="1" s="511">
      <c r="A943" s="277" t="n"/>
      <c r="B943" s="285" t="n"/>
      <c r="C943" s="579" t="n"/>
      <c r="D943" s="580" t="n"/>
      <c r="E943" s="581" t="n"/>
      <c r="F943" s="577" t="n"/>
      <c r="G943" s="582" t="n"/>
      <c r="H943" s="583" t="n"/>
      <c r="I943" s="510" t="n"/>
    </row>
    <row r="944" ht="19.95" customFormat="1" customHeight="1" s="511">
      <c r="A944" s="277" t="n"/>
      <c r="B944" s="285" t="n"/>
      <c r="C944" s="579" t="n"/>
      <c r="D944" s="580" t="n"/>
      <c r="E944" s="581" t="n"/>
      <c r="F944" s="577" t="n"/>
      <c r="G944" s="582" t="n"/>
      <c r="H944" s="583" t="n"/>
      <c r="I944" s="510" t="n"/>
    </row>
    <row r="945" ht="19.95" customFormat="1" customHeight="1" s="511">
      <c r="A945" s="277" t="n"/>
      <c r="B945" s="285" t="n"/>
      <c r="C945" s="579" t="n"/>
      <c r="D945" s="580" t="n"/>
      <c r="E945" s="581" t="n"/>
      <c r="F945" s="577" t="n"/>
      <c r="G945" s="582" t="n"/>
      <c r="H945" s="583" t="n"/>
      <c r="I945" s="510" t="n"/>
    </row>
    <row r="946" ht="19.95" customFormat="1" customHeight="1" s="511">
      <c r="A946" s="277" t="n"/>
      <c r="B946" s="285" t="n"/>
      <c r="C946" s="579" t="n"/>
      <c r="D946" s="580" t="n"/>
      <c r="E946" s="581" t="n"/>
      <c r="F946" s="577" t="n"/>
      <c r="G946" s="582" t="n"/>
      <c r="H946" s="583" t="n"/>
      <c r="I946" s="510" t="n"/>
    </row>
    <row r="947" ht="19.95" customFormat="1" customHeight="1" s="511">
      <c r="A947" s="277" t="n"/>
      <c r="B947" s="285" t="n"/>
      <c r="C947" s="579" t="n"/>
      <c r="D947" s="580" t="n"/>
      <c r="E947" s="581" t="n"/>
      <c r="F947" s="577" t="n"/>
      <c r="G947" s="582" t="n"/>
      <c r="H947" s="583" t="n"/>
      <c r="I947" s="510" t="n"/>
    </row>
    <row r="948" ht="19.95" customFormat="1" customHeight="1" s="511">
      <c r="A948" s="277" t="n"/>
      <c r="B948" s="285" t="n"/>
      <c r="C948" s="579" t="n"/>
      <c r="D948" s="580" t="n"/>
      <c r="E948" s="581" t="n"/>
      <c r="F948" s="577" t="n"/>
      <c r="G948" s="582" t="n"/>
      <c r="H948" s="583" t="n"/>
      <c r="I948" s="510" t="n"/>
    </row>
    <row r="949" ht="19.95" customFormat="1" customHeight="1" s="511">
      <c r="A949" s="277" t="n"/>
      <c r="B949" s="285" t="n"/>
      <c r="C949" s="579" t="n"/>
      <c r="D949" s="580" t="n"/>
      <c r="E949" s="581" t="n"/>
      <c r="F949" s="577" t="n"/>
      <c r="G949" s="582" t="n"/>
      <c r="H949" s="583" t="n"/>
      <c r="I949" s="510" t="n"/>
    </row>
    <row r="950" ht="19.95" customFormat="1" customHeight="1" s="511">
      <c r="A950" s="277" t="n"/>
      <c r="B950" s="285" t="n"/>
      <c r="C950" s="579" t="n"/>
      <c r="D950" s="580" t="n"/>
      <c r="E950" s="581" t="n"/>
      <c r="F950" s="577" t="n"/>
      <c r="G950" s="582" t="n"/>
      <c r="H950" s="583" t="n"/>
      <c r="I950" s="510" t="n"/>
    </row>
    <row r="951" ht="19.95" customFormat="1" customHeight="1" s="511">
      <c r="A951" s="277" t="n"/>
      <c r="B951" s="285" t="n"/>
      <c r="C951" s="579" t="n"/>
      <c r="D951" s="580" t="n"/>
      <c r="E951" s="581" t="n"/>
      <c r="F951" s="577" t="n"/>
      <c r="G951" s="582" t="n"/>
      <c r="H951" s="583" t="n"/>
      <c r="I951" s="510" t="n"/>
    </row>
    <row r="952" ht="19.95" customFormat="1" customHeight="1" s="511">
      <c r="A952" s="277" t="n"/>
      <c r="B952" s="285" t="n"/>
      <c r="C952" s="579" t="n"/>
      <c r="D952" s="580" t="n"/>
      <c r="E952" s="581" t="n"/>
      <c r="F952" s="577" t="n"/>
      <c r="G952" s="582" t="n"/>
      <c r="H952" s="583" t="n"/>
      <c r="I952" s="510" t="n"/>
    </row>
    <row r="953" ht="19.95" customFormat="1" customHeight="1" s="511">
      <c r="A953" s="277" t="n"/>
      <c r="B953" s="285" t="n"/>
      <c r="C953" s="579" t="n"/>
      <c r="D953" s="580" t="n"/>
      <c r="E953" s="581" t="n"/>
      <c r="F953" s="577" t="n"/>
      <c r="G953" s="582" t="n"/>
      <c r="H953" s="583" t="n"/>
      <c r="I953" s="510" t="n"/>
    </row>
    <row r="954" ht="19.95" customFormat="1" customHeight="1" s="511">
      <c r="A954" s="277" t="n"/>
      <c r="B954" s="285" t="n"/>
      <c r="C954" s="579" t="n"/>
      <c r="D954" s="580" t="n"/>
      <c r="E954" s="581" t="n"/>
      <c r="F954" s="577" t="n"/>
      <c r="G954" s="582" t="n"/>
      <c r="H954" s="583" t="n"/>
      <c r="I954" s="510" t="n"/>
    </row>
    <row r="955" ht="19.95" customFormat="1" customHeight="1" s="511">
      <c r="A955" s="277" t="n"/>
      <c r="B955" s="285" t="n"/>
      <c r="C955" s="579" t="n"/>
      <c r="D955" s="580" t="n"/>
      <c r="E955" s="581" t="n"/>
      <c r="F955" s="577" t="n"/>
      <c r="G955" s="582" t="n"/>
      <c r="H955" s="583" t="n"/>
      <c r="I955" s="510" t="n"/>
    </row>
    <row r="956" ht="19.95" customFormat="1" customHeight="1" s="511">
      <c r="A956" s="277" t="n"/>
      <c r="B956" s="285" t="n"/>
      <c r="C956" s="579" t="n"/>
      <c r="D956" s="580" t="n"/>
      <c r="E956" s="581" t="n"/>
      <c r="F956" s="577" t="n"/>
      <c r="G956" s="582" t="n"/>
      <c r="H956" s="583" t="n"/>
      <c r="I956" s="510" t="n"/>
    </row>
    <row r="957" ht="19.95" customFormat="1" customHeight="1" s="511">
      <c r="A957" s="277" t="n"/>
      <c r="B957" s="285" t="n"/>
      <c r="C957" s="579" t="n"/>
      <c r="D957" s="580" t="n"/>
      <c r="E957" s="581" t="n"/>
      <c r="F957" s="577" t="n"/>
      <c r="G957" s="582" t="n"/>
      <c r="H957" s="583" t="n"/>
      <c r="I957" s="510" t="n"/>
    </row>
    <row r="958" ht="19.95" customFormat="1" customHeight="1" s="511">
      <c r="A958" s="277" t="n"/>
      <c r="B958" s="285" t="n"/>
      <c r="C958" s="579" t="n"/>
      <c r="D958" s="580" t="n"/>
      <c r="E958" s="581" t="n"/>
      <c r="F958" s="577" t="n"/>
      <c r="G958" s="582" t="n"/>
      <c r="H958" s="583" t="n"/>
      <c r="I958" s="510" t="n"/>
    </row>
    <row r="959" ht="19.95" customFormat="1" customHeight="1" s="511">
      <c r="A959" s="277" t="n"/>
      <c r="B959" s="285" t="n"/>
      <c r="C959" s="579" t="n"/>
      <c r="D959" s="580" t="n"/>
      <c r="E959" s="581" t="n"/>
      <c r="F959" s="577" t="n"/>
      <c r="G959" s="582" t="n"/>
      <c r="H959" s="583" t="n"/>
      <c r="I959" s="510" t="n"/>
    </row>
    <row r="960" ht="19.95" customFormat="1" customHeight="1" s="511">
      <c r="A960" s="277" t="n"/>
      <c r="B960" s="285" t="n"/>
      <c r="C960" s="579" t="n"/>
      <c r="D960" s="580" t="n"/>
      <c r="E960" s="581" t="n"/>
      <c r="F960" s="577" t="n"/>
      <c r="G960" s="582" t="n"/>
      <c r="H960" s="583" t="n"/>
      <c r="I960" s="510" t="n"/>
    </row>
    <row r="961" ht="19.95" customFormat="1" customHeight="1" s="511">
      <c r="A961" s="277" t="n"/>
      <c r="B961" s="285" t="n"/>
      <c r="C961" s="579" t="n"/>
      <c r="D961" s="580" t="n"/>
      <c r="E961" s="581" t="n"/>
      <c r="F961" s="577" t="n"/>
      <c r="G961" s="582" t="n"/>
      <c r="H961" s="583" t="n"/>
      <c r="I961" s="510" t="n"/>
    </row>
    <row r="962" ht="19.95" customFormat="1" customHeight="1" s="511">
      <c r="A962" s="277" t="n"/>
      <c r="B962" s="285" t="n"/>
      <c r="C962" s="579" t="n"/>
      <c r="D962" s="580" t="n"/>
      <c r="E962" s="581" t="n"/>
      <c r="F962" s="577" t="n"/>
      <c r="G962" s="582" t="n"/>
      <c r="H962" s="583" t="n"/>
      <c r="I962" s="510" t="n"/>
    </row>
    <row r="963" ht="19.95" customFormat="1" customHeight="1" s="511">
      <c r="A963" s="277" t="n"/>
      <c r="B963" s="285" t="n"/>
      <c r="C963" s="579" t="n"/>
      <c r="D963" s="580" t="n"/>
      <c r="E963" s="581" t="n"/>
      <c r="F963" s="577" t="n"/>
      <c r="G963" s="582" t="n"/>
      <c r="H963" s="583" t="n"/>
      <c r="I963" s="510" t="n"/>
    </row>
    <row r="964" ht="19.95" customFormat="1" customHeight="1" s="511">
      <c r="A964" s="277" t="n"/>
      <c r="B964" s="285" t="n"/>
      <c r="C964" s="579" t="n"/>
      <c r="D964" s="580" t="n"/>
      <c r="E964" s="581" t="n"/>
      <c r="F964" s="577" t="n"/>
      <c r="G964" s="582" t="n"/>
      <c r="H964" s="583" t="n"/>
      <c r="I964" s="510" t="n"/>
    </row>
    <row r="965" ht="19.95" customFormat="1" customHeight="1" s="511">
      <c r="A965" s="277" t="n"/>
      <c r="B965" s="285" t="n"/>
      <c r="C965" s="579" t="n"/>
      <c r="D965" s="580" t="n"/>
      <c r="E965" s="581" t="n"/>
      <c r="F965" s="577" t="n"/>
      <c r="G965" s="582" t="n"/>
      <c r="H965" s="583" t="n"/>
      <c r="I965" s="510" t="n"/>
    </row>
    <row r="966" ht="19.95" customFormat="1" customHeight="1" s="511">
      <c r="A966" s="277" t="n"/>
      <c r="B966" s="285" t="n"/>
      <c r="C966" s="579" t="n"/>
      <c r="D966" s="580" t="n"/>
      <c r="E966" s="581" t="n"/>
      <c r="F966" s="577" t="n"/>
      <c r="G966" s="582" t="n"/>
      <c r="H966" s="583" t="n"/>
      <c r="I966" s="510" t="n"/>
    </row>
    <row r="967" ht="19.95" customFormat="1" customHeight="1" s="511">
      <c r="A967" s="277" t="n"/>
      <c r="B967" s="285" t="n"/>
      <c r="C967" s="579" t="n"/>
      <c r="D967" s="580" t="n"/>
      <c r="E967" s="581" t="n"/>
      <c r="F967" s="577" t="n"/>
      <c r="G967" s="582" t="n"/>
      <c r="H967" s="583" t="n"/>
      <c r="I967" s="510" t="n"/>
    </row>
    <row r="968" ht="19.95" customFormat="1" customHeight="1" s="511">
      <c r="A968" s="277" t="n"/>
      <c r="B968" s="285" t="n"/>
      <c r="C968" s="579" t="n"/>
      <c r="D968" s="580" t="n"/>
      <c r="E968" s="581" t="n"/>
      <c r="F968" s="577" t="n"/>
      <c r="G968" s="582" t="n"/>
      <c r="H968" s="583" t="n"/>
      <c r="I968" s="510" t="n"/>
    </row>
    <row r="969" ht="19.95" customFormat="1" customHeight="1" s="511">
      <c r="A969" s="277" t="n"/>
      <c r="B969" s="285" t="n"/>
      <c r="C969" s="579" t="n"/>
      <c r="D969" s="580" t="n"/>
      <c r="E969" s="581" t="n"/>
      <c r="F969" s="577" t="n"/>
      <c r="G969" s="582" t="n"/>
      <c r="H969" s="583" t="n"/>
      <c r="I969" s="510" t="n"/>
    </row>
    <row r="970" ht="19.95" customFormat="1" customHeight="1" s="511">
      <c r="A970" s="277" t="n"/>
      <c r="B970" s="285" t="n"/>
      <c r="C970" s="579" t="n"/>
      <c r="D970" s="580" t="n"/>
      <c r="E970" s="581" t="n"/>
      <c r="F970" s="577" t="n"/>
      <c r="G970" s="582" t="n"/>
      <c r="H970" s="583" t="n"/>
      <c r="I970" s="510" t="n"/>
    </row>
    <row r="971" ht="19.95" customFormat="1" customHeight="1" s="511">
      <c r="A971" s="277" t="n"/>
      <c r="B971" s="285" t="n"/>
      <c r="C971" s="579" t="n"/>
      <c r="D971" s="580" t="n"/>
      <c r="E971" s="581" t="n"/>
      <c r="F971" s="577" t="n"/>
      <c r="G971" s="582" t="n"/>
      <c r="H971" s="583" t="n"/>
      <c r="I971" s="510" t="n"/>
    </row>
    <row r="972" ht="19.95" customFormat="1" customHeight="1" s="511">
      <c r="A972" s="277" t="n"/>
      <c r="B972" s="285" t="n"/>
      <c r="C972" s="579" t="n"/>
      <c r="D972" s="580" t="n"/>
      <c r="E972" s="581" t="n"/>
      <c r="F972" s="577" t="n"/>
      <c r="G972" s="582" t="n"/>
      <c r="H972" s="583" t="n"/>
      <c r="I972" s="510" t="n"/>
    </row>
    <row r="973" ht="19.95" customFormat="1" customHeight="1" s="511">
      <c r="A973" s="277" t="n"/>
      <c r="B973" s="285" t="n"/>
      <c r="C973" s="579" t="n"/>
      <c r="D973" s="580" t="n"/>
      <c r="E973" s="581" t="n"/>
      <c r="F973" s="577" t="n"/>
      <c r="G973" s="582" t="n"/>
      <c r="H973" s="583" t="n"/>
      <c r="I973" s="510" t="n"/>
    </row>
    <row r="974" ht="19.95" customFormat="1" customHeight="1" s="511">
      <c r="A974" s="277" t="n"/>
      <c r="B974" s="285" t="n"/>
      <c r="C974" s="579" t="n"/>
      <c r="D974" s="580" t="n"/>
      <c r="E974" s="581" t="n"/>
      <c r="F974" s="577" t="n"/>
      <c r="G974" s="582" t="n"/>
      <c r="H974" s="583" t="n"/>
      <c r="I974" s="510" t="n"/>
    </row>
    <row r="975" ht="19.95" customFormat="1" customHeight="1" s="511">
      <c r="A975" s="277" t="n"/>
      <c r="B975" s="285" t="n"/>
      <c r="C975" s="579" t="n"/>
      <c r="D975" s="580" t="n"/>
      <c r="E975" s="581" t="n"/>
      <c r="F975" s="577" t="n"/>
      <c r="G975" s="582" t="n"/>
      <c r="H975" s="583" t="n"/>
      <c r="I975" s="510" t="n"/>
    </row>
    <row r="976" ht="19.95" customFormat="1" customHeight="1" s="511">
      <c r="A976" s="277" t="n"/>
      <c r="B976" s="285" t="n"/>
      <c r="C976" s="579" t="n"/>
      <c r="D976" s="580" t="n"/>
      <c r="E976" s="581" t="n"/>
      <c r="F976" s="577" t="n"/>
      <c r="G976" s="582" t="n"/>
      <c r="H976" s="583" t="n"/>
      <c r="I976" s="510" t="n"/>
    </row>
    <row r="977" ht="19.95" customFormat="1" customHeight="1" s="511">
      <c r="A977" s="277" t="n"/>
      <c r="B977" s="285" t="n"/>
      <c r="C977" s="579" t="n"/>
      <c r="D977" s="580" t="n"/>
      <c r="E977" s="581" t="n"/>
      <c r="F977" s="577" t="n"/>
      <c r="G977" s="582" t="n"/>
      <c r="H977" s="583" t="n"/>
      <c r="I977" s="510" t="n"/>
    </row>
    <row r="978" ht="19.95" customFormat="1" customHeight="1" s="511">
      <c r="A978" s="277" t="n"/>
      <c r="B978" s="285" t="n"/>
      <c r="C978" s="579" t="n"/>
      <c r="D978" s="580" t="n"/>
      <c r="E978" s="581" t="n"/>
      <c r="F978" s="577" t="n"/>
      <c r="G978" s="582" t="n"/>
      <c r="H978" s="583" t="n"/>
      <c r="I978" s="510" t="n"/>
    </row>
    <row r="979" ht="19.95" customFormat="1" customHeight="1" s="511">
      <c r="A979" s="277" t="n"/>
      <c r="B979" s="285" t="n"/>
      <c r="C979" s="579" t="n"/>
      <c r="D979" s="580" t="n"/>
      <c r="E979" s="581" t="n"/>
      <c r="F979" s="577" t="n"/>
      <c r="G979" s="582" t="n"/>
      <c r="H979" s="583" t="n"/>
      <c r="I979" s="510" t="n"/>
    </row>
    <row r="980" ht="19.95" customFormat="1" customHeight="1" s="511">
      <c r="A980" s="277" t="n"/>
      <c r="B980" s="285" t="n"/>
      <c r="C980" s="579" t="n"/>
      <c r="D980" s="580" t="n"/>
      <c r="E980" s="581" t="n"/>
      <c r="F980" s="577" t="n"/>
      <c r="G980" s="582" t="n"/>
      <c r="H980" s="583" t="n"/>
      <c r="I980" s="510" t="n"/>
    </row>
    <row r="981" ht="19.95" customFormat="1" customHeight="1" s="511">
      <c r="A981" s="277" t="n"/>
      <c r="B981" s="285" t="n"/>
      <c r="C981" s="579" t="n"/>
      <c r="D981" s="580" t="n"/>
      <c r="E981" s="581" t="n"/>
      <c r="F981" s="577" t="n"/>
      <c r="G981" s="582" t="n"/>
      <c r="H981" s="583" t="n"/>
      <c r="I981" s="510" t="n"/>
    </row>
    <row r="982" ht="19.95" customFormat="1" customHeight="1" s="511">
      <c r="A982" s="277" t="n"/>
      <c r="B982" s="285" t="n"/>
      <c r="C982" s="579" t="n"/>
      <c r="D982" s="580" t="n"/>
      <c r="E982" s="581" t="n"/>
      <c r="F982" s="577" t="n"/>
      <c r="G982" s="582" t="n"/>
      <c r="H982" s="583" t="n"/>
      <c r="I982" s="510" t="n"/>
    </row>
    <row r="983" ht="19.95" customFormat="1" customHeight="1" s="511">
      <c r="A983" s="277" t="n"/>
      <c r="B983" s="285" t="n"/>
      <c r="C983" s="579" t="n"/>
      <c r="D983" s="580" t="n"/>
      <c r="E983" s="581" t="n"/>
      <c r="F983" s="577" t="n"/>
      <c r="G983" s="582" t="n"/>
      <c r="H983" s="583" t="n"/>
      <c r="I983" s="510" t="n"/>
    </row>
    <row r="984" ht="19.95" customFormat="1" customHeight="1" s="511">
      <c r="A984" s="277" t="n"/>
      <c r="B984" s="285" t="n"/>
      <c r="C984" s="579" t="n"/>
      <c r="D984" s="580" t="n"/>
      <c r="E984" s="581" t="n"/>
      <c r="F984" s="577" t="n"/>
      <c r="G984" s="582" t="n"/>
      <c r="H984" s="583" t="n"/>
      <c r="I984" s="510" t="n"/>
    </row>
    <row r="985" ht="19.95" customFormat="1" customHeight="1" s="511">
      <c r="A985" s="277" t="n"/>
      <c r="B985" s="285" t="n"/>
      <c r="C985" s="579" t="n"/>
      <c r="D985" s="580" t="n"/>
      <c r="E985" s="581" t="n"/>
      <c r="F985" s="577" t="n"/>
      <c r="G985" s="582" t="n"/>
      <c r="H985" s="583" t="n"/>
      <c r="I985" s="510" t="n"/>
    </row>
    <row r="986" ht="19.95" customFormat="1" customHeight="1" s="511">
      <c r="A986" s="277" t="n"/>
      <c r="B986" s="285" t="n"/>
      <c r="C986" s="579" t="n"/>
      <c r="D986" s="580" t="n"/>
      <c r="E986" s="581" t="n"/>
      <c r="F986" s="577" t="n"/>
      <c r="G986" s="582" t="n"/>
      <c r="H986" s="583" t="n"/>
      <c r="I986" s="510" t="n"/>
    </row>
    <row r="987" ht="19.95" customFormat="1" customHeight="1" s="511">
      <c r="A987" s="277" t="n"/>
      <c r="B987" s="285" t="n"/>
      <c r="C987" s="579" t="n"/>
      <c r="D987" s="580" t="n"/>
      <c r="E987" s="581" t="n"/>
      <c r="F987" s="577" t="n"/>
      <c r="G987" s="582" t="n"/>
      <c r="H987" s="583" t="n"/>
      <c r="I987" s="510" t="n"/>
    </row>
    <row r="988" ht="19.95" customFormat="1" customHeight="1" s="511">
      <c r="A988" s="277" t="n"/>
      <c r="B988" s="285" t="n"/>
      <c r="C988" s="579" t="n"/>
      <c r="D988" s="580" t="n"/>
      <c r="E988" s="581" t="n"/>
      <c r="F988" s="577" t="n"/>
      <c r="G988" s="582" t="n"/>
      <c r="H988" s="583" t="n"/>
      <c r="I988" s="510" t="n"/>
    </row>
    <row r="989" ht="19.95" customFormat="1" customHeight="1" s="511">
      <c r="A989" s="277" t="n"/>
      <c r="B989" s="285" t="n"/>
      <c r="C989" s="579" t="n"/>
      <c r="D989" s="580" t="n"/>
      <c r="E989" s="581" t="n"/>
      <c r="F989" s="577" t="n"/>
      <c r="G989" s="582" t="n"/>
      <c r="H989" s="583" t="n"/>
      <c r="I989" s="510" t="n"/>
    </row>
    <row r="990" ht="19.95" customFormat="1" customHeight="1" s="511">
      <c r="A990" s="277" t="n"/>
      <c r="B990" s="285" t="n"/>
      <c r="C990" s="579" t="n"/>
      <c r="D990" s="580" t="n"/>
      <c r="E990" s="581" t="n"/>
      <c r="F990" s="577" t="n"/>
      <c r="G990" s="582" t="n"/>
      <c r="H990" s="583" t="n"/>
      <c r="I990" s="510" t="n"/>
    </row>
    <row r="991" ht="19.95" customFormat="1" customHeight="1" s="511">
      <c r="A991" s="277" t="n"/>
      <c r="B991" s="285" t="n"/>
      <c r="C991" s="579" t="n"/>
      <c r="D991" s="580" t="n"/>
      <c r="E991" s="581" t="n"/>
      <c r="F991" s="577" t="n"/>
      <c r="G991" s="582" t="n"/>
      <c r="H991" s="583" t="n"/>
      <c r="I991" s="510" t="n"/>
    </row>
    <row r="992" ht="19.95" customFormat="1" customHeight="1" s="511">
      <c r="A992" s="277" t="n"/>
      <c r="B992" s="285" t="n"/>
      <c r="C992" s="579" t="n"/>
      <c r="D992" s="580" t="n"/>
      <c r="E992" s="581" t="n"/>
      <c r="F992" s="577" t="n"/>
      <c r="G992" s="582" t="n"/>
      <c r="H992" s="583" t="n"/>
      <c r="I992" s="510" t="n"/>
    </row>
    <row r="993" ht="19.95" customFormat="1" customHeight="1" s="511">
      <c r="A993" s="277" t="n"/>
      <c r="B993" s="285" t="n"/>
      <c r="C993" s="579" t="n"/>
      <c r="D993" s="580" t="n"/>
      <c r="E993" s="581" t="n"/>
      <c r="F993" s="577" t="n"/>
      <c r="G993" s="582" t="n"/>
      <c r="H993" s="583" t="n"/>
      <c r="I993" s="510" t="n"/>
    </row>
    <row r="994" ht="19.95" customFormat="1" customHeight="1" s="511">
      <c r="A994" s="277" t="n"/>
      <c r="B994" s="285" t="n"/>
      <c r="C994" s="579" t="n"/>
      <c r="D994" s="580" t="n"/>
      <c r="E994" s="581" t="n"/>
      <c r="F994" s="577" t="n"/>
      <c r="G994" s="582" t="n"/>
      <c r="H994" s="583" t="n"/>
      <c r="I994" s="510" t="n"/>
    </row>
    <row r="995" ht="19.95" customFormat="1" customHeight="1" s="511">
      <c r="A995" s="277" t="n"/>
      <c r="B995" s="285" t="n"/>
      <c r="C995" s="579" t="n"/>
      <c r="D995" s="580" t="n"/>
      <c r="E995" s="581" t="n"/>
      <c r="F995" s="577" t="n"/>
      <c r="G995" s="582" t="n"/>
      <c r="H995" s="583" t="n"/>
      <c r="I995" s="510" t="n"/>
    </row>
    <row r="996" ht="19.95" customFormat="1" customHeight="1" s="511">
      <c r="A996" s="277" t="n"/>
      <c r="B996" s="285" t="n"/>
      <c r="C996" s="579" t="n"/>
      <c r="D996" s="580" t="n"/>
      <c r="E996" s="581" t="n"/>
      <c r="F996" s="577" t="n"/>
      <c r="G996" s="582" t="n"/>
      <c r="H996" s="583" t="n"/>
      <c r="I996" s="510" t="n"/>
    </row>
    <row r="997" ht="19.95" customFormat="1" customHeight="1" s="511">
      <c r="A997" s="277" t="n"/>
      <c r="B997" s="285" t="n"/>
      <c r="C997" s="579" t="n"/>
      <c r="D997" s="580" t="n"/>
      <c r="E997" s="581" t="n"/>
      <c r="F997" s="577" t="n"/>
      <c r="G997" s="582" t="n"/>
      <c r="H997" s="583" t="n"/>
      <c r="I997" s="510" t="n"/>
    </row>
    <row r="998" ht="19.95" customFormat="1" customHeight="1" s="511">
      <c r="A998" s="277" t="n"/>
      <c r="B998" s="285" t="n"/>
      <c r="C998" s="579" t="n"/>
      <c r="D998" s="580" t="n"/>
      <c r="E998" s="581" t="n"/>
      <c r="F998" s="577" t="n"/>
      <c r="G998" s="582" t="n"/>
      <c r="H998" s="583" t="n"/>
      <c r="I998" s="510" t="n"/>
    </row>
    <row r="999" ht="19.95" customFormat="1" customHeight="1" s="511">
      <c r="A999" s="277" t="n"/>
      <c r="B999" s="285" t="n"/>
      <c r="C999" s="579" t="n"/>
      <c r="D999" s="580" t="n"/>
      <c r="E999" s="581" t="n"/>
      <c r="F999" s="577" t="n"/>
      <c r="G999" s="582" t="n"/>
      <c r="H999" s="583" t="n"/>
      <c r="I999" s="510" t="n"/>
    </row>
    <row r="1000" ht="19.95" customFormat="1" customHeight="1" s="511">
      <c r="A1000" s="277" t="n"/>
      <c r="B1000" s="285" t="n"/>
      <c r="C1000" s="579" t="n"/>
      <c r="D1000" s="580" t="n"/>
      <c r="E1000" s="581" t="n"/>
      <c r="F1000" s="577" t="n"/>
      <c r="G1000" s="582" t="n"/>
      <c r="H1000" s="583" t="n"/>
      <c r="I1000" s="510" t="n"/>
    </row>
    <row r="1001" ht="19.95" customFormat="1" customHeight="1" s="511">
      <c r="A1001" s="277" t="n"/>
      <c r="B1001" s="285" t="n"/>
      <c r="C1001" s="579" t="n"/>
      <c r="D1001" s="580" t="n"/>
      <c r="E1001" s="581" t="n"/>
      <c r="F1001" s="577" t="n"/>
      <c r="G1001" s="582" t="n"/>
      <c r="H1001" s="583" t="n"/>
      <c r="I1001" s="510" t="n"/>
    </row>
    <row r="1002" ht="19.95" customFormat="1" customHeight="1" s="511">
      <c r="A1002" s="277" t="n"/>
      <c r="B1002" s="285" t="n"/>
      <c r="C1002" s="579" t="n"/>
      <c r="D1002" s="580" t="n"/>
      <c r="E1002" s="581" t="n"/>
      <c r="F1002" s="577" t="n"/>
      <c r="G1002" s="582" t="n"/>
      <c r="H1002" s="583" t="n"/>
      <c r="I1002" s="510" t="n"/>
    </row>
    <row r="1003" ht="19.95" customFormat="1" customHeight="1" s="511">
      <c r="A1003" s="277" t="n"/>
      <c r="B1003" s="285" t="n"/>
      <c r="C1003" s="579" t="n"/>
      <c r="D1003" s="580" t="n"/>
      <c r="E1003" s="581" t="n"/>
      <c r="F1003" s="577" t="n"/>
      <c r="G1003" s="582" t="n"/>
      <c r="H1003" s="583" t="n"/>
      <c r="I1003" s="510" t="n"/>
    </row>
    <row r="1004" ht="19.95" customFormat="1" customHeight="1" s="511">
      <c r="A1004" s="277" t="n"/>
      <c r="B1004" s="285" t="n"/>
      <c r="C1004" s="579" t="n"/>
      <c r="D1004" s="580" t="n"/>
      <c r="E1004" s="581" t="n"/>
      <c r="F1004" s="577" t="n"/>
      <c r="G1004" s="582" t="n"/>
      <c r="H1004" s="583" t="n"/>
      <c r="I1004" s="510" t="n"/>
    </row>
    <row r="1005" ht="19.95" customFormat="1" customHeight="1" s="511">
      <c r="A1005" s="277" t="n"/>
      <c r="B1005" s="285" t="n"/>
      <c r="C1005" s="579" t="n"/>
      <c r="D1005" s="580" t="n"/>
      <c r="E1005" s="581" t="n"/>
      <c r="F1005" s="577" t="n"/>
      <c r="G1005" s="582" t="n"/>
      <c r="H1005" s="583" t="n"/>
      <c r="I1005" s="510" t="n"/>
    </row>
    <row r="1006" ht="19.95" customFormat="1" customHeight="1" s="511">
      <c r="A1006" s="277" t="n"/>
      <c r="B1006" s="285" t="n"/>
      <c r="C1006" s="579" t="n"/>
      <c r="D1006" s="580" t="n"/>
      <c r="E1006" s="581" t="n"/>
      <c r="F1006" s="577" t="n"/>
      <c r="G1006" s="582" t="n"/>
      <c r="H1006" s="583" t="n"/>
      <c r="I1006" s="510" t="n"/>
    </row>
    <row r="1007" ht="19.95" customFormat="1" customHeight="1" s="511">
      <c r="A1007" s="277" t="n"/>
      <c r="B1007" s="285" t="n"/>
      <c r="C1007" s="579" t="n"/>
      <c r="D1007" s="580" t="n"/>
      <c r="E1007" s="581" t="n"/>
      <c r="F1007" s="577" t="n"/>
      <c r="G1007" s="582" t="n"/>
      <c r="H1007" s="583" t="n"/>
      <c r="I1007" s="510" t="n"/>
    </row>
    <row r="1008" ht="19.95" customFormat="1" customHeight="1" s="511">
      <c r="A1008" s="277" t="n"/>
      <c r="B1008" s="285" t="n"/>
      <c r="C1008" s="579" t="n"/>
      <c r="D1008" s="580" t="n"/>
      <c r="E1008" s="581" t="n"/>
      <c r="F1008" s="577" t="n"/>
      <c r="G1008" s="582" t="n"/>
      <c r="H1008" s="583" t="n"/>
      <c r="I1008" s="510" t="n"/>
    </row>
    <row r="1009" ht="19.95" customFormat="1" customHeight="1" s="511">
      <c r="A1009" s="277" t="n"/>
      <c r="B1009" s="285" t="n"/>
      <c r="C1009" s="579" t="n"/>
      <c r="D1009" s="580" t="n"/>
      <c r="E1009" s="581" t="n"/>
      <c r="F1009" s="577" t="n"/>
      <c r="G1009" s="582" t="n"/>
      <c r="H1009" s="583" t="n"/>
      <c r="I1009" s="510" t="n"/>
    </row>
    <row r="1010" ht="19.95" customFormat="1" customHeight="1" s="511">
      <c r="A1010" s="277" t="n"/>
      <c r="B1010" s="285" t="n"/>
      <c r="C1010" s="579" t="n"/>
      <c r="D1010" s="580" t="n"/>
      <c r="E1010" s="581" t="n"/>
      <c r="F1010" s="577" t="n"/>
      <c r="G1010" s="582" t="n"/>
      <c r="H1010" s="583" t="n"/>
      <c r="I1010" s="510" t="n"/>
    </row>
    <row r="1011" ht="19.95" customFormat="1" customHeight="1" s="511">
      <c r="A1011" s="277" t="n"/>
      <c r="B1011" s="285" t="n"/>
      <c r="C1011" s="579" t="n"/>
      <c r="D1011" s="580" t="n"/>
      <c r="E1011" s="581" t="n"/>
      <c r="F1011" s="577" t="n"/>
      <c r="G1011" s="582" t="n"/>
      <c r="H1011" s="583" t="n"/>
      <c r="I1011" s="510" t="n"/>
    </row>
    <row r="1012" ht="19.95" customFormat="1" customHeight="1" s="511">
      <c r="A1012" s="277" t="n"/>
      <c r="B1012" s="285" t="n"/>
      <c r="C1012" s="579" t="n"/>
      <c r="D1012" s="580" t="n"/>
      <c r="E1012" s="581" t="n"/>
      <c r="F1012" s="577" t="n"/>
      <c r="G1012" s="582" t="n"/>
      <c r="H1012" s="583" t="n"/>
      <c r="I1012" s="510" t="n"/>
    </row>
    <row r="1013" ht="19.95" customFormat="1" customHeight="1" s="511">
      <c r="A1013" s="277" t="n"/>
      <c r="B1013" s="285" t="n"/>
      <c r="C1013" s="579" t="n"/>
      <c r="D1013" s="580" t="n"/>
      <c r="E1013" s="581" t="n"/>
      <c r="F1013" s="577" t="n"/>
      <c r="G1013" s="582" t="n"/>
      <c r="H1013" s="583" t="n"/>
      <c r="I1013" s="510" t="n"/>
    </row>
    <row r="1014" ht="19.95" customFormat="1" customHeight="1" s="511">
      <c r="A1014" s="277" t="n"/>
      <c r="B1014" s="285" t="n"/>
      <c r="C1014" s="579" t="n"/>
      <c r="D1014" s="580" t="n"/>
      <c r="E1014" s="581" t="n"/>
      <c r="F1014" s="577" t="n"/>
      <c r="G1014" s="582" t="n"/>
      <c r="H1014" s="583" t="n"/>
      <c r="I1014" s="510" t="n"/>
    </row>
    <row r="1015" ht="19.95" customFormat="1" customHeight="1" s="511">
      <c r="A1015" s="277" t="n"/>
      <c r="B1015" s="285" t="n"/>
      <c r="C1015" s="579" t="n"/>
      <c r="D1015" s="580" t="n"/>
      <c r="E1015" s="581" t="n"/>
      <c r="F1015" s="577" t="n"/>
      <c r="G1015" s="582" t="n"/>
      <c r="H1015" s="583" t="n"/>
      <c r="I1015" s="510" t="n"/>
    </row>
    <row r="1016" ht="19.95" customFormat="1" customHeight="1" s="511">
      <c r="A1016" s="277" t="n"/>
      <c r="B1016" s="285" t="n"/>
      <c r="C1016" s="579" t="n"/>
      <c r="D1016" s="580" t="n"/>
      <c r="E1016" s="581" t="n"/>
      <c r="F1016" s="577" t="n"/>
      <c r="G1016" s="582" t="n"/>
      <c r="H1016" s="583" t="n"/>
      <c r="I1016" s="510" t="n"/>
    </row>
    <row r="1017" ht="19.95" customFormat="1" customHeight="1" s="511">
      <c r="A1017" s="277" t="n"/>
      <c r="B1017" s="285" t="n"/>
      <c r="C1017" s="579" t="n"/>
      <c r="D1017" s="580" t="n"/>
      <c r="E1017" s="581" t="n"/>
      <c r="F1017" s="577" t="n"/>
      <c r="G1017" s="582" t="n"/>
      <c r="H1017" s="583" t="n"/>
      <c r="I1017" s="510" t="n"/>
    </row>
    <row r="1018" ht="19.95" customFormat="1" customHeight="1" s="511">
      <c r="A1018" s="277" t="n"/>
      <c r="B1018" s="285" t="n"/>
      <c r="C1018" s="579" t="n"/>
      <c r="D1018" s="580" t="n"/>
      <c r="E1018" s="581" t="n"/>
      <c r="F1018" s="577" t="n"/>
      <c r="G1018" s="582" t="n"/>
      <c r="H1018" s="583" t="n"/>
      <c r="I1018" s="510" t="n"/>
    </row>
    <row r="1019" ht="19.95" customFormat="1" customHeight="1" s="511">
      <c r="A1019" s="277" t="n"/>
      <c r="B1019" s="285" t="n"/>
      <c r="C1019" s="579" t="n"/>
      <c r="D1019" s="580" t="n"/>
      <c r="E1019" s="581" t="n"/>
      <c r="F1019" s="577" t="n"/>
      <c r="G1019" s="582" t="n"/>
      <c r="H1019" s="583" t="n"/>
      <c r="I1019" s="510" t="n"/>
    </row>
    <row r="1020" ht="19.95" customFormat="1" customHeight="1" s="511">
      <c r="A1020" s="277" t="n"/>
      <c r="B1020" s="285" t="n"/>
      <c r="C1020" s="579" t="n"/>
      <c r="D1020" s="580" t="n"/>
      <c r="E1020" s="581" t="n"/>
      <c r="F1020" s="577" t="n"/>
      <c r="G1020" s="582" t="n"/>
      <c r="H1020" s="583" t="n"/>
      <c r="I1020" s="510" t="n"/>
    </row>
    <row r="1021" ht="19.95" customFormat="1" customHeight="1" s="511">
      <c r="A1021" s="277" t="n"/>
      <c r="B1021" s="285" t="n"/>
      <c r="C1021" s="579" t="n"/>
      <c r="D1021" s="580" t="n"/>
      <c r="E1021" s="581" t="n"/>
      <c r="F1021" s="577" t="n"/>
      <c r="G1021" s="582" t="n"/>
      <c r="H1021" s="583" t="n"/>
      <c r="I1021" s="510" t="n"/>
    </row>
    <row r="1022" ht="19.95" customFormat="1" customHeight="1" s="511">
      <c r="A1022" s="277" t="n"/>
      <c r="B1022" s="285" t="n"/>
      <c r="C1022" s="579" t="n"/>
      <c r="D1022" s="580" t="n"/>
      <c r="E1022" s="581" t="n"/>
      <c r="F1022" s="577" t="n"/>
      <c r="G1022" s="582" t="n"/>
      <c r="H1022" s="583" t="n"/>
      <c r="I1022" s="510" t="n"/>
    </row>
    <row r="1023" ht="19.95" customFormat="1" customHeight="1" s="511">
      <c r="A1023" s="277" t="n"/>
      <c r="B1023" s="285" t="n"/>
      <c r="C1023" s="579" t="n"/>
      <c r="D1023" s="580" t="n"/>
      <c r="E1023" s="581" t="n"/>
      <c r="F1023" s="577" t="n"/>
      <c r="G1023" s="582" t="n"/>
      <c r="H1023" s="583" t="n"/>
      <c r="I1023" s="510" t="n"/>
    </row>
    <row r="1024" ht="19.95" customFormat="1" customHeight="1" s="511">
      <c r="A1024" s="277" t="n"/>
      <c r="B1024" s="285" t="n"/>
      <c r="C1024" s="579" t="n"/>
      <c r="D1024" s="580" t="n"/>
      <c r="E1024" s="581" t="n"/>
      <c r="F1024" s="577" t="n"/>
      <c r="G1024" s="582" t="n"/>
      <c r="H1024" s="583" t="n"/>
      <c r="I1024" s="510" t="n"/>
    </row>
    <row r="1025" ht="19.95" customFormat="1" customHeight="1" s="511">
      <c r="A1025" s="277" t="n"/>
      <c r="B1025" s="285" t="n"/>
      <c r="C1025" s="579" t="n"/>
      <c r="D1025" s="580" t="n"/>
      <c r="E1025" s="581" t="n"/>
      <c r="F1025" s="577" t="n"/>
      <c r="G1025" s="582" t="n"/>
      <c r="H1025" s="583" t="n"/>
      <c r="I1025" s="510" t="n"/>
    </row>
    <row r="1026" ht="19.95" customFormat="1" customHeight="1" s="511">
      <c r="A1026" s="277" t="n"/>
      <c r="B1026" s="285" t="n"/>
      <c r="C1026" s="579" t="n"/>
      <c r="D1026" s="580" t="n"/>
      <c r="E1026" s="581" t="n"/>
      <c r="F1026" s="577" t="n"/>
      <c r="G1026" s="582" t="n"/>
      <c r="H1026" s="583" t="n"/>
      <c r="I1026" s="510" t="n"/>
    </row>
    <row r="1027" ht="19.95" customFormat="1" customHeight="1" s="511">
      <c r="A1027" s="277" t="n"/>
      <c r="B1027" s="285" t="n"/>
      <c r="C1027" s="579" t="n"/>
      <c r="D1027" s="580" t="n"/>
      <c r="E1027" s="581" t="n"/>
      <c r="F1027" s="577" t="n"/>
      <c r="G1027" s="582" t="n"/>
      <c r="H1027" s="583" t="n"/>
      <c r="I1027" s="510" t="n"/>
    </row>
    <row r="1028" ht="19.95" customFormat="1" customHeight="1" s="511">
      <c r="A1028" s="277" t="n"/>
      <c r="B1028" s="285" t="n"/>
      <c r="C1028" s="579" t="n"/>
      <c r="D1028" s="580" t="n"/>
      <c r="E1028" s="581" t="n"/>
      <c r="F1028" s="577" t="n"/>
      <c r="G1028" s="582" t="n"/>
      <c r="H1028" s="583" t="n"/>
      <c r="I1028" s="510" t="n"/>
    </row>
    <row r="1029" ht="19.95" customFormat="1" customHeight="1" s="511">
      <c r="A1029" s="277" t="n"/>
      <c r="B1029" s="285" t="n"/>
      <c r="C1029" s="579" t="n"/>
      <c r="D1029" s="580" t="n"/>
      <c r="E1029" s="581" t="n"/>
      <c r="F1029" s="577" t="n"/>
      <c r="G1029" s="582" t="n"/>
      <c r="H1029" s="583" t="n"/>
      <c r="I1029" s="510" t="n"/>
    </row>
    <row r="1030" ht="19.95" customFormat="1" customHeight="1" s="511">
      <c r="A1030" s="277" t="n"/>
      <c r="B1030" s="285" t="n"/>
      <c r="C1030" s="579" t="n"/>
      <c r="D1030" s="580" t="n"/>
      <c r="E1030" s="581" t="n"/>
      <c r="F1030" s="577" t="n"/>
      <c r="G1030" s="582" t="n"/>
      <c r="H1030" s="583" t="n"/>
      <c r="I1030" s="510" t="n"/>
    </row>
    <row r="1031" ht="19.95" customFormat="1" customHeight="1" s="511">
      <c r="A1031" s="277" t="n"/>
      <c r="B1031" s="285" t="n"/>
      <c r="C1031" s="579" t="n"/>
      <c r="D1031" s="580" t="n"/>
      <c r="E1031" s="581" t="n"/>
      <c r="F1031" s="577" t="n"/>
      <c r="G1031" s="582" t="n"/>
      <c r="H1031" s="583" t="n"/>
      <c r="I1031" s="510" t="n"/>
    </row>
    <row r="1032" ht="19.95" customFormat="1" customHeight="1" s="511">
      <c r="A1032" s="277" t="n"/>
      <c r="B1032" s="285" t="n"/>
      <c r="C1032" s="579" t="n"/>
      <c r="D1032" s="580" t="n"/>
      <c r="E1032" s="581" t="n"/>
      <c r="F1032" s="577" t="n"/>
      <c r="G1032" s="582" t="n"/>
      <c r="H1032" s="583" t="n"/>
      <c r="I1032" s="510" t="n"/>
    </row>
    <row r="1033" ht="19.95" customFormat="1" customHeight="1" s="511">
      <c r="A1033" s="277" t="n"/>
      <c r="B1033" s="285" t="n"/>
      <c r="C1033" s="579" t="n"/>
      <c r="D1033" s="580" t="n"/>
      <c r="E1033" s="581" t="n"/>
      <c r="F1033" s="577" t="n"/>
      <c r="G1033" s="582" t="n"/>
      <c r="H1033" s="583" t="n"/>
      <c r="I1033" s="510" t="n"/>
    </row>
    <row r="1034" ht="19.95" customFormat="1" customHeight="1" s="511">
      <c r="A1034" s="277" t="n"/>
      <c r="B1034" s="285" t="n"/>
      <c r="C1034" s="579" t="n"/>
      <c r="D1034" s="580" t="n"/>
      <c r="E1034" s="581" t="n"/>
      <c r="F1034" s="577" t="n"/>
      <c r="G1034" s="582" t="n"/>
      <c r="H1034" s="583" t="n"/>
      <c r="I1034" s="510" t="n"/>
    </row>
    <row r="1035" ht="19.95" customFormat="1" customHeight="1" s="511">
      <c r="A1035" s="277" t="n"/>
      <c r="B1035" s="285" t="n"/>
      <c r="C1035" s="579" t="n"/>
      <c r="D1035" s="580" t="n"/>
      <c r="E1035" s="581" t="n"/>
      <c r="F1035" s="577" t="n"/>
      <c r="G1035" s="582" t="n"/>
      <c r="H1035" s="583" t="n"/>
      <c r="I1035" s="510" t="n"/>
    </row>
    <row r="1036" ht="19.95" customFormat="1" customHeight="1" s="511">
      <c r="A1036" s="277" t="n"/>
      <c r="B1036" s="285" t="n"/>
      <c r="C1036" s="579" t="n"/>
      <c r="D1036" s="580" t="n"/>
      <c r="E1036" s="581" t="n"/>
      <c r="F1036" s="577" t="n"/>
      <c r="G1036" s="582" t="n"/>
      <c r="H1036" s="583" t="n"/>
      <c r="I1036" s="510" t="n"/>
    </row>
    <row r="1037" ht="19.95" customFormat="1" customHeight="1" s="511">
      <c r="A1037" s="277" t="n"/>
      <c r="B1037" s="285" t="n"/>
      <c r="C1037" s="579" t="n"/>
      <c r="D1037" s="580" t="n"/>
      <c r="E1037" s="581" t="n"/>
      <c r="F1037" s="577" t="n"/>
      <c r="G1037" s="582" t="n"/>
      <c r="H1037" s="583" t="n"/>
      <c r="I1037" s="510" t="n"/>
    </row>
    <row r="1038" ht="19.95" customFormat="1" customHeight="1" s="511">
      <c r="A1038" s="277" t="n"/>
      <c r="B1038" s="285" t="n"/>
      <c r="C1038" s="579" t="n"/>
      <c r="D1038" s="580" t="n"/>
      <c r="E1038" s="581" t="n"/>
      <c r="F1038" s="577" t="n"/>
      <c r="G1038" s="582" t="n"/>
      <c r="H1038" s="583" t="n"/>
      <c r="I1038" s="510" t="n"/>
    </row>
    <row r="1039" ht="19.95" customFormat="1" customHeight="1" s="511">
      <c r="A1039" s="277" t="n"/>
      <c r="B1039" s="285" t="n"/>
      <c r="C1039" s="579" t="n"/>
      <c r="D1039" s="580" t="n"/>
      <c r="E1039" s="581" t="n"/>
      <c r="F1039" s="577" t="n"/>
      <c r="G1039" s="582" t="n"/>
      <c r="H1039" s="583" t="n"/>
      <c r="I1039" s="510" t="n"/>
    </row>
    <row r="1040" ht="19.95" customFormat="1" customHeight="1" s="511">
      <c r="A1040" s="277" t="n"/>
      <c r="B1040" s="285" t="n"/>
      <c r="C1040" s="579" t="n"/>
      <c r="D1040" s="580" t="n"/>
      <c r="E1040" s="581" t="n"/>
      <c r="F1040" s="577" t="n"/>
      <c r="G1040" s="582" t="n"/>
      <c r="H1040" s="583" t="n"/>
      <c r="I1040" s="510" t="n"/>
    </row>
    <row r="1041" ht="19.95" customFormat="1" customHeight="1" s="511">
      <c r="A1041" s="277" t="n"/>
      <c r="B1041" s="285" t="n"/>
      <c r="C1041" s="579" t="n"/>
      <c r="D1041" s="580" t="n"/>
      <c r="E1041" s="581" t="n"/>
      <c r="F1041" s="577" t="n"/>
      <c r="G1041" s="582" t="n"/>
      <c r="H1041" s="583" t="n"/>
      <c r="I1041" s="510" t="n"/>
    </row>
    <row r="1042" ht="19.95" customFormat="1" customHeight="1" s="511">
      <c r="A1042" s="277" t="n"/>
      <c r="B1042" s="285" t="n"/>
      <c r="C1042" s="579" t="n"/>
      <c r="D1042" s="580" t="n"/>
      <c r="E1042" s="581" t="n"/>
      <c r="F1042" s="577" t="n"/>
      <c r="G1042" s="582" t="n"/>
      <c r="H1042" s="583" t="n"/>
      <c r="I1042" s="510" t="n"/>
    </row>
    <row r="1043" ht="19.95" customFormat="1" customHeight="1" s="511">
      <c r="A1043" s="277" t="n"/>
      <c r="B1043" s="285" t="n"/>
      <c r="C1043" s="579" t="n"/>
      <c r="D1043" s="580" t="n"/>
      <c r="E1043" s="581" t="n"/>
      <c r="F1043" s="577" t="n"/>
      <c r="G1043" s="582" t="n"/>
      <c r="H1043" s="583" t="n"/>
      <c r="I1043" s="510" t="n"/>
    </row>
    <row r="1044" ht="19.95" customFormat="1" customHeight="1" s="511">
      <c r="A1044" s="277" t="n"/>
      <c r="B1044" s="285" t="n"/>
      <c r="C1044" s="579" t="n"/>
      <c r="D1044" s="580" t="n"/>
      <c r="E1044" s="581" t="n"/>
      <c r="F1044" s="577" t="n"/>
      <c r="G1044" s="582" t="n"/>
      <c r="H1044" s="583" t="n"/>
      <c r="I1044" s="510" t="n"/>
    </row>
    <row r="1045" ht="19.95" customFormat="1" customHeight="1" s="511">
      <c r="A1045" s="277" t="n"/>
      <c r="B1045" s="285" t="n"/>
      <c r="C1045" s="579" t="n"/>
      <c r="D1045" s="580" t="n"/>
      <c r="E1045" s="581" t="n"/>
      <c r="F1045" s="577" t="n"/>
      <c r="G1045" s="582" t="n"/>
      <c r="H1045" s="583" t="n"/>
      <c r="I1045" s="510" t="n"/>
    </row>
    <row r="1046" ht="19.95" customFormat="1" customHeight="1" s="511">
      <c r="A1046" s="277" t="n"/>
      <c r="B1046" s="285" t="n"/>
      <c r="C1046" s="579" t="n"/>
      <c r="D1046" s="580" t="n"/>
      <c r="E1046" s="581" t="n"/>
      <c r="F1046" s="577" t="n"/>
      <c r="G1046" s="582" t="n"/>
      <c r="H1046" s="583" t="n"/>
      <c r="I1046" s="510" t="n"/>
    </row>
    <row r="1047" ht="19.95" customFormat="1" customHeight="1" s="511">
      <c r="A1047" s="277" t="n"/>
      <c r="B1047" s="285" t="n"/>
      <c r="C1047" s="579" t="n"/>
      <c r="D1047" s="580" t="n"/>
      <c r="E1047" s="581" t="n"/>
      <c r="F1047" s="577" t="n"/>
      <c r="G1047" s="582" t="n"/>
      <c r="H1047" s="583" t="n"/>
      <c r="I1047" s="510" t="n"/>
    </row>
    <row r="1048" ht="19.95" customFormat="1" customHeight="1" s="511">
      <c r="A1048" s="277" t="n"/>
      <c r="B1048" s="285" t="n"/>
      <c r="C1048" s="579" t="n"/>
      <c r="D1048" s="580" t="n"/>
      <c r="E1048" s="581" t="n"/>
      <c r="F1048" s="577" t="n"/>
      <c r="G1048" s="582" t="n"/>
      <c r="H1048" s="583" t="n"/>
      <c r="I1048" s="510" t="n"/>
    </row>
    <row r="1049" ht="19.95" customFormat="1" customHeight="1" s="511">
      <c r="A1049" s="277" t="n"/>
      <c r="B1049" s="285" t="n"/>
      <c r="C1049" s="579" t="n"/>
      <c r="D1049" s="580" t="n"/>
      <c r="E1049" s="581" t="n"/>
      <c r="F1049" s="577" t="n"/>
      <c r="G1049" s="582" t="n"/>
      <c r="H1049" s="583" t="n"/>
      <c r="I1049" s="510" t="n"/>
    </row>
    <row r="1050" ht="19.95" customFormat="1" customHeight="1" s="511">
      <c r="A1050" s="277" t="n"/>
      <c r="B1050" s="285" t="n"/>
      <c r="C1050" s="579" t="n"/>
      <c r="D1050" s="580" t="n"/>
      <c r="E1050" s="581" t="n"/>
      <c r="F1050" s="577" t="n"/>
      <c r="G1050" s="582" t="n"/>
      <c r="H1050" s="583" t="n"/>
      <c r="I1050" s="510" t="n"/>
    </row>
    <row r="1051" ht="19.95" customFormat="1" customHeight="1" s="511">
      <c r="A1051" s="277" t="n"/>
      <c r="B1051" s="285" t="n"/>
      <c r="C1051" s="579" t="n"/>
      <c r="D1051" s="580" t="n"/>
      <c r="E1051" s="581" t="n"/>
      <c r="F1051" s="577" t="n"/>
      <c r="G1051" s="582" t="n"/>
      <c r="H1051" s="583" t="n"/>
      <c r="I1051" s="510" t="n"/>
    </row>
    <row r="1052" ht="19.95" customFormat="1" customHeight="1" s="511">
      <c r="A1052" s="277" t="n"/>
      <c r="B1052" s="285" t="n"/>
      <c r="C1052" s="579" t="n"/>
      <c r="D1052" s="580" t="n"/>
      <c r="E1052" s="581" t="n"/>
      <c r="F1052" s="577" t="n"/>
      <c r="G1052" s="582" t="n"/>
      <c r="H1052" s="583" t="n"/>
      <c r="I1052" s="510" t="n"/>
    </row>
    <row r="1053" ht="19.95" customFormat="1" customHeight="1" s="511">
      <c r="A1053" s="277" t="n"/>
      <c r="B1053" s="285" t="n"/>
      <c r="C1053" s="579" t="n"/>
      <c r="D1053" s="580" t="n"/>
      <c r="E1053" s="581" t="n"/>
      <c r="F1053" s="577" t="n"/>
      <c r="G1053" s="582" t="n"/>
      <c r="H1053" s="583" t="n"/>
      <c r="I1053" s="510" t="n"/>
    </row>
    <row r="1054" ht="19.95" customFormat="1" customHeight="1" s="511">
      <c r="A1054" s="277" t="n"/>
      <c r="B1054" s="285" t="n"/>
      <c r="C1054" s="579" t="n"/>
      <c r="D1054" s="580" t="n"/>
      <c r="E1054" s="581" t="n"/>
      <c r="F1054" s="577" t="n"/>
      <c r="G1054" s="582" t="n"/>
      <c r="H1054" s="583" t="n"/>
      <c r="I1054" s="510" t="n"/>
    </row>
    <row r="1055" ht="19.95" customFormat="1" customHeight="1" s="511">
      <c r="A1055" s="277" t="n"/>
      <c r="B1055" s="285" t="n"/>
      <c r="C1055" s="579" t="n"/>
      <c r="D1055" s="580" t="n"/>
      <c r="E1055" s="581" t="n"/>
      <c r="F1055" s="577" t="n"/>
      <c r="G1055" s="582" t="n"/>
      <c r="H1055" s="583" t="n"/>
      <c r="I1055" s="510" t="n"/>
    </row>
    <row r="1056" ht="19.95" customFormat="1" customHeight="1" s="511">
      <c r="A1056" s="277" t="n"/>
      <c r="B1056" s="285" t="n"/>
      <c r="C1056" s="579" t="n"/>
      <c r="D1056" s="580" t="n"/>
      <c r="E1056" s="581" t="n"/>
      <c r="F1056" s="577" t="n"/>
      <c r="G1056" s="582" t="n"/>
      <c r="H1056" s="583" t="n"/>
      <c r="I1056" s="510" t="n"/>
    </row>
    <row r="1057" ht="19.95" customFormat="1" customHeight="1" s="511">
      <c r="A1057" s="277" t="n"/>
      <c r="B1057" s="285" t="n"/>
      <c r="C1057" s="579" t="n"/>
      <c r="D1057" s="580" t="n"/>
      <c r="E1057" s="581" t="n"/>
      <c r="F1057" s="577" t="n"/>
      <c r="G1057" s="582" t="n"/>
      <c r="H1057" s="583" t="n"/>
      <c r="I1057" s="510" t="n"/>
    </row>
    <row r="1058" ht="19.95" customFormat="1" customHeight="1" s="511">
      <c r="A1058" s="277" t="n"/>
      <c r="B1058" s="285" t="n"/>
      <c r="C1058" s="579" t="n"/>
      <c r="D1058" s="580" t="n"/>
      <c r="E1058" s="581" t="n"/>
      <c r="F1058" s="577" t="n"/>
      <c r="G1058" s="582" t="n"/>
      <c r="H1058" s="583" t="n"/>
      <c r="I1058" s="510" t="n"/>
    </row>
    <row r="1059" ht="19.95" customFormat="1" customHeight="1" s="511">
      <c r="A1059" s="277" t="n"/>
      <c r="B1059" s="285" t="n"/>
      <c r="C1059" s="579" t="n"/>
      <c r="D1059" s="580" t="n"/>
      <c r="E1059" s="581" t="n"/>
      <c r="F1059" s="577" t="n"/>
      <c r="G1059" s="582" t="n"/>
      <c r="H1059" s="583" t="n"/>
      <c r="I1059" s="510" t="n"/>
    </row>
    <row r="1060" ht="19.95" customFormat="1" customHeight="1" s="511">
      <c r="A1060" s="277" t="n"/>
      <c r="B1060" s="285" t="n"/>
      <c r="C1060" s="579" t="n"/>
      <c r="D1060" s="580" t="n"/>
      <c r="E1060" s="581" t="n"/>
      <c r="F1060" s="577" t="n"/>
      <c r="G1060" s="582" t="n"/>
      <c r="H1060" s="583" t="n"/>
      <c r="I1060" s="510" t="n"/>
    </row>
    <row r="1061" ht="19.95" customFormat="1" customHeight="1" s="511">
      <c r="A1061" s="277" t="n"/>
      <c r="B1061" s="285" t="n"/>
      <c r="C1061" s="579" t="n"/>
      <c r="D1061" s="580" t="n"/>
      <c r="E1061" s="581" t="n"/>
      <c r="F1061" s="577" t="n"/>
      <c r="G1061" s="582" t="n"/>
      <c r="H1061" s="583" t="n"/>
      <c r="I1061" s="510" t="n"/>
    </row>
    <row r="1062" ht="19.95" customFormat="1" customHeight="1" s="511">
      <c r="A1062" s="277" t="n"/>
      <c r="B1062" s="285" t="n"/>
      <c r="C1062" s="579" t="n"/>
      <c r="D1062" s="580" t="n"/>
      <c r="E1062" s="581" t="n"/>
      <c r="F1062" s="577" t="n"/>
      <c r="G1062" s="582" t="n"/>
      <c r="H1062" s="583" t="n"/>
      <c r="I1062" s="510" t="n"/>
    </row>
    <row r="1063" ht="19.95" customFormat="1" customHeight="1" s="511">
      <c r="A1063" s="277" t="n"/>
      <c r="B1063" s="285" t="n"/>
      <c r="C1063" s="579" t="n"/>
      <c r="D1063" s="580" t="n"/>
      <c r="E1063" s="581" t="n"/>
      <c r="F1063" s="577" t="n"/>
      <c r="G1063" s="582" t="n"/>
      <c r="H1063" s="583" t="n"/>
      <c r="I1063" s="510" t="n"/>
    </row>
    <row r="1064" ht="19.95" customFormat="1" customHeight="1" s="511">
      <c r="A1064" s="277" t="n"/>
      <c r="B1064" s="285" t="n"/>
      <c r="C1064" s="579" t="n"/>
      <c r="D1064" s="580" t="n"/>
      <c r="E1064" s="581" t="n"/>
      <c r="F1064" s="577" t="n"/>
      <c r="G1064" s="582" t="n"/>
      <c r="H1064" s="583" t="n"/>
      <c r="I1064" s="510" t="n"/>
    </row>
    <row r="1065" ht="19.95" customFormat="1" customHeight="1" s="511">
      <c r="A1065" s="277" t="n"/>
      <c r="B1065" s="285" t="n"/>
      <c r="C1065" s="579" t="n"/>
      <c r="D1065" s="580" t="n"/>
      <c r="E1065" s="581" t="n"/>
      <c r="F1065" s="577" t="n"/>
      <c r="G1065" s="582" t="n"/>
      <c r="H1065" s="583" t="n"/>
      <c r="I1065" s="510" t="n"/>
    </row>
    <row r="1066" ht="19.95" customFormat="1" customHeight="1" s="511">
      <c r="A1066" s="277" t="n"/>
      <c r="B1066" s="285" t="n"/>
      <c r="C1066" s="579" t="n"/>
      <c r="D1066" s="580" t="n"/>
      <c r="E1066" s="581" t="n"/>
      <c r="F1066" s="577" t="n"/>
      <c r="G1066" s="582" t="n"/>
      <c r="H1066" s="583" t="n"/>
      <c r="I1066" s="510" t="n"/>
    </row>
    <row r="1067" ht="19.95" customFormat="1" customHeight="1" s="511">
      <c r="A1067" s="277" t="n"/>
      <c r="B1067" s="285" t="n"/>
      <c r="C1067" s="579" t="n"/>
      <c r="D1067" s="580" t="n"/>
      <c r="E1067" s="581" t="n"/>
      <c r="F1067" s="577" t="n"/>
      <c r="G1067" s="582" t="n"/>
      <c r="H1067" s="583" t="n"/>
      <c r="I1067" s="510" t="n"/>
    </row>
    <row r="1068" ht="19.95" customFormat="1" customHeight="1" s="511">
      <c r="A1068" s="277" t="n"/>
      <c r="B1068" s="285" t="n"/>
      <c r="C1068" s="579" t="n"/>
      <c r="D1068" s="580" t="n"/>
      <c r="E1068" s="581" t="n"/>
      <c r="F1068" s="577" t="n"/>
      <c r="G1068" s="582" t="n"/>
      <c r="H1068" s="583" t="n"/>
      <c r="I1068" s="510" t="n"/>
    </row>
    <row r="1069" ht="19.95" customFormat="1" customHeight="1" s="511">
      <c r="A1069" s="277" t="n"/>
      <c r="B1069" s="285" t="n"/>
      <c r="C1069" s="579" t="n"/>
      <c r="D1069" s="580" t="n"/>
      <c r="E1069" s="581" t="n"/>
      <c r="F1069" s="577" t="n"/>
      <c r="G1069" s="582" t="n"/>
      <c r="H1069" s="583" t="n"/>
      <c r="I1069" s="510" t="n"/>
    </row>
    <row r="1070" ht="19.95" customFormat="1" customHeight="1" s="511">
      <c r="A1070" s="277" t="n"/>
      <c r="B1070" s="285" t="n"/>
      <c r="C1070" s="579" t="n"/>
      <c r="D1070" s="580" t="n"/>
      <c r="E1070" s="581" t="n"/>
      <c r="F1070" s="577" t="n"/>
      <c r="G1070" s="582" t="n"/>
      <c r="H1070" s="583" t="n"/>
      <c r="I1070" s="510" t="n"/>
    </row>
    <row r="1071" ht="19.95" customFormat="1" customHeight="1" s="511">
      <c r="A1071" s="277" t="n"/>
      <c r="B1071" s="285" t="n"/>
      <c r="C1071" s="579" t="n"/>
      <c r="D1071" s="580" t="n"/>
      <c r="E1071" s="581" t="n"/>
      <c r="F1071" s="577" t="n"/>
      <c r="G1071" s="582" t="n"/>
      <c r="H1071" s="583" t="n"/>
      <c r="I1071" s="510" t="n"/>
    </row>
    <row r="1072" ht="19.95" customFormat="1" customHeight="1" s="511">
      <c r="A1072" s="277" t="n"/>
      <c r="B1072" s="285" t="n"/>
      <c r="C1072" s="579" t="n"/>
      <c r="D1072" s="580" t="n"/>
      <c r="E1072" s="581" t="n"/>
      <c r="F1072" s="577" t="n"/>
      <c r="G1072" s="582" t="n"/>
      <c r="H1072" s="583" t="n"/>
      <c r="I1072" s="510" t="n"/>
    </row>
    <row r="1073" ht="19.95" customFormat="1" customHeight="1" s="511">
      <c r="A1073" s="277" t="n"/>
      <c r="B1073" s="285" t="n"/>
      <c r="C1073" s="579" t="n"/>
      <c r="D1073" s="580" t="n"/>
      <c r="E1073" s="581" t="n"/>
      <c r="F1073" s="577" t="n"/>
      <c r="G1073" s="582" t="n"/>
      <c r="H1073" s="583" t="n"/>
      <c r="I1073" s="510" t="n"/>
    </row>
    <row r="1074" ht="19.95" customFormat="1" customHeight="1" s="511">
      <c r="A1074" s="277" t="n"/>
      <c r="B1074" s="285" t="n"/>
      <c r="C1074" s="579" t="n"/>
      <c r="D1074" s="580" t="n"/>
      <c r="E1074" s="581" t="n"/>
      <c r="F1074" s="577" t="n"/>
      <c r="G1074" s="582" t="n"/>
      <c r="H1074" s="583" t="n"/>
      <c r="I1074" s="510" t="n"/>
    </row>
    <row r="1075" ht="19.95" customFormat="1" customHeight="1" s="511">
      <c r="A1075" s="277" t="n"/>
      <c r="B1075" s="285" t="n"/>
      <c r="C1075" s="579" t="n"/>
      <c r="D1075" s="580" t="n"/>
      <c r="E1075" s="581" t="n"/>
      <c r="F1075" s="577" t="n"/>
      <c r="G1075" s="582" t="n"/>
      <c r="H1075" s="583" t="n"/>
      <c r="I1075" s="510" t="n"/>
    </row>
    <row r="1076" ht="19.95" customFormat="1" customHeight="1" s="511">
      <c r="A1076" s="277" t="n"/>
      <c r="B1076" s="285" t="n"/>
      <c r="C1076" s="579" t="n"/>
      <c r="D1076" s="580" t="n"/>
      <c r="E1076" s="581" t="n"/>
      <c r="F1076" s="577" t="n"/>
      <c r="G1076" s="582" t="n"/>
      <c r="H1076" s="583" t="n"/>
      <c r="I1076" s="510" t="n"/>
    </row>
    <row r="1077" ht="19.95" customFormat="1" customHeight="1" s="511">
      <c r="A1077" s="277" t="n"/>
      <c r="B1077" s="285" t="n"/>
      <c r="C1077" s="579" t="n"/>
      <c r="D1077" s="580" t="n"/>
      <c r="E1077" s="581" t="n"/>
      <c r="F1077" s="577" t="n"/>
      <c r="G1077" s="582" t="n"/>
      <c r="H1077" s="583" t="n"/>
      <c r="I1077" s="510" t="n"/>
    </row>
    <row r="1078" ht="19.95" customFormat="1" customHeight="1" s="511">
      <c r="A1078" s="277" t="n"/>
      <c r="B1078" s="285" t="n"/>
      <c r="C1078" s="579" t="n"/>
      <c r="D1078" s="580" t="n"/>
      <c r="E1078" s="581" t="n"/>
      <c r="F1078" s="577" t="n"/>
      <c r="G1078" s="582" t="n"/>
      <c r="H1078" s="583" t="n"/>
      <c r="I1078" s="510" t="n"/>
    </row>
    <row r="1079" ht="19.95" customFormat="1" customHeight="1" s="511">
      <c r="A1079" s="277" t="n"/>
      <c r="B1079" s="285" t="n"/>
      <c r="C1079" s="579" t="n"/>
      <c r="D1079" s="580" t="n"/>
      <c r="E1079" s="581" t="n"/>
      <c r="F1079" s="577" t="n"/>
      <c r="G1079" s="582" t="n"/>
      <c r="H1079" s="583" t="n"/>
      <c r="I1079" s="510" t="n"/>
    </row>
    <row r="1080" ht="19.95" customFormat="1" customHeight="1" s="511">
      <c r="A1080" s="277" t="n"/>
      <c r="B1080" s="285" t="n"/>
      <c r="C1080" s="579" t="n"/>
      <c r="D1080" s="580" t="n"/>
      <c r="E1080" s="581" t="n"/>
      <c r="F1080" s="577" t="n"/>
      <c r="G1080" s="582" t="n"/>
      <c r="H1080" s="583" t="n"/>
      <c r="I1080" s="510" t="n"/>
    </row>
    <row r="1081" ht="19.95" customFormat="1" customHeight="1" s="511">
      <c r="A1081" s="277" t="n"/>
      <c r="B1081" s="285" t="n"/>
      <c r="C1081" s="579" t="n"/>
      <c r="D1081" s="580" t="n"/>
      <c r="E1081" s="581" t="n"/>
      <c r="F1081" s="577" t="n"/>
      <c r="G1081" s="582" t="n"/>
      <c r="H1081" s="583" t="n"/>
      <c r="I1081" s="510" t="n"/>
    </row>
    <row r="1082" ht="19.95" customFormat="1" customHeight="1" s="511">
      <c r="A1082" s="277" t="n"/>
      <c r="B1082" s="285" t="n"/>
      <c r="C1082" s="579" t="n"/>
      <c r="D1082" s="580" t="n"/>
      <c r="E1082" s="581" t="n"/>
      <c r="F1082" s="577" t="n"/>
      <c r="G1082" s="582" t="n"/>
      <c r="H1082" s="583" t="n"/>
      <c r="I1082" s="510" t="n"/>
    </row>
    <row r="1083" ht="19.95" customFormat="1" customHeight="1" s="511">
      <c r="A1083" s="277" t="n"/>
      <c r="B1083" s="285" t="n"/>
      <c r="C1083" s="579" t="n"/>
      <c r="D1083" s="580" t="n"/>
      <c r="E1083" s="581" t="n"/>
      <c r="F1083" s="577" t="n"/>
      <c r="G1083" s="582" t="n"/>
      <c r="H1083" s="583" t="n"/>
      <c r="I1083" s="510" t="n"/>
    </row>
    <row r="1084" ht="19.95" customFormat="1" customHeight="1" s="511">
      <c r="A1084" s="277" t="n"/>
      <c r="B1084" s="285" t="n"/>
      <c r="C1084" s="579" t="n"/>
      <c r="D1084" s="580" t="n"/>
      <c r="E1084" s="581" t="n"/>
      <c r="F1084" s="577" t="n"/>
      <c r="G1084" s="582" t="n"/>
      <c r="H1084" s="583" t="n"/>
      <c r="I1084" s="510" t="n"/>
    </row>
    <row r="1085" ht="19.95" customFormat="1" customHeight="1" s="511">
      <c r="A1085" s="277" t="n"/>
      <c r="B1085" s="285" t="n"/>
      <c r="C1085" s="579" t="n"/>
      <c r="D1085" s="580" t="n"/>
      <c r="E1085" s="581" t="n"/>
      <c r="F1085" s="577" t="n"/>
      <c r="G1085" s="582" t="n"/>
      <c r="H1085" s="583" t="n"/>
      <c r="I1085" s="510" t="n"/>
    </row>
    <row r="1086" ht="19.95" customFormat="1" customHeight="1" s="511">
      <c r="A1086" s="277" t="n"/>
      <c r="B1086" s="285" t="n"/>
      <c r="C1086" s="579" t="n"/>
      <c r="D1086" s="580" t="n"/>
      <c r="E1086" s="581" t="n"/>
      <c r="F1086" s="577" t="n"/>
      <c r="G1086" s="582" t="n"/>
      <c r="H1086" s="583" t="n"/>
      <c r="I1086" s="510" t="n"/>
    </row>
    <row r="1087" ht="19.95" customFormat="1" customHeight="1" s="511">
      <c r="A1087" s="277" t="n"/>
      <c r="B1087" s="285" t="n"/>
      <c r="C1087" s="579" t="n"/>
      <c r="D1087" s="580" t="n"/>
      <c r="E1087" s="581" t="n"/>
      <c r="F1087" s="577" t="n"/>
      <c r="G1087" s="582" t="n"/>
      <c r="H1087" s="583" t="n"/>
      <c r="I1087" s="510" t="n"/>
    </row>
    <row r="1088" ht="19.95" customFormat="1" customHeight="1" s="511">
      <c r="A1088" s="277" t="n"/>
      <c r="B1088" s="285" t="n"/>
      <c r="C1088" s="579" t="n"/>
      <c r="D1088" s="580" t="n"/>
      <c r="E1088" s="581" t="n"/>
      <c r="F1088" s="577" t="n"/>
      <c r="G1088" s="582" t="n"/>
      <c r="H1088" s="583" t="n"/>
      <c r="I1088" s="510" t="n"/>
    </row>
    <row r="1089" ht="19.95" customFormat="1" customHeight="1" s="511">
      <c r="A1089" s="277" t="n"/>
      <c r="B1089" s="285" t="n"/>
      <c r="C1089" s="579" t="n"/>
      <c r="D1089" s="580" t="n"/>
      <c r="E1089" s="581" t="n"/>
      <c r="F1089" s="577" t="n"/>
      <c r="G1089" s="582" t="n"/>
      <c r="H1089" s="583" t="n"/>
      <c r="I1089" s="510" t="n"/>
    </row>
    <row r="1090" ht="19.95" customFormat="1" customHeight="1" s="511">
      <c r="A1090" s="277" t="n"/>
      <c r="B1090" s="285" t="n"/>
      <c r="C1090" s="579" t="n"/>
      <c r="D1090" s="580" t="n"/>
      <c r="E1090" s="581" t="n"/>
      <c r="F1090" s="577" t="n"/>
      <c r="G1090" s="582" t="n"/>
      <c r="H1090" s="583" t="n"/>
      <c r="I1090" s="510" t="n"/>
    </row>
    <row r="1091" ht="19.95" customFormat="1" customHeight="1" s="511">
      <c r="A1091" s="277" t="n"/>
      <c r="B1091" s="285" t="n"/>
      <c r="C1091" s="579" t="n"/>
      <c r="D1091" s="580" t="n"/>
      <c r="E1091" s="581" t="n"/>
      <c r="F1091" s="577" t="n"/>
      <c r="G1091" s="582" t="n"/>
      <c r="H1091" s="583" t="n"/>
      <c r="I1091" s="510" t="n"/>
    </row>
    <row r="1092" ht="19.95" customFormat="1" customHeight="1" s="511">
      <c r="A1092" s="277" t="n"/>
      <c r="B1092" s="285" t="n"/>
      <c r="C1092" s="579" t="n"/>
      <c r="D1092" s="580" t="n"/>
      <c r="E1092" s="581" t="n"/>
      <c r="F1092" s="577" t="n"/>
      <c r="G1092" s="582" t="n"/>
      <c r="H1092" s="583" t="n"/>
      <c r="I1092" s="510" t="n"/>
    </row>
    <row r="1093" ht="19.95" customFormat="1" customHeight="1" s="511">
      <c r="A1093" s="277" t="n"/>
      <c r="B1093" s="285" t="n"/>
      <c r="C1093" s="579" t="n"/>
      <c r="D1093" s="580" t="n"/>
      <c r="E1093" s="581" t="n"/>
      <c r="F1093" s="577" t="n"/>
      <c r="G1093" s="582" t="n"/>
      <c r="H1093" s="583" t="n"/>
      <c r="I1093" s="510" t="n"/>
    </row>
    <row r="1094" ht="19.95" customFormat="1" customHeight="1" s="511">
      <c r="A1094" s="277" t="n"/>
      <c r="B1094" s="285" t="n"/>
      <c r="C1094" s="579" t="n"/>
      <c r="D1094" s="580" t="n"/>
      <c r="E1094" s="581" t="n"/>
      <c r="F1094" s="577" t="n"/>
      <c r="G1094" s="582" t="n"/>
      <c r="H1094" s="583" t="n"/>
      <c r="I1094" s="510" t="n"/>
    </row>
    <row r="1095" ht="19.95" customFormat="1" customHeight="1" s="511">
      <c r="A1095" s="277" t="n"/>
      <c r="B1095" s="285" t="n"/>
      <c r="C1095" s="579" t="n"/>
      <c r="D1095" s="580" t="n"/>
      <c r="E1095" s="581" t="n"/>
      <c r="F1095" s="577" t="n"/>
      <c r="G1095" s="582" t="n"/>
      <c r="H1095" s="583" t="n"/>
      <c r="I1095" s="510" t="n"/>
    </row>
    <row r="1096" ht="19.95" customFormat="1" customHeight="1" s="511">
      <c r="A1096" s="277" t="n"/>
      <c r="B1096" s="285" t="n"/>
      <c r="C1096" s="579" t="n"/>
      <c r="D1096" s="580" t="n"/>
      <c r="E1096" s="581" t="n"/>
      <c r="F1096" s="577" t="n"/>
      <c r="G1096" s="582" t="n"/>
      <c r="H1096" s="583" t="n"/>
      <c r="I1096" s="510" t="n"/>
    </row>
    <row r="1097" ht="19.95" customFormat="1" customHeight="1" s="511">
      <c r="A1097" s="277" t="n"/>
      <c r="B1097" s="285" t="n"/>
      <c r="C1097" s="579" t="n"/>
      <c r="D1097" s="580" t="n"/>
      <c r="E1097" s="581" t="n"/>
      <c r="F1097" s="577" t="n"/>
      <c r="G1097" s="582" t="n"/>
      <c r="H1097" s="583" t="n"/>
      <c r="I1097" s="510" t="n"/>
    </row>
    <row r="1098" ht="19.95" customFormat="1" customHeight="1" s="511">
      <c r="A1098" s="277" t="n"/>
      <c r="B1098" s="285" t="n"/>
      <c r="C1098" s="579" t="n"/>
      <c r="D1098" s="580" t="n"/>
      <c r="E1098" s="581" t="n"/>
      <c r="F1098" s="577" t="n"/>
      <c r="G1098" s="582" t="n"/>
      <c r="H1098" s="583" t="n"/>
      <c r="I1098" s="510" t="n"/>
    </row>
    <row r="1099" ht="19.95" customFormat="1" customHeight="1" s="511">
      <c r="A1099" s="277" t="n"/>
      <c r="B1099" s="285" t="n"/>
      <c r="C1099" s="579" t="n"/>
      <c r="D1099" s="580" t="n"/>
      <c r="E1099" s="581" t="n"/>
      <c r="F1099" s="577" t="n"/>
      <c r="G1099" s="582" t="n"/>
      <c r="H1099" s="583" t="n"/>
      <c r="I1099" s="510" t="n"/>
    </row>
    <row r="1100" ht="19.95" customFormat="1" customHeight="1" s="511">
      <c r="A1100" s="277" t="n"/>
      <c r="B1100" s="285" t="n"/>
      <c r="C1100" s="579" t="n"/>
      <c r="D1100" s="580" t="n"/>
      <c r="E1100" s="581" t="n"/>
      <c r="F1100" s="577" t="n"/>
      <c r="G1100" s="582" t="n"/>
      <c r="H1100" s="583" t="n"/>
      <c r="I1100" s="510" t="n"/>
    </row>
    <row r="1101" ht="19.95" customFormat="1" customHeight="1" s="511">
      <c r="A1101" s="277" t="n"/>
      <c r="B1101" s="285" t="n"/>
      <c r="C1101" s="579" t="n"/>
      <c r="D1101" s="580" t="n"/>
      <c r="E1101" s="581" t="n"/>
      <c r="F1101" s="577" t="n"/>
      <c r="G1101" s="582" t="n"/>
      <c r="H1101" s="583" t="n"/>
      <c r="I1101" s="510" t="n"/>
    </row>
    <row r="1102" ht="19.95" customFormat="1" customHeight="1" s="511">
      <c r="A1102" s="277" t="n"/>
      <c r="B1102" s="285" t="n"/>
      <c r="C1102" s="579" t="n"/>
      <c r="D1102" s="580" t="n"/>
      <c r="E1102" s="581" t="n"/>
      <c r="F1102" s="577" t="n"/>
      <c r="G1102" s="582" t="n"/>
      <c r="H1102" s="583" t="n"/>
      <c r="I1102" s="510" t="n"/>
    </row>
    <row r="1103" ht="19.95" customFormat="1" customHeight="1" s="511">
      <c r="A1103" s="277" t="n"/>
      <c r="B1103" s="285" t="n"/>
      <c r="C1103" s="579" t="n"/>
      <c r="D1103" s="580" t="n"/>
      <c r="E1103" s="581" t="n"/>
      <c r="F1103" s="577" t="n"/>
      <c r="G1103" s="582" t="n"/>
      <c r="H1103" s="583" t="n"/>
      <c r="I1103" s="510" t="n"/>
    </row>
    <row r="1104" ht="19.95" customFormat="1" customHeight="1" s="511">
      <c r="A1104" s="277" t="n"/>
      <c r="B1104" s="285" t="n"/>
      <c r="C1104" s="579" t="n"/>
      <c r="D1104" s="580" t="n"/>
      <c r="E1104" s="581" t="n"/>
      <c r="F1104" s="577" t="n"/>
      <c r="G1104" s="582" t="n"/>
      <c r="H1104" s="583" t="n"/>
      <c r="I1104" s="510" t="n"/>
    </row>
    <row r="1105" ht="19.95" customFormat="1" customHeight="1" s="511">
      <c r="A1105" s="277" t="n"/>
      <c r="B1105" s="285" t="n"/>
      <c r="C1105" s="579" t="n"/>
      <c r="D1105" s="580" t="n"/>
      <c r="E1105" s="581" t="n"/>
      <c r="F1105" s="577" t="n"/>
      <c r="G1105" s="582" t="n"/>
      <c r="H1105" s="583" t="n"/>
      <c r="I1105" s="510" t="n"/>
    </row>
    <row r="1106" ht="19.95" customFormat="1" customHeight="1" s="511">
      <c r="A1106" s="277" t="n"/>
      <c r="B1106" s="285" t="n"/>
      <c r="C1106" s="579" t="n"/>
      <c r="D1106" s="580" t="n"/>
      <c r="E1106" s="581" t="n"/>
      <c r="F1106" s="577" t="n"/>
      <c r="G1106" s="582" t="n"/>
      <c r="H1106" s="583" t="n"/>
      <c r="I1106" s="510" t="n"/>
    </row>
    <row r="1107" ht="19.95" customFormat="1" customHeight="1" s="511">
      <c r="A1107" s="277" t="n"/>
      <c r="B1107" s="285" t="n"/>
      <c r="C1107" s="579" t="n"/>
      <c r="D1107" s="580" t="n"/>
      <c r="E1107" s="581" t="n"/>
      <c r="F1107" s="577" t="n"/>
      <c r="G1107" s="582" t="n"/>
      <c r="H1107" s="583" t="n"/>
      <c r="I1107" s="510" t="n"/>
    </row>
    <row r="1108" ht="19.95" customFormat="1" customHeight="1" s="511">
      <c r="A1108" s="277" t="n"/>
      <c r="B1108" s="285" t="n"/>
      <c r="C1108" s="579" t="n"/>
      <c r="D1108" s="580" t="n"/>
      <c r="E1108" s="581" t="n"/>
      <c r="F1108" s="577" t="n"/>
      <c r="G1108" s="582" t="n"/>
      <c r="H1108" s="583" t="n"/>
      <c r="I1108" s="510" t="n"/>
    </row>
    <row r="1109" ht="19.95" customFormat="1" customHeight="1" s="511">
      <c r="A1109" s="277" t="n"/>
      <c r="B1109" s="285" t="n"/>
      <c r="C1109" s="579" t="n"/>
      <c r="D1109" s="580" t="n"/>
      <c r="E1109" s="581" t="n"/>
      <c r="F1109" s="577" t="n"/>
      <c r="G1109" s="582" t="n"/>
      <c r="H1109" s="583" t="n"/>
      <c r="I1109" s="510" t="n"/>
    </row>
    <row r="1110" ht="19.95" customFormat="1" customHeight="1" s="511">
      <c r="A1110" s="277" t="n"/>
      <c r="B1110" s="285" t="n"/>
      <c r="C1110" s="579" t="n"/>
      <c r="D1110" s="580" t="n"/>
      <c r="E1110" s="581" t="n"/>
      <c r="F1110" s="577" t="n"/>
      <c r="G1110" s="582" t="n"/>
      <c r="H1110" s="583" t="n"/>
      <c r="I1110" s="510" t="n"/>
    </row>
    <row r="1111" ht="19.95" customFormat="1" customHeight="1" s="511">
      <c r="A1111" s="277" t="n"/>
      <c r="B1111" s="285" t="n"/>
      <c r="C1111" s="579" t="n"/>
      <c r="D1111" s="580" t="n"/>
      <c r="E1111" s="581" t="n"/>
      <c r="F1111" s="577" t="n"/>
      <c r="G1111" s="582" t="n"/>
      <c r="H1111" s="583" t="n"/>
      <c r="I1111" s="510" t="n"/>
    </row>
    <row r="1112" ht="19.95" customFormat="1" customHeight="1" s="511">
      <c r="A1112" s="277" t="n"/>
      <c r="B1112" s="285" t="n"/>
      <c r="C1112" s="579" t="n"/>
      <c r="D1112" s="580" t="n"/>
      <c r="E1112" s="581" t="n"/>
      <c r="F1112" s="577" t="n"/>
      <c r="G1112" s="582" t="n"/>
      <c r="H1112" s="583" t="n"/>
      <c r="I1112" s="510" t="n"/>
    </row>
    <row r="1113" ht="19.95" customFormat="1" customHeight="1" s="511">
      <c r="A1113" s="277" t="n"/>
      <c r="B1113" s="285" t="n"/>
      <c r="C1113" s="579" t="n"/>
      <c r="D1113" s="580" t="n"/>
      <c r="E1113" s="581" t="n"/>
      <c r="F1113" s="577" t="n"/>
      <c r="G1113" s="582" t="n"/>
      <c r="H1113" s="583" t="n"/>
      <c r="I1113" s="510" t="n"/>
    </row>
    <row r="1114" ht="19.95" customFormat="1" customHeight="1" s="511">
      <c r="A1114" s="277" t="n"/>
      <c r="B1114" s="285" t="n"/>
      <c r="C1114" s="579" t="n"/>
      <c r="D1114" s="580" t="n"/>
      <c r="E1114" s="581" t="n"/>
      <c r="F1114" s="577" t="n"/>
      <c r="G1114" s="582" t="n"/>
      <c r="H1114" s="583" t="n"/>
      <c r="I1114" s="510" t="n"/>
    </row>
    <row r="1115" ht="19.95" customFormat="1" customHeight="1" s="511">
      <c r="A1115" s="277" t="n"/>
      <c r="B1115" s="285" t="n"/>
      <c r="C1115" s="579" t="n"/>
      <c r="D1115" s="580" t="n"/>
      <c r="E1115" s="581" t="n"/>
      <c r="F1115" s="577" t="n"/>
      <c r="G1115" s="582" t="n"/>
      <c r="H1115" s="583" t="n"/>
      <c r="I1115" s="510" t="n"/>
    </row>
    <row r="1116" ht="19.95" customFormat="1" customHeight="1" s="511">
      <c r="A1116" s="277" t="n"/>
      <c r="B1116" s="285" t="n"/>
      <c r="C1116" s="579" t="n"/>
      <c r="D1116" s="580" t="n"/>
      <c r="E1116" s="581" t="n"/>
      <c r="F1116" s="577" t="n"/>
      <c r="G1116" s="582" t="n"/>
      <c r="H1116" s="583" t="n"/>
      <c r="I1116" s="510" t="n"/>
    </row>
    <row r="1117" ht="19.95" customFormat="1" customHeight="1" s="511">
      <c r="A1117" s="277" t="n"/>
      <c r="B1117" s="285" t="n"/>
      <c r="C1117" s="579" t="n"/>
      <c r="D1117" s="580" t="n"/>
      <c r="E1117" s="581" t="n"/>
      <c r="F1117" s="577" t="n"/>
      <c r="G1117" s="582" t="n"/>
      <c r="H1117" s="583" t="n"/>
      <c r="I1117" s="510" t="n"/>
    </row>
    <row r="1118" ht="19.95" customFormat="1" customHeight="1" s="511">
      <c r="A1118" s="277" t="n"/>
      <c r="B1118" s="285" t="n"/>
      <c r="C1118" s="579" t="n"/>
      <c r="D1118" s="580" t="n"/>
      <c r="E1118" s="581" t="n"/>
      <c r="F1118" s="577" t="n"/>
      <c r="G1118" s="582" t="n"/>
      <c r="H1118" s="583" t="n"/>
      <c r="I1118" s="510" t="n"/>
    </row>
    <row r="1119" ht="19.95" customFormat="1" customHeight="1" s="511">
      <c r="A1119" s="277" t="n"/>
      <c r="B1119" s="285" t="n"/>
      <c r="C1119" s="579" t="n"/>
      <c r="D1119" s="580" t="n"/>
      <c r="E1119" s="581" t="n"/>
      <c r="F1119" s="577" t="n"/>
      <c r="G1119" s="582" t="n"/>
      <c r="H1119" s="583" t="n"/>
      <c r="I1119" s="510" t="n"/>
    </row>
    <row r="1120" ht="19.95" customFormat="1" customHeight="1" s="511">
      <c r="A1120" s="277" t="n"/>
      <c r="B1120" s="285" t="n"/>
      <c r="C1120" s="579" t="n"/>
      <c r="D1120" s="580" t="n"/>
      <c r="E1120" s="581" t="n"/>
      <c r="F1120" s="577" t="n"/>
      <c r="G1120" s="582" t="n"/>
      <c r="H1120" s="583" t="n"/>
      <c r="I1120" s="510" t="n"/>
    </row>
    <row r="1121" ht="19.95" customFormat="1" customHeight="1" s="511">
      <c r="A1121" s="277" t="n"/>
      <c r="B1121" s="285" t="n"/>
      <c r="C1121" s="579" t="n"/>
      <c r="D1121" s="580" t="n"/>
      <c r="E1121" s="581" t="n"/>
      <c r="F1121" s="577" t="n"/>
      <c r="G1121" s="582" t="n"/>
      <c r="H1121" s="583" t="n"/>
      <c r="I1121" s="510" t="n"/>
    </row>
    <row r="1122" ht="19.95" customFormat="1" customHeight="1" s="511">
      <c r="A1122" s="277" t="n"/>
      <c r="B1122" s="285" t="n"/>
      <c r="C1122" s="579" t="n"/>
      <c r="D1122" s="580" t="n"/>
      <c r="E1122" s="581" t="n"/>
      <c r="F1122" s="577" t="n"/>
      <c r="G1122" s="582" t="n"/>
      <c r="H1122" s="583" t="n"/>
      <c r="I1122" s="510" t="n"/>
    </row>
    <row r="1123" ht="19.95" customFormat="1" customHeight="1" s="511">
      <c r="A1123" s="277" t="n"/>
      <c r="B1123" s="285" t="n"/>
      <c r="C1123" s="579" t="n"/>
      <c r="D1123" s="580" t="n"/>
      <c r="E1123" s="581" t="n"/>
      <c r="F1123" s="577" t="n"/>
      <c r="G1123" s="582" t="n"/>
      <c r="H1123" s="583" t="n"/>
      <c r="I1123" s="510" t="n"/>
    </row>
    <row r="1124" ht="19.95" customFormat="1" customHeight="1" s="511">
      <c r="A1124" s="277" t="n"/>
      <c r="B1124" s="285" t="n"/>
      <c r="C1124" s="579" t="n"/>
      <c r="D1124" s="580" t="n"/>
      <c r="E1124" s="581" t="n"/>
      <c r="F1124" s="577" t="n"/>
      <c r="G1124" s="582" t="n"/>
      <c r="H1124" s="583" t="n"/>
      <c r="I1124" s="510" t="n"/>
    </row>
    <row r="1125" ht="19.95" customFormat="1" customHeight="1" s="511">
      <c r="A1125" s="277" t="n"/>
      <c r="B1125" s="285" t="n"/>
      <c r="C1125" s="579" t="n"/>
      <c r="D1125" s="580" t="n"/>
      <c r="E1125" s="581" t="n"/>
      <c r="F1125" s="577" t="n"/>
      <c r="G1125" s="582" t="n"/>
      <c r="H1125" s="583" t="n"/>
      <c r="I1125" s="510" t="n"/>
    </row>
    <row r="1126" ht="19.95" customFormat="1" customHeight="1" s="511">
      <c r="A1126" s="277" t="n"/>
      <c r="B1126" s="285" t="n"/>
      <c r="C1126" s="579" t="n"/>
      <c r="D1126" s="580" t="n"/>
      <c r="E1126" s="581" t="n"/>
      <c r="F1126" s="577" t="n"/>
      <c r="G1126" s="582" t="n"/>
      <c r="H1126" s="583" t="n"/>
      <c r="I1126" s="510" t="n"/>
    </row>
    <row r="1127" ht="19.95" customFormat="1" customHeight="1" s="511">
      <c r="A1127" s="277" t="n"/>
      <c r="B1127" s="285" t="n"/>
      <c r="C1127" s="579" t="n"/>
      <c r="D1127" s="580" t="n"/>
      <c r="E1127" s="581" t="n"/>
      <c r="F1127" s="577" t="n"/>
      <c r="G1127" s="582" t="n"/>
      <c r="H1127" s="583" t="n"/>
      <c r="I1127" s="510" t="n"/>
    </row>
    <row r="1128" ht="19.95" customFormat="1" customHeight="1" s="511">
      <c r="A1128" s="277" t="n"/>
      <c r="B1128" s="285" t="n"/>
      <c r="C1128" s="579" t="n"/>
      <c r="D1128" s="580" t="n"/>
      <c r="E1128" s="581" t="n"/>
      <c r="F1128" s="577" t="n"/>
      <c r="G1128" s="582" t="n"/>
      <c r="H1128" s="583" t="n"/>
      <c r="I1128" s="510" t="n"/>
    </row>
    <row r="1129" ht="19.95" customFormat="1" customHeight="1" s="511">
      <c r="A1129" s="277" t="n"/>
      <c r="B1129" s="285" t="n"/>
      <c r="C1129" s="579" t="n"/>
      <c r="D1129" s="580" t="n"/>
      <c r="E1129" s="581" t="n"/>
      <c r="F1129" s="577" t="n"/>
      <c r="G1129" s="582" t="n"/>
      <c r="H1129" s="583" t="n"/>
      <c r="I1129" s="510" t="n"/>
    </row>
    <row r="1130" ht="19.95" customFormat="1" customHeight="1" s="511">
      <c r="A1130" s="277" t="n"/>
      <c r="B1130" s="285" t="n"/>
      <c r="C1130" s="579" t="n"/>
      <c r="D1130" s="580" t="n"/>
      <c r="E1130" s="581" t="n"/>
      <c r="F1130" s="577" t="n"/>
      <c r="G1130" s="582" t="n"/>
      <c r="H1130" s="583" t="n"/>
      <c r="I1130" s="510" t="n"/>
    </row>
    <row r="1131" ht="19.95" customFormat="1" customHeight="1" s="511">
      <c r="A1131" s="277" t="n"/>
      <c r="B1131" s="285" t="n"/>
      <c r="C1131" s="579" t="n"/>
      <c r="D1131" s="580" t="n"/>
      <c r="E1131" s="581" t="n"/>
      <c r="F1131" s="577" t="n"/>
      <c r="G1131" s="582" t="n"/>
      <c r="H1131" s="583" t="n"/>
      <c r="I1131" s="510" t="n"/>
    </row>
    <row r="1132" ht="19.95" customFormat="1" customHeight="1" s="511">
      <c r="A1132" s="277" t="n"/>
      <c r="B1132" s="285" t="n"/>
      <c r="C1132" s="579" t="n"/>
      <c r="D1132" s="580" t="n"/>
      <c r="E1132" s="581" t="n"/>
      <c r="F1132" s="577" t="n"/>
      <c r="G1132" s="582" t="n"/>
      <c r="H1132" s="583" t="n"/>
      <c r="I1132" s="510" t="n"/>
    </row>
    <row r="1133" ht="19.95" customFormat="1" customHeight="1" s="511">
      <c r="A1133" s="277" t="n"/>
      <c r="B1133" s="285" t="n"/>
      <c r="C1133" s="579" t="n"/>
      <c r="D1133" s="580" t="n"/>
      <c r="E1133" s="581" t="n"/>
      <c r="F1133" s="577" t="n"/>
      <c r="G1133" s="582" t="n"/>
      <c r="H1133" s="583" t="n"/>
      <c r="I1133" s="510" t="n"/>
    </row>
    <row r="1134" ht="19.95" customFormat="1" customHeight="1" s="511">
      <c r="A1134" s="277" t="n"/>
      <c r="B1134" s="285" t="n"/>
      <c r="C1134" s="579" t="n"/>
      <c r="D1134" s="580" t="n"/>
      <c r="E1134" s="581" t="n"/>
      <c r="F1134" s="577" t="n"/>
      <c r="G1134" s="582" t="n"/>
      <c r="H1134" s="583" t="n"/>
      <c r="I1134" s="510" t="n"/>
    </row>
    <row r="1135" ht="19.95" customFormat="1" customHeight="1" s="511">
      <c r="A1135" s="277" t="n"/>
      <c r="B1135" s="285" t="n"/>
      <c r="C1135" s="579" t="n"/>
      <c r="D1135" s="580" t="n"/>
      <c r="E1135" s="581" t="n"/>
      <c r="F1135" s="577" t="n"/>
      <c r="G1135" s="582" t="n"/>
      <c r="H1135" s="583" t="n"/>
      <c r="I1135" s="510" t="n"/>
    </row>
    <row r="1136" ht="19.95" customFormat="1" customHeight="1" s="511">
      <c r="A1136" s="277" t="n"/>
      <c r="B1136" s="285" t="n"/>
      <c r="C1136" s="579" t="n"/>
      <c r="D1136" s="580" t="n"/>
      <c r="E1136" s="581" t="n"/>
      <c r="F1136" s="577" t="n"/>
      <c r="G1136" s="582" t="n"/>
      <c r="H1136" s="583" t="n"/>
      <c r="I1136" s="510" t="n"/>
    </row>
    <row r="1137" ht="19.95" customFormat="1" customHeight="1" s="511">
      <c r="A1137" s="277" t="n"/>
      <c r="B1137" s="285" t="n"/>
      <c r="C1137" s="579" t="n"/>
      <c r="D1137" s="580" t="n"/>
      <c r="E1137" s="581" t="n"/>
      <c r="F1137" s="577" t="n"/>
      <c r="G1137" s="582" t="n"/>
      <c r="H1137" s="583" t="n"/>
      <c r="I1137" s="510" t="n"/>
    </row>
    <row r="1138" ht="19.95" customFormat="1" customHeight="1" s="511">
      <c r="A1138" s="277" t="n"/>
      <c r="B1138" s="285" t="n"/>
      <c r="C1138" s="579" t="n"/>
      <c r="D1138" s="580" t="n"/>
      <c r="E1138" s="581" t="n"/>
      <c r="F1138" s="577" t="n"/>
      <c r="G1138" s="582" t="n"/>
      <c r="H1138" s="583" t="n"/>
      <c r="I1138" s="510" t="n"/>
    </row>
    <row r="1139" ht="19.95" customFormat="1" customHeight="1" s="511">
      <c r="A1139" s="277" t="n"/>
      <c r="B1139" s="285" t="n"/>
      <c r="C1139" s="579" t="n"/>
      <c r="D1139" s="580" t="n"/>
      <c r="E1139" s="581" t="n"/>
      <c r="F1139" s="577" t="n"/>
      <c r="G1139" s="582" t="n"/>
      <c r="H1139" s="583" t="n"/>
      <c r="I1139" s="510" t="n"/>
    </row>
    <row r="1140" ht="19.95" customFormat="1" customHeight="1" s="511">
      <c r="A1140" s="277" t="n"/>
      <c r="B1140" s="285" t="n"/>
      <c r="C1140" s="579" t="n"/>
      <c r="D1140" s="580" t="n"/>
      <c r="E1140" s="581" t="n"/>
      <c r="F1140" s="577" t="n"/>
      <c r="G1140" s="582" t="n"/>
      <c r="H1140" s="583" t="n"/>
      <c r="I1140" s="510" t="n"/>
    </row>
    <row r="1141" ht="19.95" customFormat="1" customHeight="1" s="511">
      <c r="A1141" s="277" t="n"/>
      <c r="B1141" s="285" t="n"/>
      <c r="C1141" s="579" t="n"/>
      <c r="D1141" s="580" t="n"/>
      <c r="E1141" s="581" t="n"/>
      <c r="F1141" s="577" t="n"/>
      <c r="G1141" s="582" t="n"/>
      <c r="H1141" s="583" t="n"/>
      <c r="I1141" s="510" t="n"/>
    </row>
    <row r="1142" ht="19.95" customFormat="1" customHeight="1" s="511">
      <c r="A1142" s="277" t="n"/>
      <c r="B1142" s="285" t="n"/>
      <c r="C1142" s="579" t="n"/>
      <c r="D1142" s="580" t="n"/>
      <c r="E1142" s="581" t="n"/>
      <c r="F1142" s="577" t="n"/>
      <c r="G1142" s="582" t="n"/>
      <c r="H1142" s="583" t="n"/>
      <c r="I1142" s="510" t="n"/>
    </row>
    <row r="1143" ht="19.95" customFormat="1" customHeight="1" s="511">
      <c r="A1143" s="277" t="n"/>
      <c r="B1143" s="285" t="n"/>
      <c r="C1143" s="579" t="n"/>
      <c r="D1143" s="580" t="n"/>
      <c r="E1143" s="581" t="n"/>
      <c r="F1143" s="577" t="n"/>
      <c r="G1143" s="582" t="n"/>
      <c r="H1143" s="583" t="n"/>
      <c r="I1143" s="510" t="n"/>
    </row>
    <row r="1144" ht="19.95" customFormat="1" customHeight="1" s="511">
      <c r="A1144" s="277" t="n"/>
      <c r="B1144" s="285" t="n"/>
      <c r="C1144" s="579" t="n"/>
      <c r="D1144" s="580" t="n"/>
      <c r="E1144" s="581" t="n"/>
      <c r="F1144" s="577" t="n"/>
      <c r="G1144" s="582" t="n"/>
      <c r="H1144" s="583" t="n"/>
      <c r="I1144" s="510" t="n"/>
    </row>
    <row r="1145" ht="19.95" customFormat="1" customHeight="1" s="511">
      <c r="A1145" s="277" t="n"/>
      <c r="B1145" s="285" t="n"/>
      <c r="C1145" s="579" t="n"/>
      <c r="D1145" s="580" t="n"/>
      <c r="E1145" s="581" t="n"/>
      <c r="F1145" s="577" t="n"/>
      <c r="G1145" s="582" t="n"/>
      <c r="H1145" s="583" t="n"/>
      <c r="I1145" s="510" t="n"/>
    </row>
    <row r="1146" ht="19.95" customFormat="1" customHeight="1" s="511">
      <c r="A1146" s="277" t="n"/>
      <c r="B1146" s="285" t="n"/>
      <c r="C1146" s="579" t="n"/>
      <c r="D1146" s="580" t="n"/>
      <c r="E1146" s="581" t="n"/>
      <c r="F1146" s="577" t="n"/>
      <c r="G1146" s="582" t="n"/>
      <c r="H1146" s="583" t="n"/>
      <c r="I1146" s="510" t="n"/>
    </row>
    <row r="1147" ht="19.95" customFormat="1" customHeight="1" s="511">
      <c r="A1147" s="277" t="n"/>
      <c r="B1147" s="285" t="n"/>
      <c r="C1147" s="579" t="n"/>
      <c r="D1147" s="580" t="n"/>
      <c r="E1147" s="581" t="n"/>
      <c r="F1147" s="577" t="n"/>
      <c r="G1147" s="582" t="n"/>
      <c r="H1147" s="583" t="n"/>
      <c r="I1147" s="510" t="n"/>
    </row>
    <row r="1148" ht="19.95" customFormat="1" customHeight="1" s="511">
      <c r="A1148" s="277" t="n"/>
      <c r="B1148" s="285" t="n"/>
      <c r="C1148" s="579" t="n"/>
      <c r="D1148" s="580" t="n"/>
      <c r="E1148" s="581" t="n"/>
      <c r="F1148" s="577" t="n"/>
      <c r="G1148" s="582" t="n"/>
      <c r="H1148" s="583" t="n"/>
      <c r="I1148" s="510" t="n"/>
    </row>
    <row r="1149" ht="19.95" customFormat="1" customHeight="1" s="511">
      <c r="A1149" s="277" t="n"/>
      <c r="B1149" s="285" t="n"/>
      <c r="C1149" s="579" t="n"/>
      <c r="D1149" s="580" t="n"/>
      <c r="E1149" s="581" t="n"/>
      <c r="F1149" s="577" t="n"/>
      <c r="G1149" s="582" t="n"/>
      <c r="H1149" s="583" t="n"/>
      <c r="I1149" s="510" t="n"/>
    </row>
    <row r="1150" ht="19.95" customFormat="1" customHeight="1" s="511">
      <c r="A1150" s="277" t="n"/>
      <c r="B1150" s="285" t="n"/>
      <c r="C1150" s="579" t="n"/>
      <c r="D1150" s="580" t="n"/>
      <c r="E1150" s="581" t="n"/>
      <c r="F1150" s="577" t="n"/>
      <c r="G1150" s="582" t="n"/>
      <c r="H1150" s="583" t="n"/>
      <c r="I1150" s="510" t="n"/>
    </row>
    <row r="1151" ht="19.95" customFormat="1" customHeight="1" s="511">
      <c r="A1151" s="277" t="n"/>
      <c r="B1151" s="285" t="n"/>
      <c r="C1151" s="579" t="n"/>
      <c r="D1151" s="580" t="n"/>
      <c r="E1151" s="581" t="n"/>
      <c r="F1151" s="577" t="n"/>
      <c r="G1151" s="582" t="n"/>
      <c r="H1151" s="583" t="n"/>
      <c r="I1151" s="510" t="n"/>
    </row>
    <row r="1152" ht="19.95" customFormat="1" customHeight="1" s="511">
      <c r="A1152" s="277" t="n"/>
      <c r="B1152" s="285" t="n"/>
      <c r="C1152" s="579" t="n"/>
      <c r="D1152" s="580" t="n"/>
      <c r="E1152" s="581" t="n"/>
      <c r="F1152" s="577" t="n"/>
      <c r="G1152" s="582" t="n"/>
      <c r="H1152" s="583" t="n"/>
      <c r="I1152" s="510" t="n"/>
    </row>
    <row r="1153" ht="19.95" customFormat="1" customHeight="1" s="511">
      <c r="A1153" s="277" t="n"/>
      <c r="B1153" s="285" t="n"/>
      <c r="C1153" s="579" t="n"/>
      <c r="D1153" s="580" t="n"/>
      <c r="E1153" s="581" t="n"/>
      <c r="F1153" s="577" t="n"/>
      <c r="G1153" s="582" t="n"/>
      <c r="H1153" s="583" t="n"/>
      <c r="I1153" s="510" t="n"/>
    </row>
    <row r="1154" ht="19.95" customFormat="1" customHeight="1" s="511">
      <c r="A1154" s="277" t="n"/>
      <c r="B1154" s="285" t="n"/>
      <c r="C1154" s="579" t="n"/>
      <c r="D1154" s="580" t="n"/>
      <c r="E1154" s="581" t="n"/>
      <c r="F1154" s="577" t="n"/>
      <c r="G1154" s="582" t="n"/>
      <c r="H1154" s="583" t="n"/>
      <c r="I1154" s="510" t="n"/>
    </row>
    <row r="1155" ht="19.95" customFormat="1" customHeight="1" s="511">
      <c r="A1155" s="277" t="n"/>
      <c r="B1155" s="285" t="n"/>
      <c r="C1155" s="579" t="n"/>
      <c r="D1155" s="580" t="n"/>
      <c r="E1155" s="581" t="n"/>
      <c r="F1155" s="577" t="n"/>
      <c r="G1155" s="582" t="n"/>
      <c r="H1155" s="583" t="n"/>
      <c r="I1155" s="510" t="n"/>
    </row>
    <row r="1156" ht="19.95" customFormat="1" customHeight="1" s="511">
      <c r="A1156" s="277" t="n"/>
      <c r="B1156" s="285" t="n"/>
      <c r="C1156" s="579" t="n"/>
      <c r="D1156" s="580" t="n"/>
      <c r="E1156" s="581" t="n"/>
      <c r="F1156" s="577" t="n"/>
      <c r="G1156" s="582" t="n"/>
      <c r="H1156" s="583" t="n"/>
      <c r="I1156" s="510" t="n"/>
    </row>
    <row r="1157" ht="19.95" customFormat="1" customHeight="1" s="511">
      <c r="A1157" s="277" t="n"/>
      <c r="B1157" s="285" t="n"/>
      <c r="C1157" s="579" t="n"/>
      <c r="D1157" s="580" t="n"/>
      <c r="E1157" s="581" t="n"/>
      <c r="F1157" s="577" t="n"/>
      <c r="G1157" s="582" t="n"/>
      <c r="H1157" s="583" t="n"/>
      <c r="I1157" s="510" t="n"/>
    </row>
    <row r="1158" ht="19.95" customFormat="1" customHeight="1" s="511">
      <c r="A1158" s="277" t="n"/>
      <c r="B1158" s="285" t="n"/>
      <c r="C1158" s="579" t="n"/>
      <c r="D1158" s="580" t="n"/>
      <c r="E1158" s="581" t="n"/>
      <c r="F1158" s="577" t="n"/>
      <c r="G1158" s="582" t="n"/>
      <c r="H1158" s="583" t="n"/>
      <c r="I1158" s="510" t="n"/>
    </row>
    <row r="1159" ht="19.95" customFormat="1" customHeight="1" s="511">
      <c r="A1159" s="277" t="n"/>
      <c r="B1159" s="285" t="n"/>
      <c r="C1159" s="579" t="n"/>
      <c r="D1159" s="580" t="n"/>
      <c r="E1159" s="581" t="n"/>
      <c r="F1159" s="577" t="n"/>
      <c r="G1159" s="582" t="n"/>
      <c r="H1159" s="583" t="n"/>
      <c r="I1159" s="510" t="n"/>
    </row>
    <row r="1160" ht="19.95" customFormat="1" customHeight="1" s="511">
      <c r="A1160" s="277" t="n"/>
      <c r="B1160" s="285" t="n"/>
      <c r="C1160" s="579" t="n"/>
      <c r="D1160" s="580" t="n"/>
      <c r="E1160" s="581" t="n"/>
      <c r="F1160" s="577" t="n"/>
      <c r="G1160" s="582" t="n"/>
      <c r="H1160" s="583" t="n"/>
      <c r="I1160" s="510" t="n"/>
    </row>
    <row r="1161" ht="19.95" customFormat="1" customHeight="1" s="511">
      <c r="A1161" s="277" t="n"/>
      <c r="B1161" s="285" t="n"/>
      <c r="C1161" s="579" t="n"/>
      <c r="D1161" s="580" t="n"/>
      <c r="E1161" s="581" t="n"/>
      <c r="F1161" s="577" t="n"/>
      <c r="G1161" s="582" t="n"/>
      <c r="H1161" s="583" t="n"/>
      <c r="I1161" s="510" t="n"/>
    </row>
    <row r="1162" ht="19.95" customFormat="1" customHeight="1" s="511">
      <c r="A1162" s="277" t="n"/>
      <c r="B1162" s="285" t="n"/>
      <c r="C1162" s="579" t="n"/>
      <c r="D1162" s="580" t="n"/>
      <c r="E1162" s="581" t="n"/>
      <c r="F1162" s="577" t="n"/>
      <c r="G1162" s="582" t="n"/>
      <c r="H1162" s="583" t="n"/>
      <c r="I1162" s="510" t="n"/>
    </row>
    <row r="1163" ht="19.95" customFormat="1" customHeight="1" s="511">
      <c r="A1163" s="277" t="n"/>
      <c r="B1163" s="285" t="n"/>
      <c r="C1163" s="579" t="n"/>
      <c r="D1163" s="580" t="n"/>
      <c r="E1163" s="581" t="n"/>
      <c r="F1163" s="577" t="n"/>
      <c r="G1163" s="582" t="n"/>
      <c r="H1163" s="583" t="n"/>
      <c r="I1163" s="510" t="n"/>
    </row>
    <row r="1164" ht="19.95" customFormat="1" customHeight="1" s="511">
      <c r="A1164" s="277" t="n"/>
      <c r="B1164" s="285" t="n"/>
      <c r="C1164" s="579" t="n"/>
      <c r="D1164" s="580" t="n"/>
      <c r="E1164" s="581" t="n"/>
      <c r="F1164" s="577" t="n"/>
      <c r="G1164" s="582" t="n"/>
      <c r="H1164" s="583" t="n"/>
      <c r="I1164" s="510" t="n"/>
    </row>
    <row r="1165" ht="19.95" customFormat="1" customHeight="1" s="511">
      <c r="A1165" s="277" t="n"/>
      <c r="B1165" s="285" t="n"/>
      <c r="C1165" s="579" t="n"/>
      <c r="D1165" s="580" t="n"/>
      <c r="E1165" s="581" t="n"/>
      <c r="F1165" s="577" t="n"/>
      <c r="G1165" s="582" t="n"/>
      <c r="H1165" s="583" t="n"/>
      <c r="I1165" s="510" t="n"/>
    </row>
    <row r="1166" ht="19.95" customFormat="1" customHeight="1" s="511">
      <c r="A1166" s="277" t="n"/>
      <c r="B1166" s="285" t="n"/>
      <c r="C1166" s="579" t="n"/>
      <c r="D1166" s="580" t="n"/>
      <c r="E1166" s="581" t="n"/>
      <c r="F1166" s="577" t="n"/>
      <c r="G1166" s="582" t="n"/>
      <c r="H1166" s="583" t="n"/>
      <c r="I1166" s="510" t="n"/>
    </row>
    <row r="1167" ht="19.95" customFormat="1" customHeight="1" s="511">
      <c r="A1167" s="277" t="n"/>
      <c r="B1167" s="285" t="n"/>
      <c r="C1167" s="579" t="n"/>
      <c r="D1167" s="580" t="n"/>
      <c r="E1167" s="581" t="n"/>
      <c r="F1167" s="577" t="n"/>
      <c r="G1167" s="582" t="n"/>
      <c r="H1167" s="583" t="n"/>
      <c r="I1167" s="510" t="n"/>
    </row>
    <row r="1168" ht="19.95" customFormat="1" customHeight="1" s="511">
      <c r="A1168" s="277" t="n"/>
      <c r="B1168" s="285" t="n"/>
      <c r="C1168" s="579" t="n"/>
      <c r="D1168" s="580" t="n"/>
      <c r="E1168" s="581" t="n"/>
      <c r="F1168" s="577" t="n"/>
      <c r="G1168" s="582" t="n"/>
      <c r="H1168" s="583" t="n"/>
      <c r="I1168" s="510" t="n"/>
    </row>
    <row r="1169" ht="19.95" customFormat="1" customHeight="1" s="511">
      <c r="A1169" s="277" t="n"/>
      <c r="B1169" s="285" t="n"/>
      <c r="C1169" s="579" t="n"/>
      <c r="D1169" s="580" t="n"/>
      <c r="E1169" s="581" t="n"/>
      <c r="F1169" s="577" t="n"/>
      <c r="G1169" s="582" t="n"/>
      <c r="H1169" s="583" t="n"/>
      <c r="I1169" s="510" t="n"/>
    </row>
    <row r="1170" ht="19.95" customFormat="1" customHeight="1" s="511">
      <c r="A1170" s="277" t="n"/>
      <c r="B1170" s="285" t="n"/>
      <c r="C1170" s="579" t="n"/>
      <c r="D1170" s="580" t="n"/>
      <c r="E1170" s="581" t="n"/>
      <c r="F1170" s="577" t="n"/>
      <c r="G1170" s="582" t="n"/>
      <c r="H1170" s="583" t="n"/>
      <c r="I1170" s="510" t="n"/>
    </row>
    <row r="1171" ht="19.95" customFormat="1" customHeight="1" s="511">
      <c r="A1171" s="277" t="n"/>
      <c r="B1171" s="285" t="n"/>
      <c r="C1171" s="579" t="n"/>
      <c r="D1171" s="580" t="n"/>
      <c r="E1171" s="581" t="n"/>
      <c r="F1171" s="577" t="n"/>
      <c r="G1171" s="582" t="n"/>
      <c r="H1171" s="583" t="n"/>
      <c r="I1171" s="510" t="n"/>
    </row>
    <row r="1172" ht="19.95" customFormat="1" customHeight="1" s="511">
      <c r="A1172" s="277" t="n"/>
      <c r="B1172" s="285" t="n"/>
      <c r="C1172" s="579" t="n"/>
      <c r="D1172" s="580" t="n"/>
      <c r="E1172" s="581" t="n"/>
      <c r="F1172" s="577" t="n"/>
      <c r="G1172" s="582" t="n"/>
      <c r="H1172" s="583" t="n"/>
      <c r="I1172" s="510" t="n"/>
    </row>
    <row r="1173" ht="19.95" customFormat="1" customHeight="1" s="511">
      <c r="A1173" s="277" t="n"/>
      <c r="B1173" s="285" t="n"/>
      <c r="C1173" s="579" t="n"/>
      <c r="D1173" s="580" t="n"/>
      <c r="E1173" s="581" t="n"/>
      <c r="F1173" s="577" t="n"/>
      <c r="G1173" s="582" t="n"/>
      <c r="H1173" s="583" t="n"/>
      <c r="I1173" s="510" t="n"/>
    </row>
    <row r="1174" ht="19.95" customFormat="1" customHeight="1" s="511">
      <c r="A1174" s="277" t="n"/>
      <c r="B1174" s="285" t="n"/>
      <c r="C1174" s="579" t="n"/>
      <c r="D1174" s="580" t="n"/>
      <c r="E1174" s="581" t="n"/>
      <c r="F1174" s="577" t="n"/>
      <c r="G1174" s="582" t="n"/>
      <c r="H1174" s="583" t="n"/>
      <c r="I1174" s="510" t="n"/>
    </row>
    <row r="1175" ht="19.95" customFormat="1" customHeight="1" s="511">
      <c r="A1175" s="277" t="n"/>
      <c r="B1175" s="285" t="n"/>
      <c r="C1175" s="579" t="n"/>
      <c r="D1175" s="580" t="n"/>
      <c r="E1175" s="581" t="n"/>
      <c r="F1175" s="577" t="n"/>
      <c r="G1175" s="582" t="n"/>
      <c r="H1175" s="583" t="n"/>
      <c r="I1175" s="510" t="n"/>
    </row>
    <row r="1176" ht="19.95" customFormat="1" customHeight="1" s="511">
      <c r="A1176" s="277" t="n"/>
      <c r="B1176" s="285" t="n"/>
      <c r="C1176" s="579" t="n"/>
      <c r="D1176" s="580" t="n"/>
      <c r="E1176" s="581" t="n"/>
      <c r="F1176" s="577" t="n"/>
      <c r="G1176" s="582" t="n"/>
      <c r="H1176" s="583" t="n"/>
      <c r="I1176" s="510" t="n"/>
    </row>
    <row r="1177" ht="19.95" customFormat="1" customHeight="1" s="511">
      <c r="A1177" s="277" t="n"/>
      <c r="B1177" s="285" t="n"/>
      <c r="C1177" s="579" t="n"/>
      <c r="D1177" s="580" t="n"/>
      <c r="E1177" s="581" t="n"/>
      <c r="F1177" s="577" t="n"/>
      <c r="G1177" s="582" t="n"/>
      <c r="H1177" s="583" t="n"/>
      <c r="I1177" s="510" t="n"/>
    </row>
    <row r="1178" ht="19.95" customFormat="1" customHeight="1" s="511">
      <c r="A1178" s="277" t="n"/>
      <c r="B1178" s="285" t="n"/>
      <c r="C1178" s="579" t="n"/>
      <c r="D1178" s="580" t="n"/>
      <c r="E1178" s="581" t="n"/>
      <c r="F1178" s="577" t="n"/>
      <c r="G1178" s="582" t="n"/>
      <c r="H1178" s="583" t="n"/>
      <c r="I1178" s="510" t="n"/>
    </row>
    <row r="1179" ht="19.95" customFormat="1" customHeight="1" s="511">
      <c r="A1179" s="277" t="n"/>
      <c r="B1179" s="285" t="n"/>
      <c r="C1179" s="579" t="n"/>
      <c r="D1179" s="580" t="n"/>
      <c r="E1179" s="581" t="n"/>
      <c r="F1179" s="577" t="n"/>
      <c r="G1179" s="582" t="n"/>
      <c r="H1179" s="583" t="n"/>
      <c r="I1179" s="510" t="n"/>
    </row>
    <row r="1180" ht="19.95" customFormat="1" customHeight="1" s="511">
      <c r="A1180" s="277" t="n"/>
      <c r="B1180" s="285" t="n"/>
      <c r="C1180" s="579" t="n"/>
      <c r="D1180" s="580" t="n"/>
      <c r="E1180" s="581" t="n"/>
      <c r="F1180" s="577" t="n"/>
      <c r="G1180" s="582" t="n"/>
      <c r="H1180" s="583" t="n"/>
      <c r="I1180" s="510" t="n"/>
    </row>
    <row r="1181" ht="19.95" customFormat="1" customHeight="1" s="511">
      <c r="A1181" s="277" t="n"/>
      <c r="B1181" s="285" t="n"/>
      <c r="C1181" s="579" t="n"/>
      <c r="D1181" s="580" t="n"/>
      <c r="E1181" s="581" t="n"/>
      <c r="F1181" s="577" t="n"/>
      <c r="G1181" s="582" t="n"/>
      <c r="H1181" s="583" t="n"/>
      <c r="I1181" s="510" t="n"/>
    </row>
    <row r="1182" ht="19.95" customFormat="1" customHeight="1" s="511">
      <c r="A1182" s="277" t="n"/>
      <c r="B1182" s="285" t="n"/>
      <c r="C1182" s="579" t="n"/>
      <c r="D1182" s="580" t="n"/>
      <c r="E1182" s="581" t="n"/>
      <c r="F1182" s="577" t="n"/>
      <c r="G1182" s="582" t="n"/>
      <c r="H1182" s="583" t="n"/>
      <c r="I1182" s="510" t="n"/>
    </row>
    <row r="1183" ht="19.95" customFormat="1" customHeight="1" s="511">
      <c r="A1183" s="277" t="n"/>
      <c r="B1183" s="285" t="n"/>
      <c r="C1183" s="579" t="n"/>
      <c r="D1183" s="580" t="n"/>
      <c r="E1183" s="581" t="n"/>
      <c r="F1183" s="577" t="n"/>
      <c r="G1183" s="582" t="n"/>
      <c r="H1183" s="583" t="n"/>
      <c r="I1183" s="510" t="n"/>
    </row>
    <row r="1184" ht="19.95" customFormat="1" customHeight="1" s="511">
      <c r="A1184" s="277" t="n"/>
      <c r="B1184" s="285" t="n"/>
      <c r="C1184" s="579" t="n"/>
      <c r="D1184" s="580" t="n"/>
      <c r="E1184" s="581" t="n"/>
      <c r="F1184" s="577" t="n"/>
      <c r="G1184" s="582" t="n"/>
      <c r="H1184" s="583" t="n"/>
      <c r="I1184" s="510" t="n"/>
    </row>
    <row r="1185" ht="19.95" customFormat="1" customHeight="1" s="511">
      <c r="A1185" s="277" t="n"/>
      <c r="B1185" s="285" t="n"/>
      <c r="C1185" s="579" t="n"/>
      <c r="D1185" s="580" t="n"/>
      <c r="E1185" s="581" t="n"/>
      <c r="F1185" s="577" t="n"/>
      <c r="G1185" s="582" t="n"/>
      <c r="H1185" s="583" t="n"/>
      <c r="I1185" s="510" t="n"/>
    </row>
    <row r="1186" ht="19.95" customFormat="1" customHeight="1" s="511">
      <c r="A1186" s="277" t="n"/>
      <c r="B1186" s="285" t="n"/>
      <c r="C1186" s="579" t="n"/>
      <c r="D1186" s="580" t="n"/>
      <c r="E1186" s="581" t="n"/>
      <c r="F1186" s="577" t="n"/>
      <c r="G1186" s="582" t="n"/>
      <c r="H1186" s="583" t="n"/>
      <c r="I1186" s="510" t="n"/>
    </row>
    <row r="1187" ht="19.95" customFormat="1" customHeight="1" s="511">
      <c r="A1187" s="277" t="n"/>
      <c r="B1187" s="285" t="n"/>
      <c r="C1187" s="579" t="n"/>
      <c r="D1187" s="580" t="n"/>
      <c r="E1187" s="581" t="n"/>
      <c r="F1187" s="577" t="n"/>
      <c r="G1187" s="582" t="n"/>
      <c r="H1187" s="583" t="n"/>
      <c r="I1187" s="510" t="n"/>
    </row>
    <row r="1188" ht="19.95" customFormat="1" customHeight="1" s="511">
      <c r="A1188" s="277" t="n"/>
      <c r="B1188" s="285" t="n"/>
      <c r="C1188" s="579" t="n"/>
      <c r="D1188" s="580" t="n"/>
      <c r="E1188" s="581" t="n"/>
      <c r="F1188" s="577" t="n"/>
      <c r="G1188" s="582" t="n"/>
      <c r="H1188" s="583" t="n"/>
      <c r="I1188" s="510" t="n"/>
    </row>
    <row r="1189" ht="19.95" customFormat="1" customHeight="1" s="511">
      <c r="A1189" s="277" t="n"/>
      <c r="B1189" s="285" t="n"/>
      <c r="C1189" s="579" t="n"/>
      <c r="D1189" s="580" t="n"/>
      <c r="E1189" s="581" t="n"/>
      <c r="F1189" s="577" t="n"/>
      <c r="G1189" s="582" t="n"/>
      <c r="H1189" s="583" t="n"/>
      <c r="I1189" s="510" t="n"/>
    </row>
    <row r="1190" ht="19.95" customFormat="1" customHeight="1" s="511">
      <c r="A1190" s="277" t="n"/>
      <c r="B1190" s="285" t="n"/>
      <c r="C1190" s="579" t="n"/>
      <c r="D1190" s="580" t="n"/>
      <c r="E1190" s="581" t="n"/>
      <c r="F1190" s="577" t="n"/>
      <c r="G1190" s="582" t="n"/>
      <c r="H1190" s="583" t="n"/>
      <c r="I1190" s="510" t="n"/>
    </row>
    <row r="1191" ht="19.95" customFormat="1" customHeight="1" s="511">
      <c r="A1191" s="277" t="n"/>
      <c r="B1191" s="285" t="n"/>
      <c r="C1191" s="579" t="n"/>
      <c r="D1191" s="580" t="n"/>
      <c r="E1191" s="581" t="n"/>
      <c r="F1191" s="577" t="n"/>
      <c r="G1191" s="582" t="n"/>
      <c r="H1191" s="583" t="n"/>
      <c r="I1191" s="510" t="n"/>
    </row>
    <row r="1192" ht="19.95" customFormat="1" customHeight="1" s="511">
      <c r="A1192" s="277" t="n"/>
      <c r="B1192" s="285" t="n"/>
      <c r="C1192" s="579" t="n"/>
      <c r="D1192" s="580" t="n"/>
      <c r="E1192" s="581" t="n"/>
      <c r="F1192" s="577" t="n"/>
      <c r="G1192" s="582" t="n"/>
      <c r="H1192" s="583" t="n"/>
      <c r="I1192" s="510" t="n"/>
    </row>
    <row r="1193" ht="19.95" customFormat="1" customHeight="1" s="511">
      <c r="A1193" s="277" t="n"/>
      <c r="B1193" s="285" t="n"/>
      <c r="C1193" s="579" t="n"/>
      <c r="D1193" s="580" t="n"/>
      <c r="E1193" s="581" t="n"/>
      <c r="F1193" s="577" t="n"/>
      <c r="G1193" s="582" t="n"/>
      <c r="H1193" s="583" t="n"/>
      <c r="I1193" s="510" t="n"/>
    </row>
    <row r="1194" ht="19.95" customFormat="1" customHeight="1" s="511">
      <c r="A1194" s="277" t="n"/>
      <c r="B1194" s="285" t="n"/>
      <c r="C1194" s="579" t="n"/>
      <c r="D1194" s="580" t="n"/>
      <c r="E1194" s="581" t="n"/>
      <c r="F1194" s="577" t="n"/>
      <c r="G1194" s="582" t="n"/>
      <c r="H1194" s="583" t="n"/>
      <c r="I1194" s="510" t="n"/>
    </row>
    <row r="1195" ht="19.95" customFormat="1" customHeight="1" s="511">
      <c r="A1195" s="277" t="n"/>
      <c r="B1195" s="285" t="n"/>
      <c r="C1195" s="579" t="n"/>
      <c r="D1195" s="580" t="n"/>
      <c r="E1195" s="581" t="n"/>
      <c r="F1195" s="577" t="n"/>
      <c r="G1195" s="582" t="n"/>
      <c r="H1195" s="583" t="n"/>
      <c r="I1195" s="510" t="n"/>
    </row>
    <row r="1196" ht="19.95" customFormat="1" customHeight="1" s="511">
      <c r="A1196" s="277" t="n"/>
      <c r="B1196" s="285" t="n"/>
      <c r="C1196" s="579" t="n"/>
      <c r="D1196" s="580" t="n"/>
      <c r="E1196" s="581" t="n"/>
      <c r="F1196" s="577" t="n"/>
      <c r="G1196" s="582" t="n"/>
      <c r="H1196" s="583" t="n"/>
      <c r="I1196" s="510" t="n"/>
    </row>
    <row r="1197" ht="19.95" customFormat="1" customHeight="1" s="511">
      <c r="A1197" s="277" t="n"/>
      <c r="B1197" s="285" t="n"/>
      <c r="C1197" s="579" t="n"/>
      <c r="D1197" s="580" t="n"/>
      <c r="E1197" s="581" t="n"/>
      <c r="F1197" s="577" t="n"/>
      <c r="G1197" s="582" t="n"/>
      <c r="H1197" s="583" t="n"/>
      <c r="I1197" s="510" t="n"/>
    </row>
    <row r="1198" ht="19.95" customFormat="1" customHeight="1" s="511">
      <c r="A1198" s="277" t="n"/>
      <c r="B1198" s="285" t="n"/>
      <c r="C1198" s="579" t="n"/>
      <c r="D1198" s="580" t="n"/>
      <c r="E1198" s="581" t="n"/>
      <c r="F1198" s="577" t="n"/>
      <c r="G1198" s="582" t="n"/>
      <c r="H1198" s="583" t="n"/>
      <c r="I1198" s="510" t="n"/>
    </row>
    <row r="1199" ht="19.95" customFormat="1" customHeight="1" s="511">
      <c r="A1199" s="277" t="n"/>
      <c r="B1199" s="285" t="n"/>
      <c r="C1199" s="579" t="n"/>
      <c r="D1199" s="580" t="n"/>
      <c r="E1199" s="581" t="n"/>
      <c r="F1199" s="577" t="n"/>
      <c r="G1199" s="582" t="n"/>
      <c r="H1199" s="583" t="n"/>
      <c r="I1199" s="510" t="n"/>
    </row>
    <row r="1200" ht="19.95" customFormat="1" customHeight="1" s="511">
      <c r="A1200" s="277" t="n"/>
      <c r="B1200" s="285" t="n"/>
      <c r="C1200" s="579" t="n"/>
      <c r="D1200" s="580" t="n"/>
      <c r="E1200" s="581" t="n"/>
      <c r="F1200" s="577" t="n"/>
      <c r="G1200" s="582" t="n"/>
      <c r="H1200" s="583" t="n"/>
      <c r="I1200" s="510" t="n"/>
    </row>
    <row r="1201" ht="19.95" customFormat="1" customHeight="1" s="511">
      <c r="A1201" s="277" t="n"/>
      <c r="B1201" s="285" t="n"/>
      <c r="C1201" s="579" t="n"/>
      <c r="D1201" s="580" t="n"/>
      <c r="E1201" s="581" t="n"/>
      <c r="F1201" s="577" t="n"/>
      <c r="G1201" s="582" t="n"/>
      <c r="H1201" s="583" t="n"/>
      <c r="I1201" s="510" t="n"/>
    </row>
    <row r="1202" ht="19.95" customFormat="1" customHeight="1" s="511">
      <c r="A1202" s="277" t="n"/>
      <c r="B1202" s="285" t="n"/>
      <c r="C1202" s="579" t="n"/>
      <c r="D1202" s="580" t="n"/>
      <c r="E1202" s="581" t="n"/>
      <c r="F1202" s="577" t="n"/>
      <c r="G1202" s="582" t="n"/>
      <c r="H1202" s="583" t="n"/>
      <c r="I1202" s="510" t="n"/>
    </row>
    <row r="1203" ht="19.95" customFormat="1" customHeight="1" s="511">
      <c r="A1203" s="277" t="n"/>
      <c r="B1203" s="285" t="n"/>
      <c r="C1203" s="579" t="n"/>
      <c r="D1203" s="580" t="n"/>
      <c r="E1203" s="581" t="n"/>
      <c r="F1203" s="577" t="n"/>
      <c r="G1203" s="582" t="n"/>
      <c r="H1203" s="583" t="n"/>
      <c r="I1203" s="510" t="n"/>
    </row>
    <row r="1204" ht="19.95" customFormat="1" customHeight="1" s="511">
      <c r="A1204" s="277" t="n"/>
      <c r="B1204" s="285" t="n"/>
      <c r="C1204" s="579" t="n"/>
      <c r="D1204" s="580" t="n"/>
      <c r="E1204" s="581" t="n"/>
      <c r="F1204" s="577" t="n"/>
      <c r="G1204" s="582" t="n"/>
      <c r="H1204" s="583" t="n"/>
      <c r="I1204" s="510" t="n"/>
    </row>
    <row r="1205" ht="19.95" customFormat="1" customHeight="1" s="511">
      <c r="A1205" s="277" t="n"/>
      <c r="B1205" s="285" t="n"/>
      <c r="C1205" s="579" t="n"/>
      <c r="D1205" s="580" t="n"/>
      <c r="E1205" s="581" t="n"/>
      <c r="F1205" s="577" t="n"/>
      <c r="G1205" s="582" t="n"/>
      <c r="H1205" s="583" t="n"/>
      <c r="I1205" s="510" t="n"/>
    </row>
    <row r="1206" ht="19.95" customFormat="1" customHeight="1" s="511">
      <c r="A1206" s="277" t="n"/>
      <c r="B1206" s="285" t="n"/>
      <c r="C1206" s="579" t="n"/>
      <c r="D1206" s="580" t="n"/>
      <c r="E1206" s="581" t="n"/>
      <c r="F1206" s="577" t="n"/>
      <c r="G1206" s="582" t="n"/>
      <c r="H1206" s="583" t="n"/>
      <c r="I1206" s="510" t="n"/>
    </row>
    <row r="1207" ht="19.95" customFormat="1" customHeight="1" s="511">
      <c r="A1207" s="277" t="n"/>
      <c r="B1207" s="285" t="n"/>
      <c r="C1207" s="579" t="n"/>
      <c r="D1207" s="580" t="n"/>
      <c r="E1207" s="581" t="n"/>
      <c r="F1207" s="577" t="n"/>
      <c r="G1207" s="582" t="n"/>
      <c r="H1207" s="583" t="n"/>
      <c r="I1207" s="510" t="n"/>
    </row>
    <row r="1208" ht="19.95" customFormat="1" customHeight="1" s="511">
      <c r="A1208" s="277" t="n"/>
      <c r="B1208" s="285" t="n"/>
      <c r="C1208" s="579" t="n"/>
      <c r="D1208" s="580" t="n"/>
      <c r="E1208" s="581" t="n"/>
      <c r="F1208" s="577" t="n"/>
      <c r="G1208" s="582" t="n"/>
      <c r="H1208" s="583" t="n"/>
      <c r="I1208" s="510" t="n"/>
    </row>
    <row r="1209" ht="19.95" customFormat="1" customHeight="1" s="511">
      <c r="A1209" s="277" t="n"/>
      <c r="B1209" s="285" t="n"/>
      <c r="C1209" s="579" t="n"/>
      <c r="D1209" s="580" t="n"/>
      <c r="E1209" s="581" t="n"/>
      <c r="F1209" s="577" t="n"/>
      <c r="G1209" s="582" t="n"/>
      <c r="H1209" s="583" t="n"/>
      <c r="I1209" s="510" t="n"/>
    </row>
    <row r="1210" ht="19.95" customFormat="1" customHeight="1" s="511">
      <c r="A1210" s="277" t="n"/>
      <c r="B1210" s="285" t="n"/>
      <c r="C1210" s="579" t="n"/>
      <c r="D1210" s="580" t="n"/>
      <c r="E1210" s="581" t="n"/>
      <c r="F1210" s="577" t="n"/>
      <c r="G1210" s="582" t="n"/>
      <c r="H1210" s="583" t="n"/>
      <c r="I1210" s="510" t="n"/>
    </row>
    <row r="1211" ht="19.95" customFormat="1" customHeight="1" s="511">
      <c r="A1211" s="277" t="n"/>
      <c r="B1211" s="285" t="n"/>
      <c r="C1211" s="579" t="n"/>
      <c r="D1211" s="580" t="n"/>
      <c r="E1211" s="581" t="n"/>
      <c r="F1211" s="577" t="n"/>
      <c r="G1211" s="582" t="n"/>
      <c r="H1211" s="583" t="n"/>
      <c r="I1211" s="510" t="n"/>
    </row>
    <row r="1212" ht="19.95" customFormat="1" customHeight="1" s="511">
      <c r="A1212" s="277" t="n"/>
      <c r="B1212" s="285" t="n"/>
      <c r="C1212" s="579" t="n"/>
      <c r="D1212" s="580" t="n"/>
      <c r="E1212" s="581" t="n"/>
      <c r="F1212" s="577" t="n"/>
      <c r="G1212" s="582" t="n"/>
      <c r="H1212" s="583" t="n"/>
      <c r="I1212" s="510" t="n"/>
    </row>
    <row r="1213" ht="19.95" customFormat="1" customHeight="1" s="511">
      <c r="A1213" s="277" t="n"/>
      <c r="B1213" s="285" t="n"/>
      <c r="C1213" s="579" t="n"/>
      <c r="D1213" s="580" t="n"/>
      <c r="E1213" s="581" t="n"/>
      <c r="F1213" s="577" t="n"/>
      <c r="G1213" s="582" t="n"/>
      <c r="H1213" s="583" t="n"/>
      <c r="I1213" s="510" t="n"/>
    </row>
    <row r="1214" ht="19.95" customFormat="1" customHeight="1" s="511">
      <c r="A1214" s="277" t="n"/>
      <c r="B1214" s="285" t="n"/>
      <c r="C1214" s="579" t="n"/>
      <c r="D1214" s="580" t="n"/>
      <c r="E1214" s="581" t="n"/>
      <c r="F1214" s="577" t="n"/>
      <c r="G1214" s="582" t="n"/>
      <c r="H1214" s="583" t="n"/>
      <c r="I1214" s="510" t="n"/>
    </row>
    <row r="1215" ht="19.95" customFormat="1" customHeight="1" s="511">
      <c r="A1215" s="277" t="n"/>
      <c r="B1215" s="285" t="n"/>
      <c r="C1215" s="579" t="n"/>
      <c r="D1215" s="580" t="n"/>
      <c r="E1215" s="581" t="n"/>
      <c r="F1215" s="577" t="n"/>
      <c r="G1215" s="582" t="n"/>
      <c r="H1215" s="583" t="n"/>
      <c r="I1215" s="510" t="n"/>
    </row>
    <row r="1216" ht="19.95" customFormat="1" customHeight="1" s="511">
      <c r="A1216" s="277" t="n"/>
      <c r="B1216" s="285" t="n"/>
      <c r="C1216" s="579" t="n"/>
      <c r="D1216" s="580" t="n"/>
      <c r="E1216" s="581" t="n"/>
      <c r="F1216" s="577" t="n"/>
      <c r="G1216" s="582" t="n"/>
      <c r="H1216" s="583" t="n"/>
      <c r="I1216" s="510" t="n"/>
    </row>
    <row r="1217" ht="19.95" customFormat="1" customHeight="1" s="511">
      <c r="A1217" s="277" t="n"/>
      <c r="B1217" s="285" t="n"/>
      <c r="C1217" s="579" t="n"/>
      <c r="D1217" s="580" t="n"/>
      <c r="E1217" s="581" t="n"/>
      <c r="F1217" s="577" t="n"/>
      <c r="G1217" s="582" t="n"/>
      <c r="H1217" s="583" t="n"/>
      <c r="I1217" s="510" t="n"/>
    </row>
    <row r="1218" ht="19.95" customFormat="1" customHeight="1" s="511">
      <c r="A1218" s="277" t="n"/>
      <c r="B1218" s="285" t="n"/>
      <c r="C1218" s="579" t="n"/>
      <c r="D1218" s="580" t="n"/>
      <c r="E1218" s="581" t="n"/>
      <c r="F1218" s="577" t="n"/>
      <c r="G1218" s="582" t="n"/>
      <c r="H1218" s="583" t="n"/>
      <c r="I1218" s="510" t="n"/>
    </row>
    <row r="1219" ht="19.95" customFormat="1" customHeight="1" s="511">
      <c r="A1219" s="277" t="n"/>
      <c r="B1219" s="285" t="n"/>
      <c r="C1219" s="579" t="n"/>
      <c r="D1219" s="580" t="n"/>
      <c r="E1219" s="581" t="n"/>
      <c r="F1219" s="577" t="n"/>
      <c r="G1219" s="582" t="n"/>
      <c r="H1219" s="583" t="n"/>
      <c r="I1219" s="510" t="n"/>
    </row>
    <row r="1220" ht="19.95" customFormat="1" customHeight="1" s="511">
      <c r="A1220" s="277" t="n"/>
      <c r="B1220" s="285" t="n"/>
      <c r="C1220" s="579" t="n"/>
      <c r="D1220" s="580" t="n"/>
      <c r="E1220" s="581" t="n"/>
      <c r="F1220" s="577" t="n"/>
      <c r="G1220" s="582" t="n"/>
      <c r="H1220" s="583" t="n"/>
      <c r="I1220" s="510" t="n"/>
    </row>
    <row r="1221" ht="19.95" customFormat="1" customHeight="1" s="511">
      <c r="A1221" s="277" t="n"/>
      <c r="B1221" s="285" t="n"/>
      <c r="C1221" s="579" t="n"/>
      <c r="D1221" s="580" t="n"/>
      <c r="E1221" s="581" t="n"/>
      <c r="F1221" s="577" t="n"/>
      <c r="G1221" s="582" t="n"/>
      <c r="H1221" s="583" t="n"/>
      <c r="I1221" s="510" t="n"/>
    </row>
    <row r="1222" ht="19.95" customFormat="1" customHeight="1" s="511">
      <c r="A1222" s="277" t="n"/>
      <c r="B1222" s="285" t="n"/>
      <c r="C1222" s="579" t="n"/>
      <c r="D1222" s="580" t="n"/>
      <c r="E1222" s="581" t="n"/>
      <c r="F1222" s="577" t="n"/>
      <c r="G1222" s="582" t="n"/>
      <c r="H1222" s="583" t="n"/>
      <c r="I1222" s="510" t="n"/>
    </row>
    <row r="1223" ht="19.95" customFormat="1" customHeight="1" s="511">
      <c r="A1223" s="277" t="n"/>
      <c r="B1223" s="285" t="n"/>
      <c r="C1223" s="579" t="n"/>
      <c r="D1223" s="580" t="n"/>
      <c r="E1223" s="581" t="n"/>
      <c r="F1223" s="577" t="n"/>
      <c r="G1223" s="582" t="n"/>
      <c r="H1223" s="583" t="n"/>
      <c r="I1223" s="510" t="n"/>
    </row>
    <row r="1224" ht="19.95" customFormat="1" customHeight="1" s="511">
      <c r="A1224" s="277" t="n"/>
      <c r="B1224" s="285" t="n"/>
      <c r="C1224" s="579" t="n"/>
      <c r="D1224" s="580" t="n"/>
      <c r="E1224" s="581" t="n"/>
      <c r="F1224" s="577" t="n"/>
      <c r="G1224" s="582" t="n"/>
      <c r="H1224" s="583" t="n"/>
      <c r="I1224" s="510" t="n"/>
    </row>
    <row r="1225" ht="19.95" customFormat="1" customHeight="1" s="511">
      <c r="A1225" s="277" t="n"/>
      <c r="B1225" s="285" t="n"/>
      <c r="C1225" s="579" t="n"/>
      <c r="D1225" s="580" t="n"/>
      <c r="E1225" s="581" t="n"/>
      <c r="F1225" s="577" t="n"/>
      <c r="G1225" s="582" t="n"/>
      <c r="H1225" s="583" t="n"/>
      <c r="I1225" s="510" t="n"/>
    </row>
    <row r="1226" ht="19.95" customFormat="1" customHeight="1" s="511">
      <c r="A1226" s="277" t="n"/>
      <c r="B1226" s="285" t="n"/>
      <c r="C1226" s="579" t="n"/>
      <c r="D1226" s="580" t="n"/>
      <c r="E1226" s="581" t="n"/>
      <c r="F1226" s="577" t="n"/>
      <c r="G1226" s="582" t="n"/>
      <c r="H1226" s="583" t="n"/>
      <c r="I1226" s="510" t="n"/>
    </row>
    <row r="1227" ht="19.95" customFormat="1" customHeight="1" s="511">
      <c r="A1227" s="277" t="n"/>
      <c r="B1227" s="285" t="n"/>
      <c r="C1227" s="579" t="n"/>
      <c r="D1227" s="580" t="n"/>
      <c r="E1227" s="581" t="n"/>
      <c r="F1227" s="577" t="n"/>
      <c r="G1227" s="582" t="n"/>
      <c r="H1227" s="583" t="n"/>
      <c r="I1227" s="510" t="n"/>
    </row>
    <row r="1228" ht="19.95" customFormat="1" customHeight="1" s="511">
      <c r="A1228" s="277" t="n"/>
      <c r="B1228" s="285" t="n"/>
      <c r="C1228" s="579" t="n"/>
      <c r="D1228" s="580" t="n"/>
      <c r="E1228" s="581" t="n"/>
      <c r="F1228" s="577" t="n"/>
      <c r="G1228" s="582" t="n"/>
      <c r="H1228" s="583" t="n"/>
      <c r="I1228" s="510" t="n"/>
    </row>
    <row r="1229" ht="19.95" customFormat="1" customHeight="1" s="511">
      <c r="A1229" s="277" t="n"/>
      <c r="B1229" s="285" t="n"/>
      <c r="C1229" s="579" t="n"/>
      <c r="D1229" s="580" t="n"/>
      <c r="E1229" s="581" t="n"/>
      <c r="F1229" s="577" t="n"/>
      <c r="G1229" s="582" t="n"/>
      <c r="H1229" s="583" t="n"/>
      <c r="I1229" s="510" t="n"/>
    </row>
    <row r="1230" ht="19.95" customFormat="1" customHeight="1" s="511">
      <c r="A1230" s="277" t="n"/>
      <c r="B1230" s="285" t="n"/>
      <c r="C1230" s="579" t="n"/>
      <c r="D1230" s="580" t="n"/>
      <c r="E1230" s="581" t="n"/>
      <c r="F1230" s="577" t="n"/>
      <c r="G1230" s="582" t="n"/>
      <c r="H1230" s="583" t="n"/>
      <c r="I1230" s="510" t="n"/>
    </row>
    <row r="1231" ht="19.95" customFormat="1" customHeight="1" s="511">
      <c r="A1231" s="277" t="n"/>
      <c r="B1231" s="285" t="n"/>
      <c r="C1231" s="579" t="n"/>
      <c r="D1231" s="580" t="n"/>
      <c r="E1231" s="581" t="n"/>
      <c r="F1231" s="577" t="n"/>
      <c r="G1231" s="582" t="n"/>
      <c r="H1231" s="583" t="n"/>
      <c r="I1231" s="510" t="n"/>
    </row>
    <row r="1232" ht="19.95" customFormat="1" customHeight="1" s="511">
      <c r="A1232" s="277" t="n"/>
      <c r="B1232" s="285" t="n"/>
      <c r="C1232" s="579" t="n"/>
      <c r="D1232" s="580" t="n"/>
      <c r="E1232" s="581" t="n"/>
      <c r="F1232" s="577" t="n"/>
      <c r="G1232" s="582" t="n"/>
      <c r="H1232" s="583" t="n"/>
      <c r="I1232" s="510" t="n"/>
    </row>
    <row r="1233" ht="19.95" customFormat="1" customHeight="1" s="511">
      <c r="A1233" s="277" t="n"/>
      <c r="B1233" s="285" t="n"/>
      <c r="C1233" s="579" t="n"/>
      <c r="D1233" s="580" t="n"/>
      <c r="E1233" s="581" t="n"/>
      <c r="F1233" s="577" t="n"/>
      <c r="G1233" s="582" t="n"/>
      <c r="H1233" s="583" t="n"/>
      <c r="I1233" s="510" t="n"/>
    </row>
    <row r="1234" ht="19.95" customFormat="1" customHeight="1" s="511">
      <c r="A1234" s="277" t="n"/>
      <c r="B1234" s="285" t="n"/>
      <c r="C1234" s="579" t="n"/>
      <c r="D1234" s="580" t="n"/>
      <c r="E1234" s="581" t="n"/>
      <c r="F1234" s="577" t="n"/>
      <c r="G1234" s="582" t="n"/>
      <c r="H1234" s="583" t="n"/>
      <c r="I1234" s="510" t="n"/>
    </row>
    <row r="1235" ht="19.95" customFormat="1" customHeight="1" s="511">
      <c r="A1235" s="277" t="n"/>
      <c r="B1235" s="285" t="n"/>
      <c r="C1235" s="579" t="n"/>
      <c r="D1235" s="580" t="n"/>
      <c r="E1235" s="581" t="n"/>
      <c r="F1235" s="577" t="n"/>
      <c r="G1235" s="582" t="n"/>
      <c r="H1235" s="583" t="n"/>
      <c r="I1235" s="510" t="n"/>
    </row>
    <row r="1236" ht="19.95" customFormat="1" customHeight="1" s="511">
      <c r="A1236" s="277" t="n"/>
      <c r="B1236" s="285" t="n"/>
      <c r="C1236" s="579" t="n"/>
      <c r="D1236" s="580" t="n"/>
      <c r="E1236" s="581" t="n"/>
      <c r="F1236" s="577" t="n"/>
      <c r="G1236" s="582" t="n"/>
      <c r="H1236" s="583" t="n"/>
      <c r="I1236" s="510" t="n"/>
    </row>
    <row r="1237" ht="19.95" customFormat="1" customHeight="1" s="511">
      <c r="A1237" s="277" t="n"/>
      <c r="B1237" s="285" t="n"/>
      <c r="C1237" s="579" t="n"/>
      <c r="D1237" s="580" t="n"/>
      <c r="E1237" s="581" t="n"/>
      <c r="F1237" s="577" t="n"/>
      <c r="G1237" s="582" t="n"/>
      <c r="H1237" s="583" t="n"/>
      <c r="I1237" s="510" t="n"/>
    </row>
    <row r="1238" ht="19.95" customFormat="1" customHeight="1" s="511">
      <c r="A1238" s="277" t="n"/>
      <c r="B1238" s="285" t="n"/>
      <c r="C1238" s="579" t="n"/>
      <c r="D1238" s="580" t="n"/>
      <c r="E1238" s="581" t="n"/>
      <c r="F1238" s="577" t="n"/>
      <c r="G1238" s="582" t="n"/>
      <c r="H1238" s="583" t="n"/>
      <c r="I1238" s="510" t="n"/>
    </row>
    <row r="1239" ht="19.95" customFormat="1" customHeight="1" s="511">
      <c r="A1239" s="277" t="n"/>
      <c r="B1239" s="285" t="n"/>
      <c r="C1239" s="579" t="n"/>
      <c r="D1239" s="580" t="n"/>
      <c r="E1239" s="581" t="n"/>
      <c r="F1239" s="577" t="n"/>
      <c r="G1239" s="582" t="n"/>
      <c r="H1239" s="583" t="n"/>
      <c r="I1239" s="510" t="n"/>
    </row>
    <row r="1240" ht="19.95" customFormat="1" customHeight="1" s="511">
      <c r="A1240" s="277" t="n"/>
      <c r="B1240" s="285" t="n"/>
      <c r="C1240" s="579" t="n"/>
      <c r="D1240" s="580" t="n"/>
      <c r="E1240" s="581" t="n"/>
      <c r="F1240" s="577" t="n"/>
      <c r="G1240" s="582" t="n"/>
      <c r="H1240" s="583" t="n"/>
      <c r="I1240" s="510" t="n"/>
    </row>
    <row r="1241" ht="19.95" customFormat="1" customHeight="1" s="511">
      <c r="A1241" s="277" t="n"/>
      <c r="B1241" s="285" t="n"/>
      <c r="C1241" s="579" t="n"/>
      <c r="D1241" s="580" t="n"/>
      <c r="E1241" s="581" t="n"/>
      <c r="F1241" s="577" t="n"/>
      <c r="G1241" s="582" t="n"/>
      <c r="H1241" s="583" t="n"/>
      <c r="I1241" s="510" t="n"/>
    </row>
    <row r="1242" ht="19.95" customFormat="1" customHeight="1" s="511">
      <c r="A1242" s="277" t="n"/>
      <c r="B1242" s="285" t="n"/>
      <c r="C1242" s="579" t="n"/>
      <c r="D1242" s="580" t="n"/>
      <c r="E1242" s="581" t="n"/>
      <c r="F1242" s="577" t="n"/>
      <c r="G1242" s="582" t="n"/>
      <c r="H1242" s="583" t="n"/>
      <c r="I1242" s="510" t="n"/>
    </row>
    <row r="1243" ht="19.95" customFormat="1" customHeight="1" s="511">
      <c r="A1243" s="277" t="n"/>
      <c r="B1243" s="285" t="n"/>
      <c r="C1243" s="579" t="n"/>
      <c r="D1243" s="580" t="n"/>
      <c r="E1243" s="581" t="n"/>
      <c r="F1243" s="577" t="n"/>
      <c r="G1243" s="582" t="n"/>
      <c r="H1243" s="583" t="n"/>
      <c r="I1243" s="510" t="n"/>
    </row>
    <row r="1244" ht="19.95" customFormat="1" customHeight="1" s="511">
      <c r="A1244" s="277" t="n"/>
      <c r="B1244" s="285" t="n"/>
      <c r="C1244" s="579" t="n"/>
      <c r="D1244" s="580" t="n"/>
      <c r="E1244" s="581" t="n"/>
      <c r="F1244" s="577" t="n"/>
      <c r="G1244" s="582" t="n"/>
      <c r="H1244" s="583" t="n"/>
      <c r="I1244" s="510" t="n"/>
    </row>
    <row r="1245" ht="19.95" customFormat="1" customHeight="1" s="511">
      <c r="A1245" s="277" t="n"/>
      <c r="B1245" s="285" t="n"/>
      <c r="C1245" s="579" t="n"/>
      <c r="D1245" s="580" t="n"/>
      <c r="E1245" s="581" t="n"/>
      <c r="F1245" s="577" t="n"/>
      <c r="G1245" s="582" t="n"/>
      <c r="H1245" s="583" t="n"/>
      <c r="I1245" s="510" t="n"/>
    </row>
    <row r="1246" ht="19.95" customFormat="1" customHeight="1" s="511">
      <c r="A1246" s="277" t="n"/>
      <c r="B1246" s="285" t="n"/>
      <c r="C1246" s="579" t="n"/>
      <c r="D1246" s="580" t="n"/>
      <c r="E1246" s="581" t="n"/>
      <c r="F1246" s="577" t="n"/>
      <c r="G1246" s="582" t="n"/>
      <c r="H1246" s="583" t="n"/>
      <c r="I1246" s="510" t="n"/>
    </row>
    <row r="1247" ht="19.95" customFormat="1" customHeight="1" s="511">
      <c r="A1247" s="277" t="n"/>
      <c r="B1247" s="285" t="n"/>
      <c r="C1247" s="579" t="n"/>
      <c r="D1247" s="580" t="n"/>
      <c r="E1247" s="581" t="n"/>
      <c r="F1247" s="577" t="n"/>
      <c r="G1247" s="582" t="n"/>
      <c r="H1247" s="583" t="n"/>
      <c r="I1247" s="510" t="n"/>
    </row>
    <row r="1248" ht="19.95" customFormat="1" customHeight="1" s="511">
      <c r="A1248" s="277" t="n"/>
      <c r="B1248" s="285" t="n"/>
      <c r="C1248" s="579" t="n"/>
      <c r="D1248" s="580" t="n"/>
      <c r="E1248" s="581" t="n"/>
      <c r="F1248" s="577" t="n"/>
      <c r="G1248" s="582" t="n"/>
      <c r="H1248" s="583" t="n"/>
      <c r="I1248" s="510" t="n"/>
    </row>
    <row r="1249" ht="19.95" customFormat="1" customHeight="1" s="511">
      <c r="A1249" s="277" t="n"/>
      <c r="B1249" s="285" t="n"/>
      <c r="C1249" s="579" t="n"/>
      <c r="D1249" s="580" t="n"/>
      <c r="E1249" s="581" t="n"/>
      <c r="F1249" s="577" t="n"/>
      <c r="G1249" s="582" t="n"/>
      <c r="H1249" s="583" t="n"/>
      <c r="I1249" s="510" t="n"/>
    </row>
    <row r="1250" ht="19.95" customFormat="1" customHeight="1" s="511">
      <c r="A1250" s="277" t="n"/>
      <c r="B1250" s="285" t="n"/>
      <c r="C1250" s="579" t="n"/>
      <c r="D1250" s="580" t="n"/>
      <c r="E1250" s="581" t="n"/>
      <c r="F1250" s="577" t="n"/>
      <c r="G1250" s="582" t="n"/>
      <c r="H1250" s="583" t="n"/>
      <c r="I1250" s="510" t="n"/>
    </row>
    <row r="1251" ht="19.95" customFormat="1" customHeight="1" s="511">
      <c r="A1251" s="277" t="n"/>
      <c r="B1251" s="285" t="n"/>
      <c r="C1251" s="579" t="n"/>
      <c r="D1251" s="580" t="n"/>
      <c r="E1251" s="581" t="n"/>
      <c r="F1251" s="577" t="n"/>
      <c r="G1251" s="582" t="n"/>
      <c r="H1251" s="583" t="n"/>
      <c r="I1251" s="510" t="n"/>
    </row>
    <row r="1252" ht="19.95" customFormat="1" customHeight="1" s="511">
      <c r="A1252" s="277" t="n"/>
      <c r="B1252" s="285" t="n"/>
      <c r="C1252" s="579" t="n"/>
      <c r="D1252" s="580" t="n"/>
      <c r="E1252" s="581" t="n"/>
      <c r="F1252" s="577" t="n"/>
      <c r="G1252" s="582" t="n"/>
      <c r="H1252" s="583" t="n"/>
      <c r="I1252" s="510" t="n"/>
    </row>
    <row r="1253" ht="19.95" customFormat="1" customHeight="1" s="511">
      <c r="A1253" s="277" t="n"/>
      <c r="B1253" s="285" t="n"/>
      <c r="C1253" s="579" t="n"/>
      <c r="D1253" s="580" t="n"/>
      <c r="E1253" s="581" t="n"/>
      <c r="F1253" s="577" t="n"/>
      <c r="G1253" s="582" t="n"/>
      <c r="H1253" s="583" t="n"/>
      <c r="I1253" s="510" t="n"/>
    </row>
    <row r="1254" ht="19.95" customFormat="1" customHeight="1" s="511">
      <c r="A1254" s="277" t="n"/>
      <c r="B1254" s="285" t="n"/>
      <c r="C1254" s="579" t="n"/>
      <c r="D1254" s="580" t="n"/>
      <c r="E1254" s="581" t="n"/>
      <c r="F1254" s="577" t="n"/>
      <c r="G1254" s="582" t="n"/>
      <c r="H1254" s="583" t="n"/>
      <c r="I1254" s="510" t="n"/>
    </row>
    <row r="1255" ht="19.95" customFormat="1" customHeight="1" s="511">
      <c r="A1255" s="277" t="n"/>
      <c r="B1255" s="285" t="n"/>
      <c r="C1255" s="579" t="n"/>
      <c r="D1255" s="580" t="n"/>
      <c r="E1255" s="581" t="n"/>
      <c r="F1255" s="577" t="n"/>
      <c r="G1255" s="582" t="n"/>
      <c r="H1255" s="583" t="n"/>
      <c r="I1255" s="510" t="n"/>
    </row>
    <row r="1256" ht="19.95" customFormat="1" customHeight="1" s="511">
      <c r="A1256" s="277" t="n"/>
      <c r="B1256" s="285" t="n"/>
      <c r="C1256" s="579" t="n"/>
      <c r="D1256" s="580" t="n"/>
      <c r="E1256" s="581" t="n"/>
      <c r="F1256" s="577" t="n"/>
      <c r="G1256" s="582" t="n"/>
      <c r="H1256" s="583" t="n"/>
      <c r="I1256" s="510" t="n"/>
    </row>
    <row r="1257" ht="19.95" customFormat="1" customHeight="1" s="511">
      <c r="A1257" s="277" t="n"/>
      <c r="B1257" s="285" t="n"/>
      <c r="C1257" s="579" t="n"/>
      <c r="D1257" s="580" t="n"/>
      <c r="E1257" s="581" t="n"/>
      <c r="F1257" s="577" t="n"/>
      <c r="G1257" s="582" t="n"/>
      <c r="H1257" s="583" t="n"/>
      <c r="I1257" s="510" t="n"/>
    </row>
    <row r="1258" ht="19.95" customFormat="1" customHeight="1" s="511">
      <c r="A1258" s="277" t="n"/>
      <c r="B1258" s="285" t="n"/>
      <c r="C1258" s="579" t="n"/>
      <c r="D1258" s="580" t="n"/>
      <c r="E1258" s="581" t="n"/>
      <c r="F1258" s="577" t="n"/>
      <c r="G1258" s="582" t="n"/>
      <c r="H1258" s="583" t="n"/>
      <c r="I1258" s="510" t="n"/>
    </row>
    <row r="1259" ht="19.95" customFormat="1" customHeight="1" s="511">
      <c r="A1259" s="277" t="n"/>
      <c r="B1259" s="285" t="n"/>
      <c r="C1259" s="579" t="n"/>
      <c r="D1259" s="580" t="n"/>
      <c r="E1259" s="581" t="n"/>
      <c r="F1259" s="577" t="n"/>
      <c r="G1259" s="582" t="n"/>
      <c r="H1259" s="583" t="n"/>
      <c r="I1259" s="510" t="n"/>
    </row>
    <row r="1260" ht="19.95" customFormat="1" customHeight="1" s="511">
      <c r="A1260" s="277" t="n"/>
      <c r="B1260" s="285" t="n"/>
      <c r="C1260" s="579" t="n"/>
      <c r="D1260" s="580" t="n"/>
      <c r="E1260" s="581" t="n"/>
      <c r="F1260" s="577" t="n"/>
      <c r="G1260" s="582" t="n"/>
      <c r="H1260" s="583" t="n"/>
      <c r="I1260" s="510" t="n"/>
    </row>
    <row r="1261" ht="19.95" customFormat="1" customHeight="1" s="511">
      <c r="A1261" s="277" t="n"/>
      <c r="B1261" s="285" t="n"/>
      <c r="C1261" s="579" t="n"/>
      <c r="D1261" s="580" t="n"/>
      <c r="E1261" s="581" t="n"/>
      <c r="F1261" s="577" t="n"/>
      <c r="G1261" s="582" t="n"/>
      <c r="H1261" s="583" t="n"/>
      <c r="I1261" s="510" t="n"/>
    </row>
    <row r="1262" ht="19.95" customFormat="1" customHeight="1" s="511">
      <c r="A1262" s="277" t="n"/>
      <c r="B1262" s="285" t="n"/>
      <c r="C1262" s="579" t="n"/>
      <c r="D1262" s="580" t="n"/>
      <c r="E1262" s="581" t="n"/>
      <c r="F1262" s="577" t="n"/>
      <c r="G1262" s="582" t="n"/>
      <c r="H1262" s="583" t="n"/>
      <c r="I1262" s="510" t="n"/>
    </row>
    <row r="1263" ht="19.95" customFormat="1" customHeight="1" s="511">
      <c r="A1263" s="277" t="n"/>
      <c r="B1263" s="285" t="n"/>
      <c r="C1263" s="579" t="n"/>
      <c r="D1263" s="580" t="n"/>
      <c r="E1263" s="581" t="n"/>
      <c r="F1263" s="577" t="n"/>
      <c r="G1263" s="582" t="n"/>
      <c r="H1263" s="583" t="n"/>
      <c r="I1263" s="510" t="n"/>
    </row>
    <row r="1264" ht="19.95" customFormat="1" customHeight="1" s="511">
      <c r="A1264" s="277" t="n"/>
      <c r="B1264" s="285" t="n"/>
      <c r="C1264" s="579" t="n"/>
      <c r="D1264" s="580" t="n"/>
      <c r="E1264" s="581" t="n"/>
      <c r="F1264" s="577" t="n"/>
      <c r="G1264" s="582" t="n"/>
      <c r="H1264" s="583" t="n"/>
      <c r="I1264" s="510" t="n"/>
    </row>
    <row r="1265" ht="19.95" customFormat="1" customHeight="1" s="511">
      <c r="A1265" s="277" t="n"/>
      <c r="B1265" s="285" t="n"/>
      <c r="C1265" s="579" t="n"/>
      <c r="D1265" s="580" t="n"/>
      <c r="E1265" s="581" t="n"/>
      <c r="F1265" s="577" t="n"/>
      <c r="G1265" s="582" t="n"/>
      <c r="H1265" s="583" t="n"/>
      <c r="I1265" s="510" t="n"/>
    </row>
    <row r="1266" ht="19.95" customFormat="1" customHeight="1" s="511">
      <c r="A1266" s="277" t="n"/>
      <c r="B1266" s="285" t="n"/>
      <c r="C1266" s="579" t="n"/>
      <c r="D1266" s="580" t="n"/>
      <c r="E1266" s="581" t="n"/>
      <c r="F1266" s="577" t="n"/>
      <c r="G1266" s="582" t="n"/>
      <c r="H1266" s="583" t="n"/>
      <c r="I1266" s="510" t="n"/>
    </row>
    <row r="1267" ht="19.95" customFormat="1" customHeight="1" s="511">
      <c r="A1267" s="277" t="n"/>
      <c r="B1267" s="285" t="n"/>
      <c r="C1267" s="579" t="n"/>
      <c r="D1267" s="580" t="n"/>
      <c r="E1267" s="581" t="n"/>
      <c r="F1267" s="577" t="n"/>
      <c r="G1267" s="582" t="n"/>
      <c r="H1267" s="583" t="n"/>
      <c r="I1267" s="510" t="n"/>
    </row>
    <row r="1268" ht="19.95" customFormat="1" customHeight="1" s="511">
      <c r="A1268" s="277" t="n"/>
      <c r="B1268" s="285" t="n"/>
      <c r="C1268" s="579" t="n"/>
      <c r="D1268" s="580" t="n"/>
      <c r="E1268" s="581" t="n"/>
      <c r="F1268" s="577" t="n"/>
      <c r="G1268" s="582" t="n"/>
      <c r="H1268" s="583" t="n"/>
      <c r="I1268" s="510" t="n"/>
    </row>
    <row r="1269" ht="19.95" customFormat="1" customHeight="1" s="511">
      <c r="A1269" s="277" t="n"/>
      <c r="B1269" s="285" t="n"/>
      <c r="C1269" s="579" t="n"/>
      <c r="D1269" s="580" t="n"/>
      <c r="E1269" s="581" t="n"/>
      <c r="F1269" s="577" t="n"/>
      <c r="G1269" s="582" t="n"/>
      <c r="H1269" s="583" t="n"/>
      <c r="I1269" s="510" t="n"/>
    </row>
    <row r="1270" ht="19.95" customFormat="1" customHeight="1" s="511">
      <c r="A1270" s="277" t="n"/>
      <c r="B1270" s="285" t="n"/>
      <c r="C1270" s="579" t="n"/>
      <c r="D1270" s="580" t="n"/>
      <c r="E1270" s="581" t="n"/>
      <c r="F1270" s="577" t="n"/>
      <c r="G1270" s="582" t="n"/>
      <c r="H1270" s="583" t="n"/>
      <c r="I1270" s="510" t="n"/>
    </row>
    <row r="1271" ht="19.95" customFormat="1" customHeight="1" s="511">
      <c r="A1271" s="277" t="n"/>
      <c r="B1271" s="285" t="n"/>
      <c r="C1271" s="579" t="n"/>
      <c r="D1271" s="580" t="n"/>
      <c r="E1271" s="581" t="n"/>
      <c r="F1271" s="577" t="n"/>
      <c r="G1271" s="582" t="n"/>
      <c r="H1271" s="583" t="n"/>
      <c r="I1271" s="510" t="n"/>
    </row>
    <row r="1272" ht="19.95" customFormat="1" customHeight="1" s="511">
      <c r="A1272" s="277" t="n"/>
      <c r="B1272" s="285" t="n"/>
      <c r="C1272" s="579" t="n"/>
      <c r="D1272" s="580" t="n"/>
      <c r="E1272" s="581" t="n"/>
      <c r="F1272" s="577" t="n"/>
      <c r="G1272" s="582" t="n"/>
      <c r="H1272" s="583" t="n"/>
      <c r="I1272" s="510" t="n"/>
    </row>
    <row r="1273" ht="19.95" customFormat="1" customHeight="1" s="511">
      <c r="A1273" s="277" t="n"/>
      <c r="B1273" s="285" t="n"/>
      <c r="C1273" s="579" t="n"/>
      <c r="D1273" s="580" t="n"/>
      <c r="E1273" s="581" t="n"/>
      <c r="F1273" s="577" t="n"/>
      <c r="G1273" s="582" t="n"/>
      <c r="H1273" s="583" t="n"/>
      <c r="I1273" s="510" t="n"/>
    </row>
    <row r="1274" ht="19.95" customFormat="1" customHeight="1" s="511">
      <c r="A1274" s="277" t="n"/>
      <c r="B1274" s="285" t="n"/>
      <c r="C1274" s="579" t="n"/>
      <c r="D1274" s="580" t="n"/>
      <c r="E1274" s="581" t="n"/>
      <c r="F1274" s="577" t="n"/>
      <c r="G1274" s="582" t="n"/>
      <c r="H1274" s="583" t="n"/>
      <c r="I1274" s="510" t="n"/>
    </row>
    <row r="1275" ht="19.95" customFormat="1" customHeight="1" s="511">
      <c r="A1275" s="277" t="n"/>
      <c r="B1275" s="285" t="n"/>
      <c r="C1275" s="579" t="n"/>
      <c r="D1275" s="580" t="n"/>
      <c r="E1275" s="581" t="n"/>
      <c r="F1275" s="577" t="n"/>
      <c r="G1275" s="582" t="n"/>
      <c r="H1275" s="583" t="n"/>
      <c r="I1275" s="510" t="n"/>
    </row>
    <row r="1276" ht="19.95" customFormat="1" customHeight="1" s="511">
      <c r="A1276" s="277" t="n"/>
      <c r="B1276" s="285" t="n"/>
      <c r="C1276" s="579" t="n"/>
      <c r="D1276" s="580" t="n"/>
      <c r="E1276" s="581" t="n"/>
      <c r="F1276" s="577" t="n"/>
      <c r="G1276" s="582" t="n"/>
      <c r="H1276" s="583" t="n"/>
      <c r="I1276" s="510" t="n"/>
    </row>
    <row r="1277" ht="19.95" customFormat="1" customHeight="1" s="511">
      <c r="A1277" s="277" t="n"/>
      <c r="B1277" s="285" t="n"/>
      <c r="C1277" s="579" t="n"/>
      <c r="D1277" s="580" t="n"/>
      <c r="E1277" s="581" t="n"/>
      <c r="F1277" s="577" t="n"/>
      <c r="G1277" s="582" t="n"/>
      <c r="H1277" s="583" t="n"/>
      <c r="I1277" s="510" t="n"/>
    </row>
    <row r="1278" ht="19.95" customFormat="1" customHeight="1" s="511">
      <c r="A1278" s="277" t="n"/>
      <c r="B1278" s="285" t="n"/>
      <c r="C1278" s="579" t="n"/>
      <c r="D1278" s="580" t="n"/>
      <c r="E1278" s="581" t="n"/>
      <c r="F1278" s="577" t="n"/>
      <c r="G1278" s="582" t="n"/>
      <c r="H1278" s="583" t="n"/>
      <c r="I1278" s="510" t="n"/>
    </row>
    <row r="1279" ht="19.95" customFormat="1" customHeight="1" s="511">
      <c r="A1279" s="277" t="n"/>
      <c r="B1279" s="285" t="n"/>
      <c r="C1279" s="579" t="n"/>
      <c r="D1279" s="580" t="n"/>
      <c r="E1279" s="581" t="n"/>
      <c r="F1279" s="577" t="n"/>
      <c r="G1279" s="582" t="n"/>
      <c r="H1279" s="583" t="n"/>
      <c r="I1279" s="510" t="n"/>
    </row>
    <row r="1280" ht="19.95" customFormat="1" customHeight="1" s="511">
      <c r="A1280" s="277" t="n"/>
      <c r="B1280" s="285" t="n"/>
      <c r="C1280" s="579" t="n"/>
      <c r="D1280" s="580" t="n"/>
      <c r="E1280" s="581" t="n"/>
      <c r="F1280" s="577" t="n"/>
      <c r="G1280" s="582" t="n"/>
      <c r="H1280" s="583" t="n"/>
      <c r="I1280" s="510" t="n"/>
    </row>
    <row r="1281" ht="19.95" customFormat="1" customHeight="1" s="511">
      <c r="A1281" s="277" t="n"/>
      <c r="B1281" s="285" t="n"/>
      <c r="C1281" s="579" t="n"/>
      <c r="D1281" s="580" t="n"/>
      <c r="E1281" s="581" t="n"/>
      <c r="F1281" s="577" t="n"/>
      <c r="G1281" s="582" t="n"/>
      <c r="H1281" s="583" t="n"/>
      <c r="I1281" s="510" t="n"/>
    </row>
    <row r="1282" ht="19.95" customFormat="1" customHeight="1" s="511">
      <c r="A1282" s="277" t="n"/>
      <c r="B1282" s="285" t="n"/>
      <c r="C1282" s="579" t="n"/>
      <c r="D1282" s="580" t="n"/>
      <c r="E1282" s="581" t="n"/>
      <c r="F1282" s="577" t="n"/>
      <c r="G1282" s="582" t="n"/>
      <c r="H1282" s="583" t="n"/>
      <c r="I1282" s="510" t="n"/>
    </row>
    <row r="1283" ht="19.95" customFormat="1" customHeight="1" s="511">
      <c r="A1283" s="277" t="n"/>
      <c r="B1283" s="285" t="n"/>
      <c r="C1283" s="579" t="n"/>
      <c r="D1283" s="580" t="n"/>
      <c r="E1283" s="581" t="n"/>
      <c r="F1283" s="577" t="n"/>
      <c r="G1283" s="582" t="n"/>
      <c r="H1283" s="583" t="n"/>
      <c r="I1283" s="510" t="n"/>
    </row>
    <row r="1284" ht="19.95" customFormat="1" customHeight="1" s="511">
      <c r="A1284" s="277" t="n"/>
      <c r="B1284" s="285" t="n"/>
      <c r="C1284" s="579" t="n"/>
      <c r="D1284" s="580" t="n"/>
      <c r="E1284" s="581" t="n"/>
      <c r="F1284" s="577" t="n"/>
      <c r="G1284" s="582" t="n"/>
      <c r="H1284" s="583" t="n"/>
      <c r="I1284" s="510" t="n"/>
    </row>
    <row r="1285" ht="19.95" customFormat="1" customHeight="1" s="511">
      <c r="A1285" s="277" t="n"/>
      <c r="B1285" s="285" t="n"/>
      <c r="C1285" s="579" t="n"/>
      <c r="D1285" s="580" t="n"/>
      <c r="E1285" s="581" t="n"/>
      <c r="F1285" s="577" t="n"/>
      <c r="G1285" s="582" t="n"/>
      <c r="H1285" s="583" t="n"/>
      <c r="I1285" s="510" t="n"/>
    </row>
    <row r="1286" ht="19.95" customFormat="1" customHeight="1" s="511">
      <c r="A1286" s="277" t="n"/>
      <c r="B1286" s="285" t="n"/>
      <c r="C1286" s="579" t="n"/>
      <c r="D1286" s="580" t="n"/>
      <c r="E1286" s="581" t="n"/>
      <c r="F1286" s="577" t="n"/>
      <c r="G1286" s="582" t="n"/>
      <c r="H1286" s="583" t="n"/>
      <c r="I1286" s="510" t="n"/>
    </row>
    <row r="1287" ht="19.95" customFormat="1" customHeight="1" s="511">
      <c r="A1287" s="277" t="n"/>
      <c r="B1287" s="285" t="n"/>
      <c r="C1287" s="579" t="n"/>
      <c r="D1287" s="580" t="n"/>
      <c r="E1287" s="581" t="n"/>
      <c r="F1287" s="577" t="n"/>
      <c r="G1287" s="582" t="n"/>
      <c r="H1287" s="583" t="n"/>
      <c r="I1287" s="510" t="n"/>
    </row>
    <row r="1288" ht="19.95" customFormat="1" customHeight="1" s="511">
      <c r="A1288" s="277" t="n"/>
      <c r="B1288" s="285" t="n"/>
      <c r="C1288" s="579" t="n"/>
      <c r="D1288" s="580" t="n"/>
      <c r="E1288" s="581" t="n"/>
      <c r="F1288" s="577" t="n"/>
      <c r="G1288" s="582" t="n"/>
      <c r="H1288" s="583" t="n"/>
      <c r="I1288" s="510" t="n"/>
    </row>
    <row r="1289" ht="19.95" customFormat="1" customHeight="1" s="511">
      <c r="A1289" s="277" t="n"/>
      <c r="B1289" s="285" t="n"/>
      <c r="C1289" s="579" t="n"/>
      <c r="D1289" s="580" t="n"/>
      <c r="E1289" s="581" t="n"/>
      <c r="F1289" s="577" t="n"/>
      <c r="G1289" s="582" t="n"/>
      <c r="H1289" s="583" t="n"/>
      <c r="I1289" s="510" t="n"/>
    </row>
    <row r="1290" ht="19.95" customFormat="1" customHeight="1" s="511">
      <c r="A1290" s="277" t="n"/>
      <c r="B1290" s="285" t="n"/>
      <c r="C1290" s="579" t="n"/>
      <c r="D1290" s="580" t="n"/>
      <c r="E1290" s="581" t="n"/>
      <c r="F1290" s="577" t="n"/>
      <c r="G1290" s="582" t="n"/>
      <c r="H1290" s="583" t="n"/>
      <c r="I1290" s="510" t="n"/>
    </row>
    <row r="1291" ht="19.95" customFormat="1" customHeight="1" s="511">
      <c r="A1291" s="277" t="n"/>
      <c r="B1291" s="285" t="n"/>
      <c r="C1291" s="579" t="n"/>
      <c r="D1291" s="580" t="n"/>
      <c r="E1291" s="581" t="n"/>
      <c r="F1291" s="577" t="n"/>
      <c r="G1291" s="582" t="n"/>
      <c r="H1291" s="583" t="n"/>
      <c r="I1291" s="510" t="n"/>
    </row>
    <row r="1292" ht="19.95" customFormat="1" customHeight="1" s="511">
      <c r="A1292" s="277" t="n"/>
      <c r="B1292" s="285" t="n"/>
      <c r="C1292" s="579" t="n"/>
      <c r="D1292" s="580" t="n"/>
      <c r="E1292" s="581" t="n"/>
      <c r="F1292" s="577" t="n"/>
      <c r="G1292" s="582" t="n"/>
      <c r="H1292" s="583" t="n"/>
      <c r="I1292" s="510" t="n"/>
    </row>
    <row r="1293" ht="19.95" customFormat="1" customHeight="1" s="511">
      <c r="A1293" s="277" t="n"/>
      <c r="B1293" s="285" t="n"/>
      <c r="C1293" s="579" t="n"/>
      <c r="D1293" s="580" t="n"/>
      <c r="E1293" s="581" t="n"/>
      <c r="F1293" s="577" t="n"/>
      <c r="G1293" s="582" t="n"/>
      <c r="H1293" s="583" t="n"/>
      <c r="I1293" s="510" t="n"/>
    </row>
    <row r="1294" ht="19.95" customFormat="1" customHeight="1" s="511">
      <c r="A1294" s="277" t="n"/>
      <c r="B1294" s="285" t="n"/>
      <c r="C1294" s="579" t="n"/>
      <c r="D1294" s="580" t="n"/>
      <c r="E1294" s="581" t="n"/>
      <c r="F1294" s="577" t="n"/>
      <c r="G1294" s="582" t="n"/>
      <c r="H1294" s="583" t="n"/>
      <c r="I1294" s="510" t="n"/>
    </row>
    <row r="1295" ht="19.95" customFormat="1" customHeight="1" s="511">
      <c r="A1295" s="277" t="n"/>
      <c r="B1295" s="285" t="n"/>
      <c r="C1295" s="579" t="n"/>
      <c r="D1295" s="580" t="n"/>
      <c r="E1295" s="581" t="n"/>
      <c r="F1295" s="577" t="n"/>
      <c r="G1295" s="582" t="n"/>
      <c r="H1295" s="583" t="n"/>
      <c r="I1295" s="510" t="n"/>
    </row>
    <row r="1296" ht="19.95" customFormat="1" customHeight="1" s="511">
      <c r="A1296" s="277" t="n"/>
      <c r="B1296" s="285" t="n"/>
      <c r="C1296" s="579" t="n"/>
      <c r="D1296" s="580" t="n"/>
      <c r="E1296" s="581" t="n"/>
      <c r="F1296" s="577" t="n"/>
      <c r="G1296" s="582" t="n"/>
      <c r="H1296" s="583" t="n"/>
      <c r="I1296" s="510" t="n"/>
    </row>
    <row r="1297" ht="19.95" customFormat="1" customHeight="1" s="511">
      <c r="A1297" s="277" t="n"/>
      <c r="B1297" s="285" t="n"/>
      <c r="C1297" s="579" t="n"/>
      <c r="D1297" s="580" t="n"/>
      <c r="E1297" s="581" t="n"/>
      <c r="F1297" s="577" t="n"/>
      <c r="G1297" s="582" t="n"/>
      <c r="H1297" s="583" t="n"/>
      <c r="I1297" s="510" t="n"/>
    </row>
    <row r="1298" ht="19.95" customFormat="1" customHeight="1" s="511">
      <c r="A1298" s="277" t="n"/>
      <c r="B1298" s="285" t="n"/>
      <c r="C1298" s="579" t="n"/>
      <c r="D1298" s="580" t="n"/>
      <c r="E1298" s="581" t="n"/>
      <c r="F1298" s="577" t="n"/>
      <c r="G1298" s="582" t="n"/>
      <c r="H1298" s="583" t="n"/>
      <c r="I1298" s="510" t="n"/>
    </row>
    <row r="1299" ht="19.95" customFormat="1" customHeight="1" s="511">
      <c r="A1299" s="277" t="n"/>
      <c r="B1299" s="285" t="n"/>
      <c r="C1299" s="579" t="n"/>
      <c r="D1299" s="580" t="n"/>
      <c r="E1299" s="581" t="n"/>
      <c r="F1299" s="577" t="n"/>
      <c r="G1299" s="582" t="n"/>
      <c r="H1299" s="583" t="n"/>
      <c r="I1299" s="510" t="n"/>
    </row>
    <row r="1300" ht="19.95" customFormat="1" customHeight="1" s="511">
      <c r="A1300" s="277" t="n"/>
      <c r="B1300" s="285" t="n"/>
      <c r="C1300" s="579" t="n"/>
      <c r="D1300" s="580" t="n"/>
      <c r="E1300" s="581" t="n"/>
      <c r="F1300" s="577" t="n"/>
      <c r="G1300" s="582" t="n"/>
      <c r="H1300" s="583" t="n"/>
      <c r="I1300" s="510" t="n"/>
    </row>
    <row r="1301" ht="19.95" customFormat="1" customHeight="1" s="511">
      <c r="A1301" s="277" t="n"/>
      <c r="B1301" s="285" t="n"/>
      <c r="C1301" s="579" t="n"/>
      <c r="D1301" s="580" t="n"/>
      <c r="E1301" s="581" t="n"/>
      <c r="F1301" s="577" t="n"/>
      <c r="G1301" s="582" t="n"/>
      <c r="H1301" s="583" t="n"/>
      <c r="I1301" s="510" t="n"/>
    </row>
    <row r="1302" ht="19.95" customFormat="1" customHeight="1" s="511">
      <c r="A1302" s="277" t="n"/>
      <c r="B1302" s="285" t="n"/>
      <c r="C1302" s="579" t="n"/>
      <c r="D1302" s="580" t="n"/>
      <c r="E1302" s="581" t="n"/>
      <c r="F1302" s="577" t="n"/>
      <c r="G1302" s="582" t="n"/>
      <c r="H1302" s="583" t="n"/>
      <c r="I1302" s="510" t="n"/>
    </row>
    <row r="1303" ht="19.95" customFormat="1" customHeight="1" s="511">
      <c r="A1303" s="277" t="n"/>
      <c r="B1303" s="285" t="n"/>
      <c r="C1303" s="579" t="n"/>
      <c r="D1303" s="580" t="n"/>
      <c r="E1303" s="581" t="n"/>
      <c r="F1303" s="577" t="n"/>
      <c r="G1303" s="582" t="n"/>
      <c r="H1303" s="583" t="n"/>
      <c r="I1303" s="510" t="n"/>
    </row>
    <row r="1304" ht="19.95" customFormat="1" customHeight="1" s="511">
      <c r="A1304" s="277" t="n"/>
      <c r="B1304" s="285" t="n"/>
      <c r="C1304" s="579" t="n"/>
      <c r="D1304" s="580" t="n"/>
      <c r="E1304" s="581" t="n"/>
      <c r="F1304" s="577" t="n"/>
      <c r="G1304" s="582" t="n"/>
      <c r="H1304" s="583" t="n"/>
      <c r="I1304" s="510" t="n"/>
    </row>
    <row r="1305" ht="19.95" customFormat="1" customHeight="1" s="511">
      <c r="A1305" s="277" t="n"/>
      <c r="B1305" s="285" t="n"/>
      <c r="C1305" s="579" t="n"/>
      <c r="D1305" s="580" t="n"/>
      <c r="E1305" s="581" t="n"/>
      <c r="F1305" s="577" t="n"/>
      <c r="G1305" s="582" t="n"/>
      <c r="H1305" s="583" t="n"/>
      <c r="I1305" s="510" t="n"/>
    </row>
    <row r="1306" ht="19.95" customFormat="1" customHeight="1" s="511">
      <c r="A1306" s="277" t="n"/>
      <c r="B1306" s="285" t="n"/>
      <c r="C1306" s="579" t="n"/>
      <c r="D1306" s="580" t="n"/>
      <c r="E1306" s="581" t="n"/>
      <c r="F1306" s="577" t="n"/>
      <c r="G1306" s="582" t="n"/>
      <c r="H1306" s="583" t="n"/>
      <c r="I1306" s="510" t="n"/>
    </row>
    <row r="1307" ht="19.95" customFormat="1" customHeight="1" s="511">
      <c r="A1307" s="277" t="n"/>
      <c r="B1307" s="285" t="n"/>
      <c r="C1307" s="579" t="n"/>
      <c r="D1307" s="580" t="n"/>
      <c r="E1307" s="581" t="n"/>
      <c r="F1307" s="577" t="n"/>
      <c r="G1307" s="582" t="n"/>
      <c r="H1307" s="583" t="n"/>
      <c r="I1307" s="510" t="n"/>
    </row>
    <row r="1308" ht="19.95" customFormat="1" customHeight="1" s="511">
      <c r="A1308" s="277" t="n"/>
      <c r="B1308" s="285" t="n"/>
      <c r="C1308" s="579" t="n"/>
      <c r="D1308" s="580" t="n"/>
      <c r="E1308" s="581" t="n"/>
      <c r="F1308" s="577" t="n"/>
      <c r="G1308" s="582" t="n"/>
      <c r="H1308" s="583" t="n"/>
      <c r="I1308" s="510" t="n"/>
    </row>
    <row r="1309" ht="19.95" customFormat="1" customHeight="1" s="511">
      <c r="A1309" s="277" t="n"/>
      <c r="B1309" s="285" t="n"/>
      <c r="C1309" s="579" t="n"/>
      <c r="D1309" s="580" t="n"/>
      <c r="E1309" s="581" t="n"/>
      <c r="F1309" s="577" t="n"/>
      <c r="G1309" s="582" t="n"/>
      <c r="H1309" s="583" t="n"/>
      <c r="I1309" s="510" t="n"/>
    </row>
    <row r="1310" ht="19.95" customFormat="1" customHeight="1" s="511">
      <c r="A1310" s="277" t="n"/>
      <c r="B1310" s="285" t="n"/>
      <c r="C1310" s="579" t="n"/>
      <c r="D1310" s="580" t="n"/>
      <c r="E1310" s="581" t="n"/>
      <c r="F1310" s="577" t="n"/>
      <c r="G1310" s="582" t="n"/>
      <c r="H1310" s="583" t="n"/>
      <c r="I1310" s="510" t="n"/>
    </row>
    <row r="1311" ht="19.95" customFormat="1" customHeight="1" s="511">
      <c r="A1311" s="277" t="n"/>
      <c r="B1311" s="285" t="n"/>
      <c r="C1311" s="579" t="n"/>
      <c r="D1311" s="580" t="n"/>
      <c r="E1311" s="581" t="n"/>
      <c r="F1311" s="577" t="n"/>
      <c r="G1311" s="582" t="n"/>
      <c r="H1311" s="583" t="n"/>
      <c r="I1311" s="510" t="n"/>
    </row>
    <row r="1312" ht="19.95" customFormat="1" customHeight="1" s="511">
      <c r="A1312" s="277" t="n"/>
      <c r="B1312" s="285" t="n"/>
      <c r="C1312" s="579" t="n"/>
      <c r="D1312" s="580" t="n"/>
      <c r="E1312" s="581" t="n"/>
      <c r="F1312" s="577" t="n"/>
      <c r="G1312" s="582" t="n"/>
      <c r="H1312" s="583" t="n"/>
      <c r="I1312" s="510" t="n"/>
    </row>
    <row r="1313" ht="19.95" customFormat="1" customHeight="1" s="511">
      <c r="A1313" s="277" t="n"/>
      <c r="B1313" s="285" t="n"/>
      <c r="C1313" s="579" t="n"/>
      <c r="D1313" s="580" t="n"/>
      <c r="E1313" s="581" t="n"/>
      <c r="F1313" s="577" t="n"/>
      <c r="G1313" s="582" t="n"/>
      <c r="H1313" s="583" t="n"/>
      <c r="I1313" s="510" t="n"/>
    </row>
    <row r="1314" ht="19.95" customFormat="1" customHeight="1" s="511">
      <c r="A1314" s="277" t="n"/>
      <c r="B1314" s="285" t="n"/>
      <c r="C1314" s="579" t="n"/>
      <c r="D1314" s="580" t="n"/>
      <c r="E1314" s="581" t="n"/>
      <c r="F1314" s="577" t="n"/>
      <c r="G1314" s="582" t="n"/>
      <c r="H1314" s="583" t="n"/>
      <c r="I1314" s="510" t="n"/>
    </row>
    <row r="1315" ht="19.95" customFormat="1" customHeight="1" s="511">
      <c r="A1315" s="277" t="n"/>
      <c r="B1315" s="285" t="n"/>
      <c r="C1315" s="579" t="n"/>
      <c r="D1315" s="580" t="n"/>
      <c r="E1315" s="581" t="n"/>
      <c r="F1315" s="577" t="n"/>
      <c r="G1315" s="582" t="n"/>
      <c r="H1315" s="583" t="n"/>
      <c r="I1315" s="510" t="n"/>
    </row>
    <row r="1316" ht="19.95" customFormat="1" customHeight="1" s="511">
      <c r="A1316" s="277" t="n"/>
      <c r="B1316" s="285" t="n"/>
      <c r="C1316" s="579" t="n"/>
      <c r="D1316" s="580" t="n"/>
      <c r="E1316" s="581" t="n"/>
      <c r="F1316" s="577" t="n"/>
      <c r="G1316" s="582" t="n"/>
      <c r="H1316" s="583" t="n"/>
      <c r="I1316" s="510" t="n"/>
    </row>
    <row r="1317" ht="19.95" customFormat="1" customHeight="1" s="511">
      <c r="A1317" s="277" t="n"/>
      <c r="B1317" s="285" t="n"/>
      <c r="C1317" s="579" t="n"/>
      <c r="D1317" s="580" t="n"/>
      <c r="E1317" s="581" t="n"/>
      <c r="F1317" s="577" t="n"/>
      <c r="G1317" s="582" t="n"/>
      <c r="H1317" s="583" t="n"/>
      <c r="I1317" s="510" t="n"/>
    </row>
    <row r="1318" ht="19.95" customFormat="1" customHeight="1" s="511">
      <c r="A1318" s="277" t="n"/>
      <c r="B1318" s="285" t="n"/>
      <c r="C1318" s="579" t="n"/>
      <c r="D1318" s="580" t="n"/>
      <c r="E1318" s="581" t="n"/>
      <c r="F1318" s="577" t="n"/>
      <c r="G1318" s="582" t="n"/>
      <c r="H1318" s="583" t="n"/>
      <c r="I1318" s="510" t="n"/>
    </row>
    <row r="1319" ht="19.95" customFormat="1" customHeight="1" s="511">
      <c r="A1319" s="277" t="n"/>
      <c r="B1319" s="285" t="n"/>
      <c r="C1319" s="579" t="n"/>
      <c r="D1319" s="580" t="n"/>
      <c r="E1319" s="581" t="n"/>
      <c r="F1319" s="577" t="n"/>
      <c r="G1319" s="582" t="n"/>
      <c r="H1319" s="583" t="n"/>
      <c r="I1319" s="510" t="n"/>
    </row>
    <row r="1320" ht="19.95" customFormat="1" customHeight="1" s="511">
      <c r="A1320" s="277" t="n"/>
      <c r="B1320" s="285" t="n"/>
      <c r="C1320" s="579" t="n"/>
      <c r="D1320" s="580" t="n"/>
      <c r="E1320" s="581" t="n"/>
      <c r="F1320" s="577" t="n"/>
      <c r="G1320" s="582" t="n"/>
      <c r="H1320" s="583" t="n"/>
      <c r="I1320" s="510" t="n"/>
    </row>
    <row r="1321" ht="19.95" customFormat="1" customHeight="1" s="511">
      <c r="A1321" s="277" t="n"/>
      <c r="B1321" s="285" t="n"/>
      <c r="C1321" s="579" t="n"/>
      <c r="D1321" s="580" t="n"/>
      <c r="E1321" s="581" t="n"/>
      <c r="F1321" s="577" t="n"/>
      <c r="G1321" s="582" t="n"/>
      <c r="H1321" s="583" t="n"/>
      <c r="I1321" s="510" t="n"/>
    </row>
    <row r="1322" ht="19.95" customFormat="1" customHeight="1" s="511">
      <c r="A1322" s="277" t="n"/>
      <c r="B1322" s="285" t="n"/>
      <c r="C1322" s="579" t="n"/>
      <c r="D1322" s="580" t="n"/>
      <c r="E1322" s="581" t="n"/>
      <c r="F1322" s="577" t="n"/>
      <c r="G1322" s="582" t="n"/>
      <c r="H1322" s="583" t="n"/>
      <c r="I1322" s="510" t="n"/>
    </row>
    <row r="1323" ht="19.95" customFormat="1" customHeight="1" s="511">
      <c r="A1323" s="277" t="n"/>
      <c r="B1323" s="285" t="n"/>
      <c r="C1323" s="579" t="n"/>
      <c r="D1323" s="580" t="n"/>
      <c r="E1323" s="581" t="n"/>
      <c r="F1323" s="577" t="n"/>
      <c r="G1323" s="582" t="n"/>
      <c r="H1323" s="583" t="n"/>
      <c r="I1323" s="510" t="n"/>
    </row>
    <row r="1324" ht="19.95" customFormat="1" customHeight="1" s="511">
      <c r="A1324" s="277" t="n"/>
      <c r="B1324" s="285" t="n"/>
      <c r="C1324" s="579" t="n"/>
      <c r="D1324" s="580" t="n"/>
      <c r="E1324" s="581" t="n"/>
      <c r="F1324" s="577" t="n"/>
      <c r="G1324" s="582" t="n"/>
      <c r="H1324" s="583" t="n"/>
      <c r="I1324" s="510" t="n"/>
    </row>
    <row r="1325" ht="19.95" customFormat="1" customHeight="1" s="511">
      <c r="A1325" s="277" t="n"/>
      <c r="B1325" s="285" t="n"/>
      <c r="C1325" s="579" t="n"/>
      <c r="D1325" s="580" t="n"/>
      <c r="E1325" s="581" t="n"/>
      <c r="F1325" s="577" t="n"/>
      <c r="G1325" s="582" t="n"/>
      <c r="H1325" s="583" t="n"/>
      <c r="I1325" s="510" t="n"/>
    </row>
    <row r="1326" ht="19.95" customFormat="1" customHeight="1" s="511">
      <c r="A1326" s="277" t="n"/>
      <c r="B1326" s="285" t="n"/>
      <c r="C1326" s="579" t="n"/>
      <c r="D1326" s="580" t="n"/>
      <c r="E1326" s="581" t="n"/>
      <c r="F1326" s="577" t="n"/>
      <c r="G1326" s="582" t="n"/>
      <c r="H1326" s="583" t="n"/>
      <c r="I1326" s="510" t="n"/>
    </row>
    <row r="1327" ht="19.95" customFormat="1" customHeight="1" s="511">
      <c r="A1327" s="277" t="n"/>
      <c r="B1327" s="285" t="n"/>
      <c r="C1327" s="579" t="n"/>
      <c r="D1327" s="580" t="n"/>
      <c r="E1327" s="581" t="n"/>
      <c r="F1327" s="577" t="n"/>
      <c r="G1327" s="582" t="n"/>
      <c r="H1327" s="583" t="n"/>
      <c r="I1327" s="510" t="n"/>
    </row>
    <row r="1328" ht="19.95" customFormat="1" customHeight="1" s="511">
      <c r="A1328" s="277" t="n"/>
      <c r="B1328" s="285" t="n"/>
      <c r="C1328" s="579" t="n"/>
      <c r="D1328" s="580" t="n"/>
      <c r="E1328" s="581" t="n"/>
      <c r="F1328" s="577" t="n"/>
      <c r="G1328" s="582" t="n"/>
      <c r="H1328" s="583" t="n"/>
      <c r="I1328" s="510" t="n"/>
    </row>
    <row r="1329" ht="19.95" customFormat="1" customHeight="1" s="511">
      <c r="A1329" s="277" t="n"/>
      <c r="B1329" s="285" t="n"/>
      <c r="C1329" s="579" t="n"/>
      <c r="D1329" s="580" t="n"/>
      <c r="E1329" s="581" t="n"/>
      <c r="F1329" s="577" t="n"/>
      <c r="G1329" s="582" t="n"/>
      <c r="H1329" s="583" t="n"/>
      <c r="I1329" s="510" t="n"/>
    </row>
    <row r="1330" ht="19.95" customFormat="1" customHeight="1" s="511">
      <c r="A1330" s="277" t="n"/>
      <c r="B1330" s="285" t="n"/>
      <c r="C1330" s="579" t="n"/>
      <c r="D1330" s="580" t="n"/>
      <c r="E1330" s="581" t="n"/>
      <c r="F1330" s="577" t="n"/>
      <c r="G1330" s="582" t="n"/>
      <c r="H1330" s="583" t="n"/>
      <c r="I1330" s="510" t="n"/>
    </row>
    <row r="1331" ht="19.95" customFormat="1" customHeight="1" s="511">
      <c r="A1331" s="277" t="n"/>
      <c r="B1331" s="285" t="n"/>
      <c r="C1331" s="579" t="n"/>
      <c r="D1331" s="580" t="n"/>
      <c r="E1331" s="581" t="n"/>
      <c r="F1331" s="577" t="n"/>
      <c r="G1331" s="582" t="n"/>
      <c r="H1331" s="583" t="n"/>
      <c r="I1331" s="510" t="n"/>
    </row>
    <row r="1332" ht="19.95" customFormat="1" customHeight="1" s="511">
      <c r="A1332" s="277" t="n"/>
      <c r="B1332" s="285" t="n"/>
      <c r="C1332" s="579" t="n"/>
      <c r="D1332" s="580" t="n"/>
      <c r="E1332" s="581" t="n"/>
      <c r="F1332" s="577" t="n"/>
      <c r="G1332" s="582" t="n"/>
      <c r="H1332" s="583" t="n"/>
      <c r="I1332" s="510" t="n"/>
    </row>
    <row r="1333" ht="19.95" customFormat="1" customHeight="1" s="511">
      <c r="A1333" s="277" t="n"/>
      <c r="B1333" s="285" t="n"/>
      <c r="C1333" s="579" t="n"/>
      <c r="D1333" s="580" t="n"/>
      <c r="E1333" s="581" t="n"/>
      <c r="F1333" s="577" t="n"/>
      <c r="G1333" s="582" t="n"/>
      <c r="H1333" s="583" t="n"/>
      <c r="I1333" s="510" t="n"/>
    </row>
    <row r="1334" ht="19.95" customFormat="1" customHeight="1" s="511">
      <c r="A1334" s="277" t="n"/>
      <c r="B1334" s="285" t="n"/>
      <c r="C1334" s="579" t="n"/>
      <c r="D1334" s="580" t="n"/>
      <c r="E1334" s="581" t="n"/>
      <c r="F1334" s="577" t="n"/>
      <c r="G1334" s="582" t="n"/>
      <c r="H1334" s="583" t="n"/>
      <c r="I1334" s="510" t="n"/>
    </row>
    <row r="1335" ht="19.95" customFormat="1" customHeight="1" s="511">
      <c r="A1335" s="277" t="n"/>
      <c r="B1335" s="285" t="n"/>
      <c r="C1335" s="579" t="n"/>
      <c r="D1335" s="580" t="n"/>
      <c r="E1335" s="581" t="n"/>
      <c r="F1335" s="577" t="n"/>
      <c r="G1335" s="582" t="n"/>
      <c r="H1335" s="583" t="n"/>
      <c r="I1335" s="510" t="n"/>
    </row>
    <row r="1336" ht="19.95" customFormat="1" customHeight="1" s="511">
      <c r="A1336" s="277" t="n"/>
      <c r="B1336" s="285" t="n"/>
      <c r="C1336" s="579" t="n"/>
      <c r="D1336" s="580" t="n"/>
      <c r="E1336" s="581" t="n"/>
      <c r="F1336" s="577" t="n"/>
      <c r="G1336" s="582" t="n"/>
      <c r="H1336" s="583" t="n"/>
      <c r="I1336" s="510" t="n"/>
    </row>
    <row r="1337" ht="19.95" customFormat="1" customHeight="1" s="511">
      <c r="A1337" s="277" t="n"/>
      <c r="B1337" s="285" t="n"/>
      <c r="C1337" s="579" t="n"/>
      <c r="D1337" s="580" t="n"/>
      <c r="E1337" s="581" t="n"/>
      <c r="F1337" s="577" t="n"/>
      <c r="G1337" s="582" t="n"/>
      <c r="H1337" s="583" t="n"/>
      <c r="I1337" s="510" t="n"/>
    </row>
    <row r="1338" ht="19.95" customFormat="1" customHeight="1" s="511">
      <c r="A1338" s="277" t="n"/>
      <c r="B1338" s="285" t="n"/>
      <c r="C1338" s="579" t="n"/>
      <c r="D1338" s="580" t="n"/>
      <c r="E1338" s="581" t="n"/>
      <c r="F1338" s="577" t="n"/>
      <c r="G1338" s="582" t="n"/>
      <c r="H1338" s="583" t="n"/>
      <c r="I1338" s="510" t="n"/>
    </row>
    <row r="1339" ht="19.95" customFormat="1" customHeight="1" s="511">
      <c r="A1339" s="277" t="n"/>
      <c r="B1339" s="285" t="n"/>
      <c r="C1339" s="579" t="n"/>
      <c r="D1339" s="580" t="n"/>
      <c r="E1339" s="581" t="n"/>
      <c r="F1339" s="577" t="n"/>
      <c r="G1339" s="582" t="n"/>
      <c r="H1339" s="583" t="n"/>
      <c r="I1339" s="510" t="n"/>
    </row>
    <row r="1340" ht="19.95" customFormat="1" customHeight="1" s="511">
      <c r="A1340" s="277" t="n"/>
      <c r="B1340" s="285" t="n"/>
      <c r="C1340" s="579" t="n"/>
      <c r="D1340" s="580" t="n"/>
      <c r="E1340" s="581" t="n"/>
      <c r="F1340" s="577" t="n"/>
      <c r="G1340" s="582" t="n"/>
      <c r="H1340" s="583" t="n"/>
      <c r="I1340" s="510" t="n"/>
    </row>
    <row r="1341" ht="19.95" customFormat="1" customHeight="1" s="511">
      <c r="A1341" s="277" t="n"/>
      <c r="B1341" s="285" t="n"/>
      <c r="C1341" s="579" t="n"/>
      <c r="D1341" s="580" t="n"/>
      <c r="E1341" s="581" t="n"/>
      <c r="F1341" s="577" t="n"/>
      <c r="G1341" s="582" t="n"/>
      <c r="H1341" s="583" t="n"/>
      <c r="I1341" s="510" t="n"/>
    </row>
    <row r="1342" ht="19.95" customFormat="1" customHeight="1" s="511">
      <c r="A1342" s="277" t="n"/>
      <c r="B1342" s="285" t="n"/>
      <c r="C1342" s="579" t="n"/>
      <c r="D1342" s="580" t="n"/>
      <c r="E1342" s="581" t="n"/>
      <c r="F1342" s="577" t="n"/>
      <c r="G1342" s="582" t="n"/>
      <c r="H1342" s="583" t="n"/>
      <c r="I1342" s="510" t="n"/>
    </row>
    <row r="1343" ht="19.95" customFormat="1" customHeight="1" s="511">
      <c r="A1343" s="277" t="n"/>
      <c r="B1343" s="285" t="n"/>
      <c r="C1343" s="579" t="n"/>
      <c r="D1343" s="580" t="n"/>
      <c r="E1343" s="581" t="n"/>
      <c r="F1343" s="577" t="n"/>
      <c r="G1343" s="582" t="n"/>
      <c r="H1343" s="583" t="n"/>
      <c r="I1343" s="510" t="n"/>
    </row>
    <row r="1344" ht="19.95" customFormat="1" customHeight="1" s="511">
      <c r="A1344" s="277" t="n"/>
      <c r="B1344" s="285" t="n"/>
      <c r="C1344" s="579" t="n"/>
      <c r="D1344" s="580" t="n"/>
      <c r="E1344" s="581" t="n"/>
      <c r="F1344" s="577" t="n"/>
      <c r="G1344" s="582" t="n"/>
      <c r="H1344" s="583" t="n"/>
      <c r="I1344" s="510" t="n"/>
    </row>
    <row r="1345" ht="19.95" customFormat="1" customHeight="1" s="511">
      <c r="A1345" s="277" t="n"/>
      <c r="B1345" s="285" t="n"/>
      <c r="C1345" s="579" t="n"/>
      <c r="D1345" s="580" t="n"/>
      <c r="E1345" s="581" t="n"/>
      <c r="F1345" s="577" t="n"/>
      <c r="G1345" s="582" t="n"/>
      <c r="H1345" s="583" t="n"/>
      <c r="I1345" s="510" t="n"/>
    </row>
    <row r="1346" ht="19.95" customFormat="1" customHeight="1" s="511">
      <c r="A1346" s="277" t="n"/>
      <c r="B1346" s="285" t="n"/>
      <c r="C1346" s="579" t="n"/>
      <c r="D1346" s="580" t="n"/>
      <c r="E1346" s="581" t="n"/>
      <c r="F1346" s="577" t="n"/>
      <c r="G1346" s="582" t="n"/>
      <c r="H1346" s="583" t="n"/>
      <c r="I1346" s="510" t="n"/>
    </row>
    <row r="1347" ht="19.95" customFormat="1" customHeight="1" s="511">
      <c r="A1347" s="277" t="n"/>
      <c r="B1347" s="285" t="n"/>
      <c r="C1347" s="579" t="n"/>
      <c r="D1347" s="580" t="n"/>
      <c r="E1347" s="581" t="n"/>
      <c r="F1347" s="577" t="n"/>
      <c r="G1347" s="582" t="n"/>
      <c r="H1347" s="583" t="n"/>
      <c r="I1347" s="510" t="n"/>
    </row>
    <row r="1348" ht="19.95" customFormat="1" customHeight="1" s="511">
      <c r="A1348" s="277" t="n"/>
      <c r="B1348" s="285" t="n"/>
      <c r="C1348" s="579" t="n"/>
      <c r="D1348" s="580" t="n"/>
      <c r="E1348" s="581" t="n"/>
      <c r="F1348" s="577" t="n"/>
      <c r="G1348" s="582" t="n"/>
      <c r="H1348" s="583" t="n"/>
      <c r="I1348" s="510" t="n"/>
    </row>
    <row r="1349" ht="19.95" customFormat="1" customHeight="1" s="511">
      <c r="A1349" s="277" t="n"/>
      <c r="B1349" s="285" t="n"/>
      <c r="C1349" s="579" t="n"/>
      <c r="D1349" s="580" t="n"/>
      <c r="E1349" s="581" t="n"/>
      <c r="F1349" s="577" t="n"/>
      <c r="G1349" s="582" t="n"/>
      <c r="H1349" s="583" t="n"/>
      <c r="I1349" s="510" t="n"/>
    </row>
    <row r="1350" ht="19.95" customFormat="1" customHeight="1" s="511">
      <c r="A1350" s="277" t="n"/>
      <c r="B1350" s="285" t="n"/>
      <c r="C1350" s="579" t="n"/>
      <c r="D1350" s="580" t="n"/>
      <c r="E1350" s="581" t="n"/>
      <c r="F1350" s="577" t="n"/>
      <c r="G1350" s="582" t="n"/>
      <c r="H1350" s="583" t="n"/>
      <c r="I1350" s="510" t="n"/>
    </row>
    <row r="1351" ht="19.95" customFormat="1" customHeight="1" s="511">
      <c r="A1351" s="277" t="n"/>
      <c r="B1351" s="285" t="n"/>
      <c r="C1351" s="579" t="n"/>
      <c r="D1351" s="580" t="n"/>
      <c r="E1351" s="581" t="n"/>
      <c r="F1351" s="577" t="n"/>
      <c r="G1351" s="582" t="n"/>
      <c r="H1351" s="583" t="n"/>
      <c r="I1351" s="510" t="n"/>
    </row>
    <row r="1352" ht="19.95" customFormat="1" customHeight="1" s="511">
      <c r="A1352" s="277" t="n"/>
      <c r="B1352" s="285" t="n"/>
      <c r="C1352" s="579" t="n"/>
      <c r="D1352" s="580" t="n"/>
      <c r="E1352" s="581" t="n"/>
      <c r="F1352" s="577" t="n"/>
      <c r="G1352" s="582" t="n"/>
      <c r="H1352" s="583" t="n"/>
      <c r="I1352" s="510" t="n"/>
    </row>
    <row r="1353" ht="19.95" customFormat="1" customHeight="1" s="511">
      <c r="A1353" s="277" t="n"/>
      <c r="B1353" s="285" t="n"/>
      <c r="C1353" s="579" t="n"/>
      <c r="D1353" s="580" t="n"/>
      <c r="E1353" s="581" t="n"/>
      <c r="F1353" s="577" t="n"/>
      <c r="G1353" s="582" t="n"/>
      <c r="H1353" s="583" t="n"/>
      <c r="I1353" s="510" t="n"/>
    </row>
    <row r="1354" ht="19.95" customFormat="1" customHeight="1" s="511">
      <c r="A1354" s="277" t="n"/>
      <c r="B1354" s="285" t="n"/>
      <c r="C1354" s="579" t="n"/>
      <c r="D1354" s="580" t="n"/>
      <c r="E1354" s="581" t="n"/>
      <c r="F1354" s="577" t="n"/>
      <c r="G1354" s="582" t="n"/>
      <c r="H1354" s="583" t="n"/>
      <c r="I1354" s="510" t="n"/>
    </row>
    <row r="1355" ht="19.95" customFormat="1" customHeight="1" s="511">
      <c r="A1355" s="277" t="n"/>
      <c r="B1355" s="285" t="n"/>
      <c r="C1355" s="579" t="n"/>
      <c r="D1355" s="580" t="n"/>
      <c r="E1355" s="581" t="n"/>
      <c r="F1355" s="577" t="n"/>
      <c r="G1355" s="582" t="n"/>
      <c r="H1355" s="583" t="n"/>
      <c r="I1355" s="510" t="n"/>
    </row>
    <row r="1356" ht="19.95" customFormat="1" customHeight="1" s="511">
      <c r="A1356" s="277" t="n"/>
      <c r="B1356" s="285" t="n"/>
      <c r="C1356" s="579" t="n"/>
      <c r="D1356" s="580" t="n"/>
      <c r="E1356" s="581" t="n"/>
      <c r="F1356" s="577" t="n"/>
      <c r="G1356" s="582" t="n"/>
      <c r="H1356" s="583" t="n"/>
      <c r="I1356" s="510" t="n"/>
    </row>
    <row r="1357" ht="19.95" customFormat="1" customHeight="1" s="511">
      <c r="A1357" s="277" t="n"/>
      <c r="B1357" s="285" t="n"/>
      <c r="C1357" s="579" t="n"/>
      <c r="D1357" s="580" t="n"/>
      <c r="E1357" s="581" t="n"/>
      <c r="F1357" s="577" t="n"/>
      <c r="G1357" s="582" t="n"/>
      <c r="H1357" s="583" t="n"/>
      <c r="I1357" s="510" t="n"/>
    </row>
    <row r="1358" ht="19.95" customFormat="1" customHeight="1" s="511">
      <c r="A1358" s="277" t="n"/>
      <c r="B1358" s="285" t="n"/>
      <c r="C1358" s="579" t="n"/>
      <c r="D1358" s="580" t="n"/>
      <c r="E1358" s="581" t="n"/>
      <c r="F1358" s="577" t="n"/>
      <c r="G1358" s="582" t="n"/>
      <c r="H1358" s="583" t="n"/>
      <c r="I1358" s="510" t="n"/>
    </row>
    <row r="1359" ht="19.95" customFormat="1" customHeight="1" s="511">
      <c r="A1359" s="277" t="n"/>
      <c r="B1359" s="285" t="n"/>
      <c r="C1359" s="579" t="n"/>
      <c r="D1359" s="580" t="n"/>
      <c r="E1359" s="581" t="n"/>
      <c r="F1359" s="577" t="n"/>
      <c r="G1359" s="582" t="n"/>
      <c r="H1359" s="583" t="n"/>
      <c r="I1359" s="510" t="n"/>
    </row>
    <row r="1360" ht="19.95" customFormat="1" customHeight="1" s="511">
      <c r="A1360" s="277" t="n"/>
      <c r="B1360" s="285" t="n"/>
      <c r="C1360" s="579" t="n"/>
      <c r="D1360" s="580" t="n"/>
      <c r="E1360" s="581" t="n"/>
      <c r="F1360" s="577" t="n"/>
      <c r="G1360" s="582" t="n"/>
      <c r="H1360" s="583" t="n"/>
      <c r="I1360" s="510" t="n"/>
    </row>
    <row r="1361" ht="19.95" customFormat="1" customHeight="1" s="511">
      <c r="A1361" s="277" t="n"/>
      <c r="B1361" s="285" t="n"/>
      <c r="C1361" s="579" t="n"/>
      <c r="D1361" s="580" t="n"/>
      <c r="E1361" s="581" t="n"/>
      <c r="F1361" s="577" t="n"/>
      <c r="G1361" s="582" t="n"/>
      <c r="H1361" s="583" t="n"/>
      <c r="I1361" s="510" t="n"/>
    </row>
    <row r="1362" ht="19.95" customFormat="1" customHeight="1" s="511">
      <c r="A1362" s="277" t="n"/>
      <c r="B1362" s="285" t="n"/>
      <c r="C1362" s="579" t="n"/>
      <c r="D1362" s="580" t="n"/>
      <c r="E1362" s="581" t="n"/>
      <c r="F1362" s="577" t="n"/>
      <c r="G1362" s="582" t="n"/>
      <c r="H1362" s="583" t="n"/>
      <c r="I1362" s="510" t="n"/>
    </row>
    <row r="1363" ht="19.95" customFormat="1" customHeight="1" s="511">
      <c r="A1363" s="277" t="n"/>
      <c r="B1363" s="285" t="n"/>
      <c r="C1363" s="579" t="n"/>
      <c r="D1363" s="580" t="n"/>
      <c r="E1363" s="581" t="n"/>
      <c r="F1363" s="577" t="n"/>
      <c r="G1363" s="582" t="n"/>
      <c r="H1363" s="583" t="n"/>
      <c r="I1363" s="510" t="n"/>
    </row>
    <row r="1364" ht="19.95" customFormat="1" customHeight="1" s="511">
      <c r="A1364" s="277" t="n"/>
      <c r="B1364" s="285" t="n"/>
      <c r="C1364" s="579" t="n"/>
      <c r="D1364" s="580" t="n"/>
      <c r="E1364" s="581" t="n"/>
      <c r="F1364" s="577" t="n"/>
      <c r="G1364" s="582" t="n"/>
      <c r="H1364" s="583" t="n"/>
      <c r="I1364" s="510" t="n"/>
    </row>
    <row r="1365" ht="19.95" customFormat="1" customHeight="1" s="511">
      <c r="A1365" s="277" t="n"/>
      <c r="B1365" s="285" t="n"/>
      <c r="C1365" s="579" t="n"/>
      <c r="D1365" s="580" t="n"/>
      <c r="E1365" s="581" t="n"/>
      <c r="F1365" s="577" t="n"/>
      <c r="G1365" s="582" t="n"/>
      <c r="H1365" s="583" t="n"/>
      <c r="I1365" s="510" t="n"/>
    </row>
    <row r="1366" ht="19.95" customFormat="1" customHeight="1" s="511">
      <c r="A1366" s="277" t="n"/>
      <c r="B1366" s="285" t="n"/>
      <c r="C1366" s="579" t="n"/>
      <c r="D1366" s="580" t="n"/>
      <c r="E1366" s="581" t="n"/>
      <c r="F1366" s="577" t="n"/>
      <c r="G1366" s="582" t="n"/>
      <c r="H1366" s="583" t="n"/>
      <c r="I1366" s="510" t="n"/>
    </row>
    <row r="1367" ht="19.95" customFormat="1" customHeight="1" s="511">
      <c r="A1367" s="277" t="n"/>
      <c r="B1367" s="285" t="n"/>
      <c r="C1367" s="579" t="n"/>
      <c r="D1367" s="580" t="n"/>
      <c r="E1367" s="581" t="n"/>
      <c r="F1367" s="577" t="n"/>
      <c r="G1367" s="582" t="n"/>
      <c r="H1367" s="583" t="n"/>
      <c r="I1367" s="510" t="n"/>
    </row>
    <row r="1368" ht="19.95" customFormat="1" customHeight="1" s="511">
      <c r="A1368" s="277" t="n"/>
      <c r="B1368" s="285" t="n"/>
      <c r="C1368" s="579" t="n"/>
      <c r="D1368" s="580" t="n"/>
      <c r="E1368" s="581" t="n"/>
      <c r="F1368" s="577" t="n"/>
      <c r="G1368" s="582" t="n"/>
      <c r="H1368" s="583" t="n"/>
      <c r="I1368" s="510" t="n"/>
    </row>
    <row r="1369" ht="19.95" customFormat="1" customHeight="1" s="511">
      <c r="A1369" s="277" t="n"/>
      <c r="B1369" s="285" t="n"/>
      <c r="C1369" s="579" t="n"/>
      <c r="D1369" s="580" t="n"/>
      <c r="E1369" s="581" t="n"/>
      <c r="F1369" s="577" t="n"/>
      <c r="G1369" s="582" t="n"/>
      <c r="H1369" s="583" t="n"/>
      <c r="I1369" s="510" t="n"/>
    </row>
    <row r="1370" ht="19.95" customFormat="1" customHeight="1" s="511">
      <c r="A1370" s="277" t="n"/>
      <c r="B1370" s="285" t="n"/>
      <c r="C1370" s="579" t="n"/>
      <c r="D1370" s="580" t="n"/>
      <c r="E1370" s="581" t="n"/>
      <c r="F1370" s="577" t="n"/>
      <c r="G1370" s="582" t="n"/>
      <c r="H1370" s="583" t="n"/>
      <c r="I1370" s="510" t="n"/>
    </row>
    <row r="1371" ht="19.95" customFormat="1" customHeight="1" s="511">
      <c r="A1371" s="277" t="n"/>
      <c r="B1371" s="285" t="n"/>
      <c r="C1371" s="579" t="n"/>
      <c r="D1371" s="580" t="n"/>
      <c r="E1371" s="581" t="n"/>
      <c r="F1371" s="577" t="n"/>
      <c r="G1371" s="582" t="n"/>
      <c r="H1371" s="583" t="n"/>
      <c r="I1371" s="510" t="n"/>
    </row>
    <row r="1372" ht="19.95" customFormat="1" customHeight="1" s="511">
      <c r="A1372" s="277" t="n"/>
      <c r="B1372" s="285" t="n"/>
      <c r="C1372" s="579" t="n"/>
      <c r="D1372" s="580" t="n"/>
      <c r="E1372" s="581" t="n"/>
      <c r="F1372" s="577" t="n"/>
      <c r="G1372" s="582" t="n"/>
      <c r="H1372" s="583" t="n"/>
      <c r="I1372" s="510" t="n"/>
    </row>
    <row r="1373" ht="19.95" customFormat="1" customHeight="1" s="511">
      <c r="A1373" s="277" t="n"/>
      <c r="B1373" s="285" t="n"/>
      <c r="C1373" s="579" t="n"/>
      <c r="D1373" s="580" t="n"/>
      <c r="E1373" s="581" t="n"/>
      <c r="F1373" s="577" t="n"/>
      <c r="G1373" s="582" t="n"/>
      <c r="H1373" s="583" t="n"/>
      <c r="I1373" s="510" t="n"/>
    </row>
    <row r="1374" ht="19.95" customFormat="1" customHeight="1" s="511">
      <c r="A1374" s="277" t="n"/>
      <c r="B1374" s="285" t="n"/>
      <c r="C1374" s="579" t="n"/>
      <c r="D1374" s="580" t="n"/>
      <c r="E1374" s="581" t="n"/>
      <c r="F1374" s="577" t="n"/>
      <c r="G1374" s="582" t="n"/>
      <c r="H1374" s="583" t="n"/>
      <c r="I1374" s="510" t="n"/>
    </row>
    <row r="1375" ht="19.95" customFormat="1" customHeight="1" s="511">
      <c r="A1375" s="277" t="n"/>
      <c r="B1375" s="285" t="n"/>
      <c r="C1375" s="579" t="n"/>
      <c r="D1375" s="580" t="n"/>
      <c r="E1375" s="581" t="n"/>
      <c r="F1375" s="577" t="n"/>
      <c r="G1375" s="582" t="n"/>
      <c r="H1375" s="583" t="n"/>
      <c r="I1375" s="510" t="n"/>
    </row>
    <row r="1376" ht="19.95" customFormat="1" customHeight="1" s="511">
      <c r="A1376" s="277" t="n"/>
      <c r="B1376" s="285" t="n"/>
      <c r="C1376" s="579" t="n"/>
      <c r="D1376" s="580" t="n"/>
      <c r="E1376" s="581" t="n"/>
      <c r="F1376" s="577" t="n"/>
      <c r="G1376" s="582" t="n"/>
      <c r="H1376" s="583" t="n"/>
      <c r="I1376" s="510" t="n"/>
    </row>
    <row r="1377" ht="19.95" customFormat="1" customHeight="1" s="511">
      <c r="A1377" s="277" t="n"/>
      <c r="B1377" s="285" t="n"/>
      <c r="C1377" s="579" t="n"/>
      <c r="D1377" s="580" t="n"/>
      <c r="E1377" s="581" t="n"/>
      <c r="F1377" s="577" t="n"/>
      <c r="G1377" s="582" t="n"/>
      <c r="H1377" s="583" t="n"/>
      <c r="I1377" s="510" t="n"/>
    </row>
    <row r="1378" ht="19.95" customFormat="1" customHeight="1" s="511">
      <c r="A1378" s="277" t="n"/>
      <c r="B1378" s="285" t="n"/>
      <c r="C1378" s="579" t="n"/>
      <c r="D1378" s="580" t="n"/>
      <c r="E1378" s="581" t="n"/>
      <c r="F1378" s="577" t="n"/>
      <c r="G1378" s="582" t="n"/>
      <c r="H1378" s="583" t="n"/>
      <c r="I1378" s="510" t="n"/>
    </row>
    <row r="1379" ht="19.95" customFormat="1" customHeight="1" s="511">
      <c r="A1379" s="277" t="n"/>
      <c r="B1379" s="285" t="n"/>
      <c r="C1379" s="579" t="n"/>
      <c r="D1379" s="580" t="n"/>
      <c r="E1379" s="581" t="n"/>
      <c r="F1379" s="577" t="n"/>
      <c r="G1379" s="582" t="n"/>
      <c r="H1379" s="583" t="n"/>
      <c r="I1379" s="510" t="n"/>
    </row>
    <row r="1380" ht="19.95" customFormat="1" customHeight="1" s="511">
      <c r="A1380" s="277" t="n"/>
      <c r="B1380" s="285" t="n"/>
      <c r="C1380" s="579" t="n"/>
      <c r="D1380" s="580" t="n"/>
      <c r="E1380" s="581" t="n"/>
      <c r="F1380" s="577" t="n"/>
      <c r="G1380" s="582" t="n"/>
      <c r="H1380" s="583" t="n"/>
      <c r="I1380" s="510" t="n"/>
    </row>
    <row r="1381" ht="19.95" customFormat="1" customHeight="1" s="511">
      <c r="A1381" s="277" t="n"/>
      <c r="B1381" s="285" t="n"/>
      <c r="C1381" s="579" t="n"/>
      <c r="D1381" s="580" t="n"/>
      <c r="E1381" s="581" t="n"/>
      <c r="F1381" s="577" t="n"/>
      <c r="G1381" s="582" t="n"/>
      <c r="H1381" s="583" t="n"/>
      <c r="I1381" s="510" t="n"/>
    </row>
    <row r="1382" ht="19.95" customFormat="1" customHeight="1" s="511">
      <c r="A1382" s="277" t="n"/>
      <c r="B1382" s="285" t="n"/>
      <c r="C1382" s="579" t="n"/>
      <c r="D1382" s="580" t="n"/>
      <c r="E1382" s="581" t="n"/>
      <c r="F1382" s="577" t="n"/>
      <c r="G1382" s="582" t="n"/>
      <c r="H1382" s="583" t="n"/>
      <c r="I1382" s="510" t="n"/>
    </row>
    <row r="1383" ht="19.95" customFormat="1" customHeight="1" s="511">
      <c r="A1383" s="277" t="n"/>
      <c r="B1383" s="285" t="n"/>
      <c r="C1383" s="579" t="n"/>
      <c r="D1383" s="580" t="n"/>
      <c r="E1383" s="581" t="n"/>
      <c r="F1383" s="577" t="n"/>
      <c r="G1383" s="582" t="n"/>
      <c r="H1383" s="583" t="n"/>
      <c r="I1383" s="510" t="n"/>
    </row>
    <row r="1384" ht="19.95" customFormat="1" customHeight="1" s="511">
      <c r="A1384" s="277" t="n"/>
      <c r="B1384" s="285" t="n"/>
      <c r="C1384" s="579" t="n"/>
      <c r="D1384" s="580" t="n"/>
      <c r="E1384" s="581" t="n"/>
      <c r="F1384" s="577" t="n"/>
      <c r="G1384" s="582" t="n"/>
      <c r="H1384" s="583" t="n"/>
      <c r="I1384" s="510" t="n"/>
    </row>
    <row r="1385" ht="19.95" customFormat="1" customHeight="1" s="511">
      <c r="A1385" s="277" t="n"/>
      <c r="B1385" s="285" t="n"/>
      <c r="C1385" s="579" t="n"/>
      <c r="D1385" s="580" t="n"/>
      <c r="E1385" s="581" t="n"/>
      <c r="F1385" s="577" t="n"/>
      <c r="G1385" s="582" t="n"/>
      <c r="H1385" s="583" t="n"/>
      <c r="I1385" s="510" t="n"/>
    </row>
    <row r="1386" ht="19.95" customFormat="1" customHeight="1" s="511">
      <c r="A1386" s="277" t="n"/>
      <c r="B1386" s="285" t="n"/>
      <c r="C1386" s="579" t="n"/>
      <c r="D1386" s="580" t="n"/>
      <c r="E1386" s="581" t="n"/>
      <c r="F1386" s="577" t="n"/>
      <c r="G1386" s="582" t="n"/>
      <c r="H1386" s="583" t="n"/>
      <c r="I1386" s="510" t="n"/>
    </row>
    <row r="1387" ht="19.95" customFormat="1" customHeight="1" s="511">
      <c r="A1387" s="277" t="n"/>
      <c r="B1387" s="285" t="n"/>
      <c r="C1387" s="579" t="n"/>
      <c r="D1387" s="580" t="n"/>
      <c r="E1387" s="581" t="n"/>
      <c r="F1387" s="577" t="n"/>
      <c r="G1387" s="582" t="n"/>
      <c r="H1387" s="583" t="n"/>
      <c r="I1387" s="510" t="n"/>
    </row>
    <row r="1388" ht="19.95" customFormat="1" customHeight="1" s="511">
      <c r="A1388" s="277" t="n"/>
      <c r="B1388" s="285" t="n"/>
      <c r="C1388" s="579" t="n"/>
      <c r="D1388" s="580" t="n"/>
      <c r="E1388" s="581" t="n"/>
      <c r="F1388" s="577" t="n"/>
      <c r="G1388" s="582" t="n"/>
      <c r="H1388" s="583" t="n"/>
      <c r="I1388" s="510" t="n"/>
    </row>
    <row r="1389" ht="19.95" customFormat="1" customHeight="1" s="511">
      <c r="A1389" s="277" t="n"/>
      <c r="B1389" s="285" t="n"/>
      <c r="C1389" s="579" t="n"/>
      <c r="D1389" s="580" t="n"/>
      <c r="E1389" s="581" t="n"/>
      <c r="F1389" s="577" t="n"/>
      <c r="G1389" s="582" t="n"/>
      <c r="H1389" s="583" t="n"/>
      <c r="I1389" s="510" t="n"/>
    </row>
    <row r="1390" ht="19.95" customFormat="1" customHeight="1" s="511">
      <c r="A1390" s="277" t="n"/>
      <c r="B1390" s="285" t="n"/>
      <c r="C1390" s="579" t="n"/>
      <c r="D1390" s="580" t="n"/>
      <c r="E1390" s="581" t="n"/>
      <c r="F1390" s="577" t="n"/>
      <c r="G1390" s="582" t="n"/>
      <c r="H1390" s="583" t="n"/>
      <c r="I1390" s="510" t="n"/>
    </row>
    <row r="1391" ht="19.95" customFormat="1" customHeight="1" s="511">
      <c r="A1391" s="277" t="n"/>
      <c r="B1391" s="285" t="n"/>
      <c r="C1391" s="579" t="n"/>
      <c r="D1391" s="580" t="n"/>
      <c r="E1391" s="581" t="n"/>
      <c r="F1391" s="577" t="n"/>
      <c r="G1391" s="582" t="n"/>
      <c r="H1391" s="583" t="n"/>
      <c r="I1391" s="510" t="n"/>
    </row>
    <row r="1392" ht="19.95" customFormat="1" customHeight="1" s="511">
      <c r="A1392" s="277" t="n"/>
      <c r="B1392" s="285" t="n"/>
      <c r="C1392" s="579" t="n"/>
      <c r="D1392" s="580" t="n"/>
      <c r="E1392" s="581" t="n"/>
      <c r="F1392" s="577" t="n"/>
      <c r="G1392" s="582" t="n"/>
      <c r="H1392" s="583" t="n"/>
      <c r="I1392" s="510" t="n"/>
    </row>
    <row r="1393" ht="19.95" customFormat="1" customHeight="1" s="511">
      <c r="A1393" s="277" t="n"/>
      <c r="B1393" s="285" t="n"/>
      <c r="C1393" s="579" t="n"/>
      <c r="D1393" s="580" t="n"/>
      <c r="E1393" s="581" t="n"/>
      <c r="F1393" s="577" t="n"/>
      <c r="G1393" s="582" t="n"/>
      <c r="H1393" s="583" t="n"/>
      <c r="I1393" s="510" t="n"/>
    </row>
    <row r="1394" ht="19.95" customFormat="1" customHeight="1" s="511">
      <c r="A1394" s="277" t="n"/>
      <c r="B1394" s="285" t="n"/>
      <c r="C1394" s="579" t="n"/>
      <c r="D1394" s="580" t="n"/>
      <c r="E1394" s="581" t="n"/>
      <c r="F1394" s="577" t="n"/>
      <c r="G1394" s="582" t="n"/>
      <c r="H1394" s="583" t="n"/>
      <c r="I1394" s="510" t="n"/>
    </row>
    <row r="1395" ht="19.95" customFormat="1" customHeight="1" s="511">
      <c r="A1395" s="277" t="n"/>
      <c r="B1395" s="285" t="n"/>
      <c r="C1395" s="579" t="n"/>
      <c r="D1395" s="580" t="n"/>
      <c r="E1395" s="581" t="n"/>
      <c r="F1395" s="577" t="n"/>
      <c r="G1395" s="582" t="n"/>
      <c r="H1395" s="583" t="n"/>
      <c r="I1395" s="510" t="n"/>
    </row>
    <row r="1396" ht="19.95" customFormat="1" customHeight="1" s="511">
      <c r="A1396" s="277" t="n"/>
      <c r="B1396" s="285" t="n"/>
      <c r="C1396" s="579" t="n"/>
      <c r="D1396" s="580" t="n"/>
      <c r="E1396" s="581" t="n"/>
      <c r="F1396" s="577" t="n"/>
      <c r="G1396" s="582" t="n"/>
      <c r="H1396" s="583" t="n"/>
      <c r="I1396" s="510" t="n"/>
    </row>
    <row r="1397" ht="19.95" customFormat="1" customHeight="1" s="511">
      <c r="A1397" s="277" t="n"/>
      <c r="B1397" s="285" t="n"/>
      <c r="C1397" s="579" t="n"/>
      <c r="D1397" s="580" t="n"/>
      <c r="E1397" s="581" t="n"/>
      <c r="F1397" s="577" t="n"/>
      <c r="G1397" s="582" t="n"/>
      <c r="H1397" s="583" t="n"/>
      <c r="I1397" s="510" t="n"/>
    </row>
    <row r="1398" ht="19.95" customFormat="1" customHeight="1" s="511">
      <c r="A1398" s="277" t="n"/>
      <c r="B1398" s="285" t="n"/>
      <c r="C1398" s="579" t="n"/>
      <c r="D1398" s="580" t="n"/>
      <c r="E1398" s="581" t="n"/>
      <c r="F1398" s="577" t="n"/>
      <c r="G1398" s="582" t="n"/>
      <c r="H1398" s="583" t="n"/>
      <c r="I1398" s="510" t="n"/>
    </row>
    <row r="1399" ht="19.95" customFormat="1" customHeight="1" s="511">
      <c r="A1399" s="277" t="n"/>
      <c r="B1399" s="285" t="n"/>
      <c r="C1399" s="579" t="n"/>
      <c r="D1399" s="580" t="n"/>
      <c r="E1399" s="581" t="n"/>
      <c r="F1399" s="577" t="n"/>
      <c r="G1399" s="582" t="n"/>
      <c r="H1399" s="583" t="n"/>
      <c r="I1399" s="510" t="n"/>
    </row>
    <row r="1400" ht="19.95" customFormat="1" customHeight="1" s="511">
      <c r="A1400" s="277" t="n"/>
      <c r="B1400" s="285" t="n"/>
      <c r="C1400" s="579" t="n"/>
      <c r="D1400" s="580" t="n"/>
      <c r="E1400" s="581" t="n"/>
      <c r="F1400" s="577" t="n"/>
      <c r="G1400" s="582" t="n"/>
      <c r="H1400" s="583" t="n"/>
      <c r="I1400" s="510" t="n"/>
    </row>
    <row r="1401" ht="19.95" customFormat="1" customHeight="1" s="511">
      <c r="A1401" s="277" t="n"/>
      <c r="B1401" s="285" t="n"/>
      <c r="C1401" s="579" t="n"/>
      <c r="D1401" s="580" t="n"/>
      <c r="E1401" s="581" t="n"/>
      <c r="F1401" s="577" t="n"/>
      <c r="G1401" s="582" t="n"/>
      <c r="H1401" s="583" t="n"/>
      <c r="I1401" s="510" t="n"/>
    </row>
    <row r="1402" ht="19.95" customFormat="1" customHeight="1" s="511">
      <c r="A1402" s="277" t="n"/>
      <c r="B1402" s="285" t="n"/>
      <c r="C1402" s="579" t="n"/>
      <c r="D1402" s="580" t="n"/>
      <c r="E1402" s="581" t="n"/>
      <c r="F1402" s="577" t="n"/>
      <c r="G1402" s="582" t="n"/>
      <c r="H1402" s="583" t="n"/>
      <c r="I1402" s="510" t="n"/>
    </row>
    <row r="1403" ht="19.95" customFormat="1" customHeight="1" s="511">
      <c r="A1403" s="277" t="n"/>
      <c r="B1403" s="285" t="n"/>
      <c r="C1403" s="579" t="n"/>
      <c r="D1403" s="580" t="n"/>
      <c r="E1403" s="581" t="n"/>
      <c r="F1403" s="577" t="n"/>
      <c r="G1403" s="582" t="n"/>
      <c r="H1403" s="583" t="n"/>
      <c r="I1403" s="510" t="n"/>
    </row>
    <row r="1404" ht="19.95" customFormat="1" customHeight="1" s="511">
      <c r="A1404" s="277" t="n"/>
      <c r="B1404" s="285" t="n"/>
      <c r="C1404" s="579" t="n"/>
      <c r="D1404" s="580" t="n"/>
      <c r="E1404" s="581" t="n"/>
      <c r="F1404" s="577" t="n"/>
      <c r="G1404" s="582" t="n"/>
      <c r="H1404" s="583" t="n"/>
      <c r="I1404" s="510" t="n"/>
    </row>
    <row r="1405" ht="19.95" customFormat="1" customHeight="1" s="511">
      <c r="A1405" s="277" t="n"/>
      <c r="B1405" s="285" t="n"/>
      <c r="C1405" s="579" t="n"/>
      <c r="D1405" s="580" t="n"/>
      <c r="E1405" s="581" t="n"/>
      <c r="F1405" s="577" t="n"/>
      <c r="G1405" s="582" t="n"/>
      <c r="H1405" s="583" t="n"/>
      <c r="I1405" s="510" t="n"/>
    </row>
    <row r="1406" ht="19.95" customFormat="1" customHeight="1" s="511">
      <c r="A1406" s="277" t="n"/>
      <c r="B1406" s="285" t="n"/>
      <c r="C1406" s="579" t="n"/>
      <c r="D1406" s="580" t="n"/>
      <c r="E1406" s="581" t="n"/>
      <c r="F1406" s="577" t="n"/>
      <c r="G1406" s="582" t="n"/>
      <c r="H1406" s="583" t="n"/>
      <c r="I1406" s="510" t="n"/>
    </row>
    <row r="1407" ht="19.95" customFormat="1" customHeight="1" s="511">
      <c r="A1407" s="277" t="n"/>
      <c r="B1407" s="285" t="n"/>
      <c r="C1407" s="579" t="n"/>
      <c r="D1407" s="580" t="n"/>
      <c r="E1407" s="581" t="n"/>
      <c r="F1407" s="577" t="n"/>
      <c r="G1407" s="582" t="n"/>
      <c r="H1407" s="583" t="n"/>
      <c r="I1407" s="510" t="n"/>
    </row>
    <row r="1408" ht="19.95" customFormat="1" customHeight="1" s="511">
      <c r="A1408" s="277" t="n"/>
      <c r="B1408" s="285" t="n"/>
      <c r="C1408" s="579" t="n"/>
      <c r="D1408" s="580" t="n"/>
      <c r="E1408" s="581" t="n"/>
      <c r="F1408" s="577" t="n"/>
      <c r="G1408" s="582" t="n"/>
      <c r="H1408" s="583" t="n"/>
      <c r="I1408" s="510" t="n"/>
    </row>
    <row r="1409" ht="19.95" customFormat="1" customHeight="1" s="511">
      <c r="A1409" s="277" t="n"/>
      <c r="B1409" s="285" t="n"/>
      <c r="C1409" s="579" t="n"/>
      <c r="D1409" s="580" t="n"/>
      <c r="E1409" s="581" t="n"/>
      <c r="F1409" s="577" t="n"/>
      <c r="G1409" s="582" t="n"/>
      <c r="H1409" s="583" t="n"/>
      <c r="I1409" s="510" t="n"/>
    </row>
    <row r="1410" ht="19.95" customFormat="1" customHeight="1" s="511">
      <c r="A1410" s="277" t="n"/>
      <c r="B1410" s="285" t="n"/>
      <c r="C1410" s="579" t="n"/>
      <c r="D1410" s="580" t="n"/>
      <c r="E1410" s="581" t="n"/>
      <c r="F1410" s="577" t="n"/>
      <c r="G1410" s="582" t="n"/>
      <c r="H1410" s="583" t="n"/>
      <c r="I1410" s="510" t="n"/>
    </row>
    <row r="1411" ht="19.95" customFormat="1" customHeight="1" s="511">
      <c r="A1411" s="277" t="n"/>
      <c r="B1411" s="285" t="n"/>
      <c r="C1411" s="579" t="n"/>
      <c r="D1411" s="580" t="n"/>
      <c r="E1411" s="581" t="n"/>
      <c r="F1411" s="577" t="n"/>
      <c r="G1411" s="582" t="n"/>
      <c r="H1411" s="583" t="n"/>
      <c r="I1411" s="510" t="n"/>
    </row>
    <row r="1412" ht="19.95" customFormat="1" customHeight="1" s="511">
      <c r="A1412" s="277" t="n"/>
      <c r="B1412" s="285" t="n"/>
      <c r="C1412" s="579" t="n"/>
      <c r="D1412" s="580" t="n"/>
      <c r="E1412" s="581" t="n"/>
      <c r="F1412" s="577" t="n"/>
      <c r="G1412" s="582" t="n"/>
      <c r="H1412" s="583" t="n"/>
      <c r="I1412" s="510" t="n"/>
    </row>
    <row r="1413" ht="19.95" customFormat="1" customHeight="1" s="511">
      <c r="A1413" s="277" t="n"/>
      <c r="B1413" s="285" t="n"/>
      <c r="C1413" s="579" t="n"/>
      <c r="D1413" s="580" t="n"/>
      <c r="E1413" s="581" t="n"/>
      <c r="F1413" s="577" t="n"/>
      <c r="G1413" s="582" t="n"/>
      <c r="H1413" s="583" t="n"/>
      <c r="I1413" s="510" t="n"/>
    </row>
    <row r="1414" ht="19.95" customFormat="1" customHeight="1" s="511">
      <c r="A1414" s="277" t="n"/>
      <c r="B1414" s="285" t="n"/>
      <c r="C1414" s="579" t="n"/>
      <c r="D1414" s="580" t="n"/>
      <c r="E1414" s="581" t="n"/>
      <c r="F1414" s="577" t="n"/>
      <c r="G1414" s="582" t="n"/>
      <c r="H1414" s="583" t="n"/>
      <c r="I1414" s="510" t="n"/>
    </row>
    <row r="1415" ht="19.95" customFormat="1" customHeight="1" s="511">
      <c r="A1415" s="277" t="n"/>
      <c r="B1415" s="285" t="n"/>
      <c r="C1415" s="579" t="n"/>
      <c r="D1415" s="580" t="n"/>
      <c r="E1415" s="581" t="n"/>
      <c r="F1415" s="577" t="n"/>
      <c r="G1415" s="582" t="n"/>
      <c r="H1415" s="583" t="n"/>
      <c r="I1415" s="510" t="n"/>
    </row>
    <row r="1416" ht="19.95" customFormat="1" customHeight="1" s="511">
      <c r="A1416" s="277" t="n"/>
      <c r="B1416" s="285" t="n"/>
      <c r="C1416" s="579" t="n"/>
      <c r="D1416" s="580" t="n"/>
      <c r="E1416" s="581" t="n"/>
      <c r="F1416" s="577" t="n"/>
      <c r="G1416" s="582" t="n"/>
      <c r="H1416" s="583" t="n"/>
      <c r="I1416" s="510" t="n"/>
    </row>
    <row r="1417" ht="19.95" customFormat="1" customHeight="1" s="511">
      <c r="A1417" s="277" t="n"/>
      <c r="B1417" s="285" t="n"/>
      <c r="C1417" s="579" t="n"/>
      <c r="D1417" s="580" t="n"/>
      <c r="E1417" s="581" t="n"/>
      <c r="F1417" s="577" t="n"/>
      <c r="G1417" s="582" t="n"/>
      <c r="H1417" s="583" t="n"/>
      <c r="I1417" s="510" t="n"/>
    </row>
    <row r="1418" ht="19.95" customFormat="1" customHeight="1" s="511">
      <c r="A1418" s="277" t="n"/>
      <c r="B1418" s="285" t="n"/>
      <c r="C1418" s="579" t="n"/>
      <c r="D1418" s="580" t="n"/>
      <c r="E1418" s="581" t="n"/>
      <c r="F1418" s="577" t="n"/>
      <c r="G1418" s="582" t="n"/>
      <c r="H1418" s="583" t="n"/>
      <c r="I1418" s="510" t="n"/>
    </row>
    <row r="1419" ht="19.95" customFormat="1" customHeight="1" s="511">
      <c r="A1419" s="277" t="n"/>
      <c r="B1419" s="285" t="n"/>
      <c r="C1419" s="579" t="n"/>
      <c r="D1419" s="580" t="n"/>
      <c r="E1419" s="581" t="n"/>
      <c r="F1419" s="577" t="n"/>
      <c r="G1419" s="582" t="n"/>
      <c r="H1419" s="583" t="n"/>
      <c r="I1419" s="510" t="n"/>
    </row>
    <row r="1420" ht="19.95" customFormat="1" customHeight="1" s="511">
      <c r="A1420" s="277" t="n"/>
      <c r="B1420" s="285" t="n"/>
      <c r="C1420" s="579" t="n"/>
      <c r="D1420" s="580" t="n"/>
      <c r="E1420" s="581" t="n"/>
      <c r="F1420" s="577" t="n"/>
      <c r="G1420" s="582" t="n"/>
      <c r="H1420" s="583" t="n"/>
      <c r="I1420" s="510" t="n"/>
    </row>
    <row r="1421" ht="19.95" customFormat="1" customHeight="1" s="511">
      <c r="A1421" s="277" t="n"/>
      <c r="B1421" s="285" t="n"/>
      <c r="C1421" s="579" t="n"/>
      <c r="D1421" s="580" t="n"/>
      <c r="E1421" s="581" t="n"/>
      <c r="F1421" s="577" t="n"/>
      <c r="G1421" s="582" t="n"/>
      <c r="H1421" s="583" t="n"/>
      <c r="I1421" s="510" t="n"/>
    </row>
    <row r="1422" ht="19.95" customFormat="1" customHeight="1" s="511">
      <c r="A1422" s="277" t="n"/>
      <c r="B1422" s="285" t="n"/>
      <c r="C1422" s="579" t="n"/>
      <c r="D1422" s="580" t="n"/>
      <c r="E1422" s="581" t="n"/>
      <c r="F1422" s="577" t="n"/>
      <c r="G1422" s="582" t="n"/>
      <c r="H1422" s="583" t="n"/>
      <c r="I1422" s="510" t="n"/>
    </row>
    <row r="1423" ht="19.95" customFormat="1" customHeight="1" s="511">
      <c r="A1423" s="277" t="n"/>
      <c r="B1423" s="285" t="n"/>
      <c r="C1423" s="579" t="n"/>
      <c r="D1423" s="580" t="n"/>
      <c r="E1423" s="581" t="n"/>
      <c r="F1423" s="577" t="n"/>
      <c r="G1423" s="582" t="n"/>
      <c r="H1423" s="583" t="n"/>
      <c r="I1423" s="510" t="n"/>
    </row>
    <row r="1424" ht="19.95" customFormat="1" customHeight="1" s="511">
      <c r="A1424" s="277" t="n"/>
      <c r="B1424" s="285" t="n"/>
      <c r="C1424" s="579" t="n"/>
      <c r="D1424" s="580" t="n"/>
      <c r="E1424" s="581" t="n"/>
      <c r="F1424" s="577" t="n"/>
      <c r="G1424" s="582" t="n"/>
      <c r="H1424" s="583" t="n"/>
      <c r="I1424" s="510" t="n"/>
    </row>
    <row r="1425" ht="19.95" customFormat="1" customHeight="1" s="511">
      <c r="A1425" s="277" t="n"/>
      <c r="B1425" s="285" t="n"/>
      <c r="C1425" s="579" t="n"/>
      <c r="D1425" s="580" t="n"/>
      <c r="E1425" s="581" t="n"/>
      <c r="F1425" s="577" t="n"/>
      <c r="G1425" s="582" t="n"/>
      <c r="H1425" s="583" t="n"/>
      <c r="I1425" s="510" t="n"/>
    </row>
    <row r="1426" ht="19.95" customFormat="1" customHeight="1" s="511">
      <c r="A1426" s="277" t="n"/>
      <c r="B1426" s="285" t="n"/>
      <c r="C1426" s="579" t="n"/>
      <c r="D1426" s="580" t="n"/>
      <c r="E1426" s="581" t="n"/>
      <c r="F1426" s="577" t="n"/>
      <c r="G1426" s="582" t="n"/>
      <c r="H1426" s="583" t="n"/>
      <c r="I1426" s="510" t="n"/>
    </row>
    <row r="1427" ht="19.95" customFormat="1" customHeight="1" s="511">
      <c r="A1427" s="277" t="n"/>
      <c r="B1427" s="285" t="n"/>
      <c r="C1427" s="579" t="n"/>
      <c r="D1427" s="580" t="n"/>
      <c r="E1427" s="581" t="n"/>
      <c r="F1427" s="577" t="n"/>
      <c r="G1427" s="582" t="n"/>
      <c r="H1427" s="583" t="n"/>
      <c r="I1427" s="510" t="n"/>
    </row>
    <row r="1428" ht="19.95" customFormat="1" customHeight="1" s="511">
      <c r="A1428" s="277" t="n"/>
      <c r="B1428" s="285" t="n"/>
      <c r="C1428" s="579" t="n"/>
      <c r="D1428" s="580" t="n"/>
      <c r="E1428" s="581" t="n"/>
      <c r="F1428" s="577" t="n"/>
      <c r="G1428" s="582" t="n"/>
      <c r="H1428" s="583" t="n"/>
      <c r="I1428" s="510" t="n"/>
    </row>
    <row r="1429" ht="19.95" customFormat="1" customHeight="1" s="511">
      <c r="A1429" s="277" t="n"/>
      <c r="B1429" s="285" t="n"/>
      <c r="C1429" s="579" t="n"/>
      <c r="D1429" s="580" t="n"/>
      <c r="E1429" s="581" t="n"/>
      <c r="F1429" s="577" t="n"/>
      <c r="G1429" s="582" t="n"/>
      <c r="H1429" s="583" t="n"/>
      <c r="I1429" s="510" t="n"/>
    </row>
    <row r="1430" ht="19.95" customFormat="1" customHeight="1" s="511">
      <c r="A1430" s="277" t="n"/>
      <c r="B1430" s="285" t="n"/>
      <c r="C1430" s="579" t="n"/>
      <c r="D1430" s="580" t="n"/>
      <c r="E1430" s="581" t="n"/>
      <c r="F1430" s="577" t="n"/>
      <c r="G1430" s="582" t="n"/>
      <c r="H1430" s="583" t="n"/>
      <c r="I1430" s="510" t="n"/>
    </row>
    <row r="1431" ht="19.95" customFormat="1" customHeight="1" s="511">
      <c r="A1431" s="277" t="n"/>
      <c r="B1431" s="285" t="n"/>
      <c r="C1431" s="579" t="n"/>
      <c r="D1431" s="580" t="n"/>
      <c r="E1431" s="581" t="n"/>
      <c r="F1431" s="577" t="n"/>
      <c r="G1431" s="582" t="n"/>
      <c r="H1431" s="583" t="n"/>
      <c r="I1431" s="510" t="n"/>
    </row>
    <row r="1432" ht="19.95" customFormat="1" customHeight="1" s="511">
      <c r="A1432" s="277" t="n"/>
      <c r="B1432" s="285" t="n"/>
      <c r="C1432" s="579" t="n"/>
      <c r="D1432" s="580" t="n"/>
      <c r="E1432" s="581" t="n"/>
      <c r="F1432" s="577" t="n"/>
      <c r="G1432" s="582" t="n"/>
      <c r="H1432" s="583" t="n"/>
      <c r="I1432" s="510" t="n"/>
    </row>
    <row r="1433" ht="19.95" customFormat="1" customHeight="1" s="511">
      <c r="A1433" s="277" t="n"/>
      <c r="B1433" s="285" t="n"/>
      <c r="C1433" s="579" t="n"/>
      <c r="D1433" s="580" t="n"/>
      <c r="E1433" s="581" t="n"/>
      <c r="F1433" s="577" t="n"/>
      <c r="G1433" s="582" t="n"/>
      <c r="H1433" s="583" t="n"/>
      <c r="I1433" s="510" t="n"/>
    </row>
    <row r="1434" ht="19.95" customFormat="1" customHeight="1" s="511">
      <c r="A1434" s="277" t="n"/>
      <c r="B1434" s="285" t="n"/>
      <c r="C1434" s="579" t="n"/>
      <c r="D1434" s="580" t="n"/>
      <c r="E1434" s="581" t="n"/>
      <c r="F1434" s="577" t="n"/>
      <c r="G1434" s="582" t="n"/>
      <c r="H1434" s="583" t="n"/>
      <c r="I1434" s="510" t="n"/>
    </row>
    <row r="1435" ht="19.95" customFormat="1" customHeight="1" s="511">
      <c r="A1435" s="277" t="n"/>
      <c r="B1435" s="285" t="n"/>
      <c r="C1435" s="579" t="n"/>
      <c r="D1435" s="580" t="n"/>
      <c r="E1435" s="581" t="n"/>
      <c r="F1435" s="577" t="n"/>
      <c r="G1435" s="582" t="n"/>
      <c r="H1435" s="583" t="n"/>
      <c r="I1435" s="510" t="n"/>
    </row>
    <row r="1436" ht="19.95" customFormat="1" customHeight="1" s="511">
      <c r="A1436" s="277" t="n"/>
      <c r="B1436" s="285" t="n"/>
      <c r="C1436" s="579" t="n"/>
      <c r="D1436" s="580" t="n"/>
      <c r="E1436" s="581" t="n"/>
      <c r="F1436" s="577" t="n"/>
      <c r="G1436" s="582" t="n"/>
      <c r="H1436" s="583" t="n"/>
      <c r="I1436" s="510" t="n"/>
    </row>
    <row r="1437" ht="19.95" customFormat="1" customHeight="1" s="511">
      <c r="A1437" s="277" t="n"/>
      <c r="B1437" s="285" t="n"/>
      <c r="C1437" s="579" t="n"/>
      <c r="D1437" s="580" t="n"/>
      <c r="E1437" s="581" t="n"/>
      <c r="F1437" s="577" t="n"/>
      <c r="G1437" s="582" t="n"/>
      <c r="H1437" s="583" t="n"/>
      <c r="I1437" s="510" t="n"/>
    </row>
    <row r="1438" ht="19.95" customFormat="1" customHeight="1" s="511">
      <c r="A1438" s="277" t="n"/>
      <c r="B1438" s="285" t="n"/>
      <c r="C1438" s="579" t="n"/>
      <c r="D1438" s="580" t="n"/>
      <c r="E1438" s="581" t="n"/>
      <c r="F1438" s="577" t="n"/>
      <c r="G1438" s="582" t="n"/>
      <c r="H1438" s="583" t="n"/>
      <c r="I1438" s="510" t="n"/>
    </row>
    <row r="1439" ht="19.95" customFormat="1" customHeight="1" s="511">
      <c r="A1439" s="277" t="n"/>
      <c r="B1439" s="285" t="n"/>
      <c r="C1439" s="579" t="n"/>
      <c r="D1439" s="580" t="n"/>
      <c r="E1439" s="581" t="n"/>
      <c r="F1439" s="577" t="n"/>
      <c r="G1439" s="582" t="n"/>
      <c r="H1439" s="583" t="n"/>
      <c r="I1439" s="510" t="n"/>
    </row>
    <row r="1440" ht="19.95" customFormat="1" customHeight="1" s="511">
      <c r="A1440" s="277" t="n"/>
      <c r="B1440" s="285" t="n"/>
      <c r="C1440" s="579" t="n"/>
      <c r="D1440" s="580" t="n"/>
      <c r="E1440" s="581" t="n"/>
      <c r="F1440" s="577" t="n"/>
      <c r="G1440" s="582" t="n"/>
      <c r="H1440" s="583" t="n"/>
      <c r="I1440" s="510" t="n"/>
    </row>
    <row r="1441" ht="19.95" customFormat="1" customHeight="1" s="511">
      <c r="A1441" s="277" t="n"/>
      <c r="B1441" s="285" t="n"/>
      <c r="C1441" s="579" t="n"/>
      <c r="D1441" s="580" t="n"/>
      <c r="E1441" s="581" t="n"/>
      <c r="F1441" s="577" t="n"/>
      <c r="G1441" s="582" t="n"/>
      <c r="H1441" s="583" t="n"/>
      <c r="I1441" s="510" t="n"/>
    </row>
    <row r="1442" ht="19.95" customFormat="1" customHeight="1" s="511">
      <c r="A1442" s="277" t="n"/>
      <c r="B1442" s="285" t="n"/>
      <c r="C1442" s="579" t="n"/>
      <c r="D1442" s="580" t="n"/>
      <c r="E1442" s="581" t="n"/>
      <c r="F1442" s="577" t="n"/>
      <c r="G1442" s="582" t="n"/>
      <c r="H1442" s="583" t="n"/>
      <c r="I1442" s="510" t="n"/>
    </row>
    <row r="1443" ht="19.95" customFormat="1" customHeight="1" s="511">
      <c r="A1443" s="277" t="n"/>
      <c r="B1443" s="285" t="n"/>
      <c r="C1443" s="579" t="n"/>
      <c r="D1443" s="580" t="n"/>
      <c r="E1443" s="581" t="n"/>
      <c r="F1443" s="577" t="n"/>
      <c r="G1443" s="582" t="n"/>
      <c r="H1443" s="583" t="n"/>
      <c r="I1443" s="510" t="n"/>
    </row>
    <row r="1444" ht="19.95" customFormat="1" customHeight="1" s="511">
      <c r="A1444" s="277" t="n"/>
      <c r="B1444" s="285" t="n"/>
      <c r="C1444" s="579" t="n"/>
      <c r="D1444" s="580" t="n"/>
      <c r="E1444" s="581" t="n"/>
      <c r="F1444" s="577" t="n"/>
      <c r="G1444" s="582" t="n"/>
      <c r="H1444" s="583" t="n"/>
      <c r="I1444" s="510" t="n"/>
    </row>
    <row r="1445" ht="19.95" customFormat="1" customHeight="1" s="511">
      <c r="A1445" s="277" t="n"/>
      <c r="B1445" s="285" t="n"/>
      <c r="C1445" s="579" t="n"/>
      <c r="D1445" s="580" t="n"/>
      <c r="E1445" s="581" t="n"/>
      <c r="F1445" s="577" t="n"/>
      <c r="G1445" s="582" t="n"/>
      <c r="H1445" s="583" t="n"/>
      <c r="I1445" s="510" t="n"/>
    </row>
    <row r="1446" ht="19.95" customFormat="1" customHeight="1" s="511">
      <c r="A1446" s="277" t="n"/>
      <c r="B1446" s="285" t="n"/>
      <c r="C1446" s="579" t="n"/>
      <c r="D1446" s="580" t="n"/>
      <c r="E1446" s="581" t="n"/>
      <c r="F1446" s="577" t="n"/>
      <c r="G1446" s="582" t="n"/>
      <c r="H1446" s="583" t="n"/>
      <c r="I1446" s="510" t="n"/>
    </row>
    <row r="1447" ht="19.95" customFormat="1" customHeight="1" s="511">
      <c r="A1447" s="277" t="n"/>
      <c r="B1447" s="285" t="n"/>
      <c r="C1447" s="579" t="n"/>
      <c r="D1447" s="580" t="n"/>
      <c r="E1447" s="581" t="n"/>
      <c r="F1447" s="577" t="n"/>
      <c r="G1447" s="582" t="n"/>
      <c r="H1447" s="583" t="n"/>
      <c r="I1447" s="510" t="n"/>
    </row>
    <row r="1448" ht="19.95" customFormat="1" customHeight="1" s="511">
      <c r="A1448" s="277" t="n"/>
      <c r="B1448" s="285" t="n"/>
      <c r="C1448" s="579" t="n"/>
      <c r="D1448" s="580" t="n"/>
      <c r="E1448" s="581" t="n"/>
      <c r="F1448" s="577" t="n"/>
      <c r="G1448" s="582" t="n"/>
      <c r="H1448" s="583" t="n"/>
      <c r="I1448" s="510" t="n"/>
    </row>
    <row r="1449" ht="19.95" customFormat="1" customHeight="1" s="511">
      <c r="A1449" s="277" t="n"/>
      <c r="B1449" s="285" t="n"/>
      <c r="C1449" s="579" t="n"/>
      <c r="D1449" s="580" t="n"/>
      <c r="E1449" s="581" t="n"/>
      <c r="F1449" s="577" t="n"/>
      <c r="G1449" s="582" t="n"/>
      <c r="H1449" s="583" t="n"/>
      <c r="I1449" s="510" t="n"/>
    </row>
    <row r="1450" ht="19.95" customFormat="1" customHeight="1" s="511">
      <c r="A1450" s="277" t="n"/>
      <c r="B1450" s="285" t="n"/>
      <c r="C1450" s="579" t="n"/>
      <c r="D1450" s="580" t="n"/>
      <c r="E1450" s="581" t="n"/>
      <c r="F1450" s="577" t="n"/>
      <c r="G1450" s="582" t="n"/>
      <c r="H1450" s="583" t="n"/>
      <c r="I1450" s="510" t="n"/>
    </row>
    <row r="1451" ht="19.95" customFormat="1" customHeight="1" s="511">
      <c r="A1451" s="277" t="n"/>
      <c r="B1451" s="285" t="n"/>
      <c r="C1451" s="579" t="n"/>
      <c r="D1451" s="580" t="n"/>
      <c r="E1451" s="581" t="n"/>
      <c r="F1451" s="577" t="n"/>
      <c r="G1451" s="582" t="n"/>
      <c r="H1451" s="583" t="n"/>
      <c r="I1451" s="510" t="n"/>
    </row>
    <row r="1452" ht="19.95" customFormat="1" customHeight="1" s="511">
      <c r="A1452" s="277" t="n"/>
      <c r="B1452" s="285" t="n"/>
      <c r="C1452" s="579" t="n"/>
      <c r="D1452" s="580" t="n"/>
      <c r="E1452" s="581" t="n"/>
      <c r="F1452" s="577" t="n"/>
      <c r="G1452" s="582" t="n"/>
      <c r="H1452" s="583" t="n"/>
      <c r="I1452" s="510" t="n"/>
    </row>
    <row r="1453" ht="19.95" customFormat="1" customHeight="1" s="511">
      <c r="A1453" s="277" t="n"/>
      <c r="B1453" s="285" t="n"/>
      <c r="C1453" s="579" t="n"/>
      <c r="D1453" s="580" t="n"/>
      <c r="E1453" s="581" t="n"/>
      <c r="F1453" s="577" t="n"/>
      <c r="G1453" s="582" t="n"/>
      <c r="H1453" s="583" t="n"/>
      <c r="I1453" s="510" t="n"/>
    </row>
    <row r="1454" ht="19.95" customFormat="1" customHeight="1" s="511">
      <c r="A1454" s="277" t="n"/>
      <c r="B1454" s="285" t="n"/>
      <c r="C1454" s="579" t="n"/>
      <c r="D1454" s="580" t="n"/>
      <c r="E1454" s="581" t="n"/>
      <c r="F1454" s="577" t="n"/>
      <c r="G1454" s="582" t="n"/>
      <c r="H1454" s="583" t="n"/>
      <c r="I1454" s="510" t="n"/>
    </row>
    <row r="1455" ht="19.95" customFormat="1" customHeight="1" s="511">
      <c r="A1455" s="277" t="n"/>
      <c r="B1455" s="285" t="n"/>
      <c r="C1455" s="579" t="n"/>
      <c r="D1455" s="580" t="n"/>
      <c r="E1455" s="581" t="n"/>
      <c r="F1455" s="577" t="n"/>
      <c r="G1455" s="582" t="n"/>
      <c r="H1455" s="583" t="n"/>
      <c r="I1455" s="510" t="n"/>
    </row>
    <row r="1456" ht="19.95" customFormat="1" customHeight="1" s="511">
      <c r="A1456" s="277" t="n"/>
      <c r="B1456" s="285" t="n"/>
      <c r="C1456" s="579" t="n"/>
      <c r="D1456" s="580" t="n"/>
      <c r="E1456" s="581" t="n"/>
      <c r="F1456" s="577" t="n"/>
      <c r="G1456" s="582" t="n"/>
      <c r="H1456" s="583" t="n"/>
      <c r="I1456" s="510" t="n"/>
    </row>
    <row r="1457" ht="19.95" customFormat="1" customHeight="1" s="511">
      <c r="A1457" s="277" t="n"/>
      <c r="B1457" s="285" t="n"/>
      <c r="C1457" s="579" t="n"/>
      <c r="D1457" s="580" t="n"/>
      <c r="E1457" s="581" t="n"/>
      <c r="F1457" s="577" t="n"/>
      <c r="G1457" s="582" t="n"/>
      <c r="H1457" s="583" t="n"/>
      <c r="I1457" s="510" t="n"/>
    </row>
    <row r="1458" ht="19.95" customFormat="1" customHeight="1" s="511">
      <c r="A1458" s="277" t="n"/>
      <c r="B1458" s="285" t="n"/>
      <c r="C1458" s="579" t="n"/>
      <c r="D1458" s="580" t="n"/>
      <c r="E1458" s="581" t="n"/>
      <c r="F1458" s="577" t="n"/>
      <c r="G1458" s="582" t="n"/>
      <c r="H1458" s="583" t="n"/>
      <c r="I1458" s="510" t="n"/>
    </row>
    <row r="1459" ht="19.95" customFormat="1" customHeight="1" s="511">
      <c r="A1459" s="277" t="n"/>
      <c r="B1459" s="285" t="n"/>
      <c r="C1459" s="579" t="n"/>
      <c r="D1459" s="580" t="n"/>
      <c r="E1459" s="581" t="n"/>
      <c r="F1459" s="577" t="n"/>
      <c r="G1459" s="582" t="n"/>
      <c r="H1459" s="583" t="n"/>
      <c r="I1459" s="510" t="n"/>
    </row>
    <row r="1460" ht="19.95" customFormat="1" customHeight="1" s="511">
      <c r="A1460" s="277" t="n"/>
      <c r="B1460" s="285" t="n"/>
      <c r="C1460" s="579" t="n"/>
      <c r="D1460" s="580" t="n"/>
      <c r="E1460" s="581" t="n"/>
      <c r="F1460" s="577" t="n"/>
      <c r="G1460" s="582" t="n"/>
      <c r="H1460" s="583" t="n"/>
      <c r="I1460" s="510" t="n"/>
    </row>
    <row r="1461" ht="19.95" customFormat="1" customHeight="1" s="511">
      <c r="A1461" s="277" t="n"/>
      <c r="B1461" s="285" t="n"/>
      <c r="C1461" s="579" t="n"/>
      <c r="D1461" s="580" t="n"/>
      <c r="E1461" s="581" t="n"/>
      <c r="F1461" s="577" t="n"/>
      <c r="G1461" s="582" t="n"/>
      <c r="H1461" s="583" t="n"/>
      <c r="I1461" s="510" t="n"/>
    </row>
    <row r="1462" ht="19.95" customFormat="1" customHeight="1" s="511">
      <c r="A1462" s="277" t="n"/>
      <c r="B1462" s="285" t="n"/>
      <c r="C1462" s="579" t="n"/>
      <c r="D1462" s="580" t="n"/>
      <c r="E1462" s="581" t="n"/>
      <c r="F1462" s="577" t="n"/>
      <c r="G1462" s="582" t="n"/>
      <c r="H1462" s="583" t="n"/>
      <c r="I1462" s="510" t="n"/>
    </row>
    <row r="1463" ht="19.95" customFormat="1" customHeight="1" s="511">
      <c r="A1463" s="277" t="n"/>
      <c r="B1463" s="285" t="n"/>
      <c r="C1463" s="579" t="n"/>
      <c r="D1463" s="580" t="n"/>
      <c r="E1463" s="581" t="n"/>
      <c r="F1463" s="577" t="n"/>
      <c r="G1463" s="582" t="n"/>
      <c r="H1463" s="583" t="n"/>
      <c r="I1463" s="510" t="n"/>
    </row>
    <row r="1464" ht="19.95" customFormat="1" customHeight="1" s="511">
      <c r="A1464" s="277" t="n"/>
      <c r="B1464" s="285" t="n"/>
      <c r="C1464" s="579" t="n"/>
      <c r="D1464" s="580" t="n"/>
      <c r="E1464" s="581" t="n"/>
      <c r="F1464" s="577" t="n"/>
      <c r="G1464" s="582" t="n"/>
      <c r="H1464" s="583" t="n"/>
      <c r="I1464" s="510" t="n"/>
    </row>
    <row r="1465" ht="19.95" customFormat="1" customHeight="1" s="511">
      <c r="A1465" s="277" t="n"/>
      <c r="B1465" s="285" t="n"/>
      <c r="C1465" s="579" t="n"/>
      <c r="D1465" s="580" t="n"/>
      <c r="E1465" s="581" t="n"/>
      <c r="F1465" s="577" t="n"/>
      <c r="G1465" s="582" t="n"/>
      <c r="H1465" s="583" t="n"/>
      <c r="I1465" s="510" t="n"/>
    </row>
    <row r="1466" ht="19.95" customFormat="1" customHeight="1" s="511">
      <c r="A1466" s="277" t="n"/>
      <c r="B1466" s="285" t="n"/>
      <c r="C1466" s="579" t="n"/>
      <c r="D1466" s="580" t="n"/>
      <c r="E1466" s="581" t="n"/>
      <c r="F1466" s="577" t="n"/>
      <c r="G1466" s="582" t="n"/>
      <c r="H1466" s="583" t="n"/>
      <c r="I1466" s="510" t="n"/>
    </row>
    <row r="1467" ht="19.95" customFormat="1" customHeight="1" s="511">
      <c r="A1467" s="277" t="n"/>
      <c r="B1467" s="285" t="n"/>
      <c r="C1467" s="579" t="n"/>
      <c r="D1467" s="580" t="n"/>
      <c r="E1467" s="581" t="n"/>
      <c r="F1467" s="577" t="n"/>
      <c r="G1467" s="582" t="n"/>
      <c r="H1467" s="583" t="n"/>
      <c r="I1467" s="510" t="n"/>
    </row>
    <row r="1468" ht="19.95" customFormat="1" customHeight="1" s="511">
      <c r="A1468" s="277" t="n"/>
      <c r="B1468" s="285" t="n"/>
      <c r="C1468" s="579" t="n"/>
      <c r="D1468" s="580" t="n"/>
      <c r="E1468" s="581" t="n"/>
      <c r="F1468" s="577" t="n"/>
      <c r="G1468" s="582" t="n"/>
      <c r="H1468" s="583" t="n"/>
      <c r="I1468" s="510" t="n"/>
    </row>
    <row r="1469" ht="19.95" customFormat="1" customHeight="1" s="511">
      <c r="A1469" s="277" t="n"/>
      <c r="B1469" s="285" t="n"/>
      <c r="C1469" s="579" t="n"/>
      <c r="D1469" s="580" t="n"/>
      <c r="E1469" s="581" t="n"/>
      <c r="F1469" s="577" t="n"/>
      <c r="G1469" s="582" t="n"/>
      <c r="H1469" s="583" t="n"/>
      <c r="I1469" s="510" t="n"/>
    </row>
    <row r="1470" ht="19.95" customFormat="1" customHeight="1" s="511">
      <c r="A1470" s="277" t="n"/>
      <c r="B1470" s="285" t="n"/>
      <c r="C1470" s="579" t="n"/>
      <c r="D1470" s="580" t="n"/>
      <c r="E1470" s="581" t="n"/>
      <c r="F1470" s="577" t="n"/>
      <c r="G1470" s="582" t="n"/>
      <c r="H1470" s="583" t="n"/>
      <c r="I1470" s="510" t="n"/>
    </row>
    <row r="1471" ht="19.95" customFormat="1" customHeight="1" s="511">
      <c r="A1471" s="277" t="n"/>
      <c r="B1471" s="285" t="n"/>
      <c r="C1471" s="579" t="n"/>
      <c r="D1471" s="580" t="n"/>
      <c r="E1471" s="581" t="n"/>
      <c r="F1471" s="577" t="n"/>
      <c r="G1471" s="582" t="n"/>
      <c r="H1471" s="583" t="n"/>
      <c r="I1471" s="510" t="n"/>
    </row>
    <row r="1472" ht="19.95" customFormat="1" customHeight="1" s="511">
      <c r="A1472" s="277" t="n"/>
      <c r="B1472" s="285" t="n"/>
      <c r="C1472" s="579" t="n"/>
      <c r="D1472" s="580" t="n"/>
      <c r="E1472" s="581" t="n"/>
      <c r="F1472" s="577" t="n"/>
      <c r="G1472" s="582" t="n"/>
      <c r="H1472" s="583" t="n"/>
      <c r="I1472" s="510" t="n"/>
    </row>
    <row r="1473" ht="19.95" customFormat="1" customHeight="1" s="511">
      <c r="A1473" s="277" t="n"/>
      <c r="B1473" s="285" t="n"/>
      <c r="C1473" s="579" t="n"/>
      <c r="D1473" s="580" t="n"/>
      <c r="E1473" s="581" t="n"/>
      <c r="F1473" s="577" t="n"/>
      <c r="G1473" s="582" t="n"/>
      <c r="H1473" s="583" t="n"/>
      <c r="I1473" s="510" t="n"/>
    </row>
    <row r="1474" ht="19.95" customFormat="1" customHeight="1" s="511">
      <c r="A1474" s="277" t="n"/>
      <c r="B1474" s="285" t="n"/>
      <c r="C1474" s="579" t="n"/>
      <c r="D1474" s="580" t="n"/>
      <c r="E1474" s="581" t="n"/>
      <c r="F1474" s="577" t="n"/>
      <c r="G1474" s="582" t="n"/>
      <c r="H1474" s="583" t="n"/>
      <c r="I1474" s="510" t="n"/>
    </row>
    <row r="1475" ht="19.95" customFormat="1" customHeight="1" s="511">
      <c r="A1475" s="277" t="n"/>
      <c r="B1475" s="285" t="n"/>
      <c r="C1475" s="579" t="n"/>
      <c r="D1475" s="580" t="n"/>
      <c r="E1475" s="581" t="n"/>
      <c r="F1475" s="577" t="n"/>
      <c r="G1475" s="582" t="n"/>
      <c r="H1475" s="583" t="n"/>
      <c r="I1475" s="510" t="n"/>
    </row>
    <row r="1476" ht="19.95" customFormat="1" customHeight="1" s="511">
      <c r="A1476" s="277" t="n"/>
      <c r="B1476" s="285" t="n"/>
      <c r="C1476" s="579" t="n"/>
      <c r="D1476" s="580" t="n"/>
      <c r="E1476" s="581" t="n"/>
      <c r="F1476" s="577" t="n"/>
      <c r="G1476" s="582" t="n"/>
      <c r="H1476" s="583" t="n"/>
      <c r="I1476" s="510" t="n"/>
    </row>
    <row r="1477" ht="19.95" customFormat="1" customHeight="1" s="511">
      <c r="A1477" s="277" t="n"/>
      <c r="B1477" s="285" t="n"/>
      <c r="C1477" s="579" t="n"/>
      <c r="D1477" s="580" t="n"/>
      <c r="E1477" s="581" t="n"/>
      <c r="F1477" s="577" t="n"/>
      <c r="G1477" s="582" t="n"/>
      <c r="H1477" s="583" t="n"/>
      <c r="I1477" s="510" t="n"/>
    </row>
    <row r="1478" ht="19.95" customFormat="1" customHeight="1" s="511">
      <c r="A1478" s="277" t="n"/>
      <c r="B1478" s="285" t="n"/>
      <c r="C1478" s="579" t="n"/>
      <c r="D1478" s="580" t="n"/>
      <c r="E1478" s="581" t="n"/>
      <c r="F1478" s="577" t="n"/>
      <c r="G1478" s="582" t="n"/>
      <c r="H1478" s="583" t="n"/>
      <c r="I1478" s="510" t="n"/>
    </row>
    <row r="1479" ht="19.95" customFormat="1" customHeight="1" s="511">
      <c r="A1479" s="277" t="n"/>
      <c r="B1479" s="285" t="n"/>
      <c r="C1479" s="579" t="n"/>
      <c r="D1479" s="580" t="n"/>
      <c r="E1479" s="581" t="n"/>
      <c r="F1479" s="577" t="n"/>
      <c r="G1479" s="582" t="n"/>
      <c r="H1479" s="583" t="n"/>
      <c r="I1479" s="510" t="n"/>
    </row>
    <row r="1480" ht="19.95" customFormat="1" customHeight="1" s="511">
      <c r="A1480" s="277" t="n"/>
      <c r="B1480" s="285" t="n"/>
      <c r="C1480" s="579" t="n"/>
      <c r="D1480" s="580" t="n"/>
      <c r="E1480" s="581" t="n"/>
      <c r="F1480" s="577" t="n"/>
      <c r="G1480" s="582" t="n"/>
      <c r="H1480" s="583" t="n"/>
      <c r="I1480" s="510" t="n"/>
    </row>
    <row r="1481" ht="19.95" customFormat="1" customHeight="1" s="511">
      <c r="A1481" s="277" t="n"/>
      <c r="B1481" s="285" t="n"/>
      <c r="C1481" s="579" t="n"/>
      <c r="D1481" s="580" t="n"/>
      <c r="E1481" s="581" t="n"/>
      <c r="F1481" s="577" t="n"/>
      <c r="G1481" s="582" t="n"/>
      <c r="H1481" s="583" t="n"/>
      <c r="I1481" s="510" t="n"/>
    </row>
    <row r="1482" ht="19.95" customFormat="1" customHeight="1" s="511">
      <c r="A1482" s="277" t="n"/>
      <c r="B1482" s="285" t="n"/>
      <c r="C1482" s="579" t="n"/>
      <c r="D1482" s="580" t="n"/>
      <c r="E1482" s="581" t="n"/>
      <c r="F1482" s="577" t="n"/>
      <c r="G1482" s="582" t="n"/>
      <c r="H1482" s="583" t="n"/>
      <c r="I1482" s="510" t="n"/>
    </row>
    <row r="1483" ht="19.95" customFormat="1" customHeight="1" s="511">
      <c r="A1483" s="277" t="n"/>
      <c r="B1483" s="285" t="n"/>
      <c r="C1483" s="579" t="n"/>
      <c r="D1483" s="580" t="n"/>
      <c r="E1483" s="581" t="n"/>
      <c r="F1483" s="577" t="n"/>
      <c r="G1483" s="582" t="n"/>
      <c r="H1483" s="583" t="n"/>
      <c r="I1483" s="510" t="n"/>
    </row>
    <row r="1484" ht="19.95" customFormat="1" customHeight="1" s="511">
      <c r="A1484" s="277" t="n"/>
      <c r="B1484" s="285" t="n"/>
      <c r="C1484" s="579" t="n"/>
      <c r="D1484" s="580" t="n"/>
      <c r="E1484" s="581" t="n"/>
      <c r="F1484" s="577" t="n"/>
      <c r="G1484" s="582" t="n"/>
      <c r="H1484" s="583" t="n"/>
      <c r="I1484" s="510" t="n"/>
    </row>
    <row r="1485" ht="19.95" customFormat="1" customHeight="1" s="511">
      <c r="A1485" s="277" t="n"/>
      <c r="B1485" s="285" t="n"/>
      <c r="C1485" s="579" t="n"/>
      <c r="D1485" s="580" t="n"/>
      <c r="E1485" s="581" t="n"/>
      <c r="F1485" s="577" t="n"/>
      <c r="G1485" s="582" t="n"/>
      <c r="H1485" s="583" t="n"/>
      <c r="I1485" s="510" t="n"/>
    </row>
    <row r="1486" ht="19.95" customFormat="1" customHeight="1" s="511">
      <c r="A1486" s="277" t="n"/>
      <c r="B1486" s="285" t="n"/>
      <c r="C1486" s="579" t="n"/>
      <c r="D1486" s="580" t="n"/>
      <c r="E1486" s="581" t="n"/>
      <c r="F1486" s="577" t="n"/>
      <c r="G1486" s="582" t="n"/>
      <c r="H1486" s="583" t="n"/>
      <c r="I1486" s="510" t="n"/>
    </row>
    <row r="1487" ht="19.95" customFormat="1" customHeight="1" s="511">
      <c r="A1487" s="277" t="n"/>
      <c r="B1487" s="285" t="n"/>
      <c r="C1487" s="579" t="n"/>
      <c r="D1487" s="580" t="n"/>
      <c r="E1487" s="581" t="n"/>
      <c r="F1487" s="577" t="n"/>
      <c r="G1487" s="582" t="n"/>
      <c r="H1487" s="583" t="n"/>
      <c r="I1487" s="510" t="n"/>
    </row>
    <row r="1488" ht="19.95" customFormat="1" customHeight="1" s="511">
      <c r="A1488" s="277" t="n"/>
      <c r="B1488" s="285" t="n"/>
      <c r="C1488" s="579" t="n"/>
      <c r="D1488" s="580" t="n"/>
      <c r="E1488" s="581" t="n"/>
      <c r="F1488" s="577" t="n"/>
      <c r="G1488" s="582" t="n"/>
      <c r="H1488" s="583" t="n"/>
      <c r="I1488" s="510" t="n"/>
    </row>
    <row r="1489" ht="19.95" customFormat="1" customHeight="1" s="511">
      <c r="A1489" s="277" t="n"/>
      <c r="B1489" s="285" t="n"/>
      <c r="C1489" s="579" t="n"/>
      <c r="D1489" s="580" t="n"/>
      <c r="E1489" s="581" t="n"/>
      <c r="F1489" s="577" t="n"/>
      <c r="G1489" s="582" t="n"/>
      <c r="H1489" s="583" t="n"/>
      <c r="I1489" s="510" t="n"/>
    </row>
    <row r="1490" ht="19.95" customFormat="1" customHeight="1" s="511">
      <c r="A1490" s="277" t="n"/>
      <c r="B1490" s="285" t="n"/>
      <c r="C1490" s="579" t="n"/>
      <c r="D1490" s="580" t="n"/>
      <c r="E1490" s="581" t="n"/>
      <c r="F1490" s="577" t="n"/>
      <c r="G1490" s="582" t="n"/>
      <c r="H1490" s="583" t="n"/>
      <c r="I1490" s="510" t="n"/>
    </row>
    <row r="1491" ht="19.95" customFormat="1" customHeight="1" s="511">
      <c r="A1491" s="277" t="n"/>
      <c r="B1491" s="285" t="n"/>
      <c r="C1491" s="579" t="n"/>
      <c r="D1491" s="580" t="n"/>
      <c r="E1491" s="581" t="n"/>
      <c r="F1491" s="577" t="n"/>
      <c r="G1491" s="582" t="n"/>
      <c r="H1491" s="583" t="n"/>
      <c r="I1491" s="510" t="n"/>
    </row>
    <row r="1492" ht="19.95" customFormat="1" customHeight="1" s="511">
      <c r="A1492" s="277" t="n"/>
      <c r="B1492" s="285" t="n"/>
      <c r="C1492" s="579" t="n"/>
      <c r="D1492" s="580" t="n"/>
      <c r="E1492" s="581" t="n"/>
      <c r="F1492" s="577" t="n"/>
      <c r="G1492" s="582" t="n"/>
      <c r="H1492" s="583" t="n"/>
      <c r="I1492" s="510" t="n"/>
    </row>
    <row r="1493" ht="19.95" customFormat="1" customHeight="1" s="511">
      <c r="A1493" s="277" t="n"/>
      <c r="B1493" s="285" t="n"/>
      <c r="C1493" s="579" t="n"/>
      <c r="D1493" s="580" t="n"/>
      <c r="E1493" s="581" t="n"/>
      <c r="F1493" s="577" t="n"/>
      <c r="G1493" s="582" t="n"/>
      <c r="H1493" s="583" t="n"/>
      <c r="I1493" s="510" t="n"/>
    </row>
    <row r="1494" ht="19.95" customFormat="1" customHeight="1" s="511">
      <c r="A1494" s="277" t="n"/>
      <c r="B1494" s="285" t="n"/>
      <c r="C1494" s="579" t="n"/>
      <c r="D1494" s="580" t="n"/>
      <c r="E1494" s="581" t="n"/>
      <c r="F1494" s="577" t="n"/>
      <c r="G1494" s="582" t="n"/>
      <c r="H1494" s="583" t="n"/>
      <c r="I1494" s="510" t="n"/>
    </row>
    <row r="1495" ht="19.95" customFormat="1" customHeight="1" s="511">
      <c r="A1495" s="277" t="n"/>
      <c r="B1495" s="285" t="n"/>
      <c r="C1495" s="579" t="n"/>
      <c r="D1495" s="580" t="n"/>
      <c r="E1495" s="581" t="n"/>
      <c r="F1495" s="577" t="n"/>
      <c r="G1495" s="582" t="n"/>
      <c r="H1495" s="583" t="n"/>
      <c r="I1495" s="510" t="n"/>
    </row>
    <row r="1496" ht="19.95" customFormat="1" customHeight="1" s="511">
      <c r="A1496" s="277" t="n"/>
      <c r="B1496" s="285" t="n"/>
      <c r="C1496" s="579" t="n"/>
      <c r="D1496" s="580" t="n"/>
      <c r="E1496" s="581" t="n"/>
      <c r="F1496" s="577" t="n"/>
      <c r="G1496" s="582" t="n"/>
      <c r="H1496" s="583" t="n"/>
      <c r="I1496" s="510" t="n"/>
    </row>
    <row r="1497" ht="19.95" customFormat="1" customHeight="1" s="511">
      <c r="A1497" s="277" t="n"/>
      <c r="B1497" s="285" t="n"/>
      <c r="C1497" s="579" t="n"/>
      <c r="D1497" s="580" t="n"/>
      <c r="E1497" s="581" t="n"/>
      <c r="F1497" s="577" t="n"/>
      <c r="G1497" s="582" t="n"/>
      <c r="H1497" s="583" t="n"/>
      <c r="I1497" s="510" t="n"/>
    </row>
    <row r="1498" ht="19.95" customFormat="1" customHeight="1" s="511">
      <c r="A1498" s="277" t="n"/>
      <c r="B1498" s="285" t="n"/>
      <c r="C1498" s="579" t="n"/>
      <c r="D1498" s="580" t="n"/>
      <c r="E1498" s="581" t="n"/>
      <c r="F1498" s="577" t="n"/>
      <c r="G1498" s="582" t="n"/>
      <c r="H1498" s="583" t="n"/>
      <c r="I1498" s="510" t="n"/>
    </row>
    <row r="1499" ht="19.95" customFormat="1" customHeight="1" s="511">
      <c r="A1499" s="277" t="n"/>
      <c r="B1499" s="285" t="n"/>
      <c r="C1499" s="579" t="n"/>
      <c r="D1499" s="580" t="n"/>
      <c r="E1499" s="581" t="n"/>
      <c r="F1499" s="577" t="n"/>
      <c r="G1499" s="582" t="n"/>
      <c r="H1499" s="583" t="n"/>
      <c r="I1499" s="510" t="n"/>
    </row>
    <row r="1500" ht="19.95" customFormat="1" customHeight="1" s="511">
      <c r="A1500" s="277" t="n"/>
      <c r="B1500" s="285" t="n"/>
      <c r="C1500" s="579" t="n"/>
      <c r="D1500" s="580" t="n"/>
      <c r="E1500" s="581" t="n"/>
      <c r="F1500" s="577" t="n"/>
      <c r="G1500" s="582" t="n"/>
      <c r="H1500" s="583" t="n"/>
      <c r="I1500" s="510" t="n"/>
    </row>
    <row r="1501" ht="19.95" customFormat="1" customHeight="1" s="511">
      <c r="A1501" s="277" t="n"/>
      <c r="B1501" s="285" t="n"/>
      <c r="C1501" s="579" t="n"/>
      <c r="D1501" s="580" t="n"/>
      <c r="E1501" s="581" t="n"/>
      <c r="F1501" s="577" t="n"/>
      <c r="G1501" s="582" t="n"/>
      <c r="H1501" s="583" t="n"/>
      <c r="I1501" s="510" t="n"/>
    </row>
    <row r="1502" ht="19.95" customFormat="1" customHeight="1" s="511">
      <c r="A1502" s="277" t="n"/>
      <c r="B1502" s="285" t="n"/>
      <c r="C1502" s="579" t="n"/>
      <c r="D1502" s="580" t="n"/>
      <c r="E1502" s="581" t="n"/>
      <c r="F1502" s="577" t="n"/>
      <c r="G1502" s="582" t="n"/>
      <c r="H1502" s="583" t="n"/>
      <c r="I1502" s="510" t="n"/>
    </row>
    <row r="1503" ht="19.95" customFormat="1" customHeight="1" s="511">
      <c r="A1503" s="277" t="n"/>
      <c r="B1503" s="285" t="n"/>
      <c r="C1503" s="579" t="n"/>
      <c r="D1503" s="580" t="n"/>
      <c r="E1503" s="581" t="n"/>
      <c r="F1503" s="577" t="n"/>
      <c r="G1503" s="582" t="n"/>
      <c r="H1503" s="583" t="n"/>
      <c r="I1503" s="510" t="n"/>
    </row>
    <row r="1504" ht="19.95" customFormat="1" customHeight="1" s="511">
      <c r="A1504" s="277" t="n"/>
      <c r="B1504" s="285" t="n"/>
      <c r="C1504" s="579" t="n"/>
      <c r="D1504" s="580" t="n"/>
      <c r="E1504" s="581" t="n"/>
      <c r="F1504" s="577" t="n"/>
      <c r="G1504" s="582" t="n"/>
      <c r="H1504" s="583" t="n"/>
      <c r="I1504" s="510" t="n"/>
    </row>
    <row r="1505" ht="19.95" customFormat="1" customHeight="1" s="511">
      <c r="A1505" s="277" t="n"/>
      <c r="B1505" s="285" t="n"/>
      <c r="C1505" s="579" t="n"/>
      <c r="D1505" s="580" t="n"/>
      <c r="E1505" s="581" t="n"/>
      <c r="F1505" s="577" t="n"/>
      <c r="G1505" s="582" t="n"/>
      <c r="H1505" s="583" t="n"/>
      <c r="I1505" s="510" t="n"/>
    </row>
    <row r="1506" ht="19.95" customFormat="1" customHeight="1" s="511">
      <c r="A1506" s="277" t="n"/>
      <c r="B1506" s="285" t="n"/>
      <c r="C1506" s="579" t="n"/>
      <c r="D1506" s="580" t="n"/>
      <c r="E1506" s="581" t="n"/>
      <c r="F1506" s="577" t="n"/>
      <c r="G1506" s="582" t="n"/>
      <c r="H1506" s="583" t="n"/>
      <c r="I1506" s="510" t="n"/>
    </row>
    <row r="1507" ht="19.95" customFormat="1" customHeight="1" s="511">
      <c r="A1507" s="277" t="n"/>
      <c r="B1507" s="285" t="n"/>
      <c r="C1507" s="579" t="n"/>
      <c r="D1507" s="580" t="n"/>
      <c r="E1507" s="581" t="n"/>
      <c r="F1507" s="577" t="n"/>
      <c r="G1507" s="582" t="n"/>
      <c r="H1507" s="583" t="n"/>
      <c r="I1507" s="510" t="n"/>
    </row>
    <row r="1508" ht="19.95" customFormat="1" customHeight="1" s="511">
      <c r="A1508" s="277" t="n"/>
      <c r="B1508" s="285" t="n"/>
      <c r="C1508" s="579" t="n"/>
      <c r="D1508" s="580" t="n"/>
      <c r="E1508" s="581" t="n"/>
      <c r="F1508" s="577" t="n"/>
      <c r="G1508" s="582" t="n"/>
      <c r="H1508" s="583" t="n"/>
      <c r="I1508" s="510" t="n"/>
    </row>
    <row r="1509" ht="19.95" customFormat="1" customHeight="1" s="511">
      <c r="A1509" s="277" t="n"/>
      <c r="B1509" s="285" t="n"/>
      <c r="C1509" s="579" t="n"/>
      <c r="D1509" s="580" t="n"/>
      <c r="E1509" s="581" t="n"/>
      <c r="F1509" s="577" t="n"/>
      <c r="G1509" s="582" t="n"/>
      <c r="H1509" s="583" t="n"/>
      <c r="I1509" s="510" t="n"/>
    </row>
    <row r="1510" ht="19.95" customFormat="1" customHeight="1" s="511">
      <c r="A1510" s="277" t="n"/>
      <c r="B1510" s="285" t="n"/>
      <c r="C1510" s="579" t="n"/>
      <c r="D1510" s="580" t="n"/>
      <c r="E1510" s="581" t="n"/>
      <c r="F1510" s="577" t="n"/>
      <c r="G1510" s="582" t="n"/>
      <c r="H1510" s="583" t="n"/>
      <c r="I1510" s="510" t="n"/>
    </row>
    <row r="1511" ht="19.95" customFormat="1" customHeight="1" s="511">
      <c r="A1511" s="277" t="n"/>
      <c r="B1511" s="285" t="n"/>
      <c r="C1511" s="579" t="n"/>
      <c r="D1511" s="580" t="n"/>
      <c r="E1511" s="581" t="n"/>
      <c r="F1511" s="577" t="n"/>
      <c r="G1511" s="582" t="n"/>
      <c r="H1511" s="583" t="n"/>
      <c r="I1511" s="510" t="n"/>
    </row>
    <row r="1512" ht="19.95" customFormat="1" customHeight="1" s="511">
      <c r="A1512" s="277" t="n"/>
      <c r="B1512" s="285" t="n"/>
      <c r="C1512" s="579" t="n"/>
      <c r="D1512" s="580" t="n"/>
      <c r="E1512" s="581" t="n"/>
      <c r="F1512" s="577" t="n"/>
      <c r="G1512" s="582" t="n"/>
      <c r="H1512" s="583" t="n"/>
      <c r="I1512" s="510" t="n"/>
    </row>
    <row r="1513" ht="19.95" customFormat="1" customHeight="1" s="511">
      <c r="A1513" s="277" t="n"/>
      <c r="B1513" s="285" t="n"/>
      <c r="C1513" s="579" t="n"/>
      <c r="D1513" s="580" t="n"/>
      <c r="E1513" s="581" t="n"/>
      <c r="F1513" s="577" t="n"/>
      <c r="G1513" s="582" t="n"/>
      <c r="H1513" s="583" t="n"/>
      <c r="I1513" s="510" t="n"/>
    </row>
    <row r="1514" ht="19.95" customFormat="1" customHeight="1" s="511">
      <c r="A1514" s="277" t="n"/>
      <c r="B1514" s="285" t="n"/>
      <c r="C1514" s="579" t="n"/>
      <c r="D1514" s="580" t="n"/>
      <c r="E1514" s="581" t="n"/>
      <c r="F1514" s="577" t="n"/>
      <c r="G1514" s="582" t="n"/>
      <c r="H1514" s="583" t="n"/>
      <c r="I1514" s="510" t="n"/>
    </row>
    <row r="1515" ht="19.95" customFormat="1" customHeight="1" s="511">
      <c r="A1515" s="277" t="n"/>
      <c r="B1515" s="285" t="n"/>
      <c r="C1515" s="579" t="n"/>
      <c r="D1515" s="580" t="n"/>
      <c r="E1515" s="581" t="n"/>
      <c r="F1515" s="577" t="n"/>
      <c r="G1515" s="582" t="n"/>
      <c r="H1515" s="583" t="n"/>
      <c r="I1515" s="510" t="n"/>
    </row>
    <row r="1516" ht="19.95" customFormat="1" customHeight="1" s="511">
      <c r="A1516" s="277" t="n"/>
      <c r="B1516" s="285" t="n"/>
      <c r="C1516" s="579" t="n"/>
      <c r="D1516" s="580" t="n"/>
      <c r="E1516" s="581" t="n"/>
      <c r="F1516" s="577" t="n"/>
      <c r="G1516" s="582" t="n"/>
      <c r="H1516" s="583" t="n"/>
      <c r="I1516" s="510" t="n"/>
    </row>
    <row r="1517" ht="19.95" customFormat="1" customHeight="1" s="511">
      <c r="A1517" s="277" t="n"/>
      <c r="B1517" s="285" t="n"/>
      <c r="C1517" s="579" t="n"/>
      <c r="D1517" s="580" t="n"/>
      <c r="E1517" s="581" t="n"/>
      <c r="F1517" s="577" t="n"/>
      <c r="G1517" s="582" t="n"/>
      <c r="H1517" s="583" t="n"/>
      <c r="I1517" s="510" t="n"/>
    </row>
    <row r="1518" ht="19.95" customFormat="1" customHeight="1" s="511">
      <c r="A1518" s="277" t="n"/>
      <c r="B1518" s="285" t="n"/>
      <c r="C1518" s="579" t="n"/>
      <c r="D1518" s="580" t="n"/>
      <c r="E1518" s="581" t="n"/>
      <c r="F1518" s="577" t="n"/>
      <c r="G1518" s="582" t="n"/>
      <c r="H1518" s="583" t="n"/>
      <c r="I1518" s="510" t="n"/>
    </row>
    <row r="1519" ht="19.95" customFormat="1" customHeight="1" s="511">
      <c r="A1519" s="277" t="n"/>
      <c r="B1519" s="285" t="n"/>
      <c r="C1519" s="579" t="n"/>
      <c r="D1519" s="580" t="n"/>
      <c r="E1519" s="581" t="n"/>
      <c r="F1519" s="577" t="n"/>
      <c r="G1519" s="582" t="n"/>
      <c r="H1519" s="583" t="n"/>
      <c r="I1519" s="510" t="n"/>
    </row>
    <row r="1520" ht="19.95" customFormat="1" customHeight="1" s="511">
      <c r="A1520" s="277" t="n"/>
      <c r="B1520" s="285" t="n"/>
      <c r="C1520" s="579" t="n"/>
      <c r="D1520" s="580" t="n"/>
      <c r="E1520" s="581" t="n"/>
      <c r="F1520" s="577" t="n"/>
      <c r="G1520" s="582" t="n"/>
      <c r="H1520" s="583" t="n"/>
      <c r="I1520" s="510" t="n"/>
    </row>
    <row r="1521" ht="19.95" customFormat="1" customHeight="1" s="511">
      <c r="A1521" s="277" t="n"/>
      <c r="B1521" s="285" t="n"/>
      <c r="C1521" s="579" t="n"/>
      <c r="D1521" s="580" t="n"/>
      <c r="E1521" s="581" t="n"/>
      <c r="F1521" s="577" t="n"/>
      <c r="G1521" s="582" t="n"/>
      <c r="H1521" s="583" t="n"/>
      <c r="I1521" s="510" t="n"/>
    </row>
    <row r="1522" ht="19.95" customFormat="1" customHeight="1" s="511">
      <c r="A1522" s="277" t="n"/>
      <c r="B1522" s="285" t="n"/>
      <c r="C1522" s="579" t="n"/>
      <c r="D1522" s="580" t="n"/>
      <c r="E1522" s="581" t="n"/>
      <c r="F1522" s="577" t="n"/>
      <c r="G1522" s="582" t="n"/>
      <c r="H1522" s="583" t="n"/>
      <c r="I1522" s="510" t="n"/>
    </row>
    <row r="1523" ht="19.95" customFormat="1" customHeight="1" s="511">
      <c r="A1523" s="277" t="n"/>
      <c r="B1523" s="285" t="n"/>
      <c r="C1523" s="579" t="n"/>
      <c r="D1523" s="580" t="n"/>
      <c r="E1523" s="581" t="n"/>
      <c r="F1523" s="577" t="n"/>
      <c r="G1523" s="582" t="n"/>
      <c r="H1523" s="583" t="n"/>
      <c r="I1523" s="510" t="n"/>
    </row>
    <row r="1524" ht="19.95" customFormat="1" customHeight="1" s="511">
      <c r="A1524" s="277" t="n"/>
      <c r="B1524" s="285" t="n"/>
      <c r="C1524" s="579" t="n"/>
      <c r="D1524" s="580" t="n"/>
      <c r="E1524" s="581" t="n"/>
      <c r="F1524" s="577" t="n"/>
      <c r="G1524" s="582" t="n"/>
      <c r="H1524" s="583" t="n"/>
      <c r="I1524" s="510" t="n"/>
    </row>
    <row r="1525" ht="19.95" customFormat="1" customHeight="1" s="511">
      <c r="A1525" s="277" t="n"/>
      <c r="B1525" s="285" t="n"/>
      <c r="C1525" s="579" t="n"/>
      <c r="D1525" s="580" t="n"/>
      <c r="E1525" s="581" t="n"/>
      <c r="F1525" s="577" t="n"/>
      <c r="G1525" s="582" t="n"/>
      <c r="H1525" s="583" t="n"/>
      <c r="I1525" s="510" t="n"/>
    </row>
    <row r="1526" ht="19.95" customFormat="1" customHeight="1" s="511">
      <c r="A1526" s="277" t="n"/>
      <c r="B1526" s="285" t="n"/>
      <c r="C1526" s="579" t="n"/>
      <c r="D1526" s="580" t="n"/>
      <c r="E1526" s="581" t="n"/>
      <c r="F1526" s="577" t="n"/>
      <c r="G1526" s="582" t="n"/>
      <c r="H1526" s="583" t="n"/>
      <c r="I1526" s="510" t="n"/>
    </row>
    <row r="1527" ht="19.95" customFormat="1" customHeight="1" s="511">
      <c r="A1527" s="277" t="n"/>
      <c r="B1527" s="285" t="n"/>
      <c r="C1527" s="579" t="n"/>
      <c r="D1527" s="580" t="n"/>
      <c r="E1527" s="581" t="n"/>
      <c r="F1527" s="577" t="n"/>
      <c r="G1527" s="582" t="n"/>
      <c r="H1527" s="583" t="n"/>
      <c r="I1527" s="510" t="n"/>
    </row>
    <row r="1528" ht="19.95" customFormat="1" customHeight="1" s="511">
      <c r="A1528" s="277" t="n"/>
      <c r="B1528" s="285" t="n"/>
      <c r="C1528" s="579" t="n"/>
      <c r="D1528" s="580" t="n"/>
      <c r="E1528" s="581" t="n"/>
      <c r="F1528" s="577" t="n"/>
      <c r="G1528" s="582" t="n"/>
      <c r="H1528" s="583" t="n"/>
      <c r="I1528" s="510" t="n"/>
    </row>
    <row r="1529" ht="19.95" customFormat="1" customHeight="1" s="511">
      <c r="A1529" s="277" t="n"/>
      <c r="B1529" s="285" t="n"/>
      <c r="C1529" s="579" t="n"/>
      <c r="D1529" s="580" t="n"/>
      <c r="E1529" s="581" t="n"/>
      <c r="F1529" s="577" t="n"/>
      <c r="G1529" s="582" t="n"/>
      <c r="H1529" s="583" t="n"/>
      <c r="I1529" s="510" t="n"/>
    </row>
    <row r="1530" ht="19.95" customFormat="1" customHeight="1" s="511">
      <c r="A1530" s="277" t="n"/>
      <c r="B1530" s="285" t="n"/>
      <c r="C1530" s="579" t="n"/>
      <c r="D1530" s="580" t="n"/>
      <c r="E1530" s="581" t="n"/>
      <c r="F1530" s="577" t="n"/>
      <c r="G1530" s="582" t="n"/>
      <c r="H1530" s="583" t="n"/>
      <c r="I1530" s="510" t="n"/>
    </row>
    <row r="1531" ht="19.95" customFormat="1" customHeight="1" s="511">
      <c r="A1531" s="277" t="n"/>
      <c r="B1531" s="285" t="n"/>
      <c r="C1531" s="579" t="n"/>
      <c r="D1531" s="580" t="n"/>
      <c r="E1531" s="581" t="n"/>
      <c r="F1531" s="577" t="n"/>
      <c r="G1531" s="582" t="n"/>
      <c r="H1531" s="583" t="n"/>
      <c r="I1531" s="510" t="n"/>
    </row>
    <row r="1532" ht="19.95" customFormat="1" customHeight="1" s="511">
      <c r="A1532" s="277" t="n"/>
      <c r="B1532" s="285" t="n"/>
      <c r="C1532" s="579" t="n"/>
      <c r="D1532" s="580" t="n"/>
      <c r="E1532" s="581" t="n"/>
      <c r="F1532" s="577" t="n"/>
      <c r="G1532" s="582" t="n"/>
      <c r="H1532" s="583" t="n"/>
      <c r="I1532" s="510" t="n"/>
    </row>
    <row r="1533" ht="19.95" customFormat="1" customHeight="1" s="511">
      <c r="A1533" s="277" t="n"/>
      <c r="B1533" s="285" t="n"/>
      <c r="C1533" s="579" t="n"/>
      <c r="D1533" s="580" t="n"/>
      <c r="E1533" s="581" t="n"/>
      <c r="F1533" s="577" t="n"/>
      <c r="G1533" s="582" t="n"/>
      <c r="H1533" s="583" t="n"/>
      <c r="I1533" s="510" t="n"/>
    </row>
    <row r="1534" ht="19.95" customFormat="1" customHeight="1" s="511">
      <c r="A1534" s="277" t="n"/>
      <c r="B1534" s="285" t="n"/>
      <c r="C1534" s="579" t="n"/>
      <c r="D1534" s="580" t="n"/>
      <c r="E1534" s="581" t="n"/>
      <c r="F1534" s="577" t="n"/>
      <c r="G1534" s="582" t="n"/>
      <c r="H1534" s="583" t="n"/>
      <c r="I1534" s="510" t="n"/>
    </row>
    <row r="1535" ht="19.95" customFormat="1" customHeight="1" s="511">
      <c r="A1535" s="277" t="n"/>
      <c r="B1535" s="285" t="n"/>
      <c r="C1535" s="579" t="n"/>
      <c r="D1535" s="580" t="n"/>
      <c r="E1535" s="581" t="n"/>
      <c r="F1535" s="577" t="n"/>
      <c r="G1535" s="582" t="n"/>
      <c r="H1535" s="583" t="n"/>
      <c r="I1535" s="510" t="n"/>
    </row>
    <row r="1536" ht="19.95" customFormat="1" customHeight="1" s="511">
      <c r="A1536" s="277" t="n"/>
      <c r="B1536" s="285" t="n"/>
      <c r="C1536" s="579" t="n"/>
      <c r="D1536" s="580" t="n"/>
      <c r="E1536" s="581" t="n"/>
      <c r="F1536" s="577" t="n"/>
      <c r="G1536" s="582" t="n"/>
      <c r="H1536" s="583" t="n"/>
      <c r="I1536" s="510" t="n"/>
    </row>
    <row r="1537" ht="19.95" customFormat="1" customHeight="1" s="511">
      <c r="A1537" s="277" t="n"/>
      <c r="B1537" s="285" t="n"/>
      <c r="C1537" s="579" t="n"/>
      <c r="D1537" s="580" t="n"/>
      <c r="E1537" s="581" t="n"/>
      <c r="F1537" s="577" t="n"/>
      <c r="G1537" s="582" t="n"/>
      <c r="H1537" s="583" t="n"/>
      <c r="I1537" s="510" t="n"/>
    </row>
    <row r="1538" ht="19.95" customFormat="1" customHeight="1" s="511">
      <c r="A1538" s="277" t="n"/>
      <c r="B1538" s="285" t="n"/>
      <c r="C1538" s="579" t="n"/>
      <c r="D1538" s="580" t="n"/>
      <c r="E1538" s="581" t="n"/>
      <c r="F1538" s="577" t="n"/>
      <c r="G1538" s="582" t="n"/>
      <c r="H1538" s="583" t="n"/>
      <c r="I1538" s="510" t="n"/>
    </row>
    <row r="1539" ht="19.95" customFormat="1" customHeight="1" s="511">
      <c r="A1539" s="277" t="n"/>
      <c r="B1539" s="285" t="n"/>
      <c r="C1539" s="579" t="n"/>
      <c r="D1539" s="580" t="n"/>
      <c r="E1539" s="581" t="n"/>
      <c r="F1539" s="577" t="n"/>
      <c r="G1539" s="582" t="n"/>
      <c r="H1539" s="583" t="n"/>
      <c r="I1539" s="510" t="n"/>
    </row>
    <row r="1540" ht="19.95" customFormat="1" customHeight="1" s="511">
      <c r="A1540" s="277" t="n"/>
      <c r="B1540" s="285" t="n"/>
      <c r="C1540" s="579" t="n"/>
      <c r="D1540" s="580" t="n"/>
      <c r="E1540" s="581" t="n"/>
      <c r="F1540" s="577" t="n"/>
      <c r="G1540" s="582" t="n"/>
      <c r="H1540" s="583" t="n"/>
      <c r="I1540" s="510" t="n"/>
    </row>
    <row r="1541" ht="19.95" customFormat="1" customHeight="1" s="511">
      <c r="A1541" s="277" t="n"/>
      <c r="B1541" s="285" t="n"/>
      <c r="C1541" s="579" t="n"/>
      <c r="D1541" s="580" t="n"/>
      <c r="E1541" s="581" t="n"/>
      <c r="F1541" s="577" t="n"/>
      <c r="G1541" s="582" t="n"/>
      <c r="H1541" s="583" t="n"/>
      <c r="I1541" s="510" t="n"/>
    </row>
    <row r="1542" ht="19.95" customFormat="1" customHeight="1" s="511">
      <c r="A1542" s="277" t="n"/>
      <c r="B1542" s="285" t="n"/>
      <c r="C1542" s="579" t="n"/>
      <c r="D1542" s="580" t="n"/>
      <c r="E1542" s="581" t="n"/>
      <c r="F1542" s="577" t="n"/>
      <c r="G1542" s="582" t="n"/>
      <c r="H1542" s="583" t="n"/>
      <c r="I1542" s="510" t="n"/>
    </row>
    <row r="1543" ht="19.95" customFormat="1" customHeight="1" s="511">
      <c r="A1543" s="277" t="n"/>
      <c r="B1543" s="285" t="n"/>
      <c r="C1543" s="579" t="n"/>
      <c r="D1543" s="580" t="n"/>
      <c r="E1543" s="581" t="n"/>
      <c r="F1543" s="577" t="n"/>
      <c r="G1543" s="582" t="n"/>
      <c r="H1543" s="583" t="n"/>
      <c r="I1543" s="510" t="n"/>
    </row>
    <row r="1544" ht="19.95" customFormat="1" customHeight="1" s="511">
      <c r="A1544" s="277" t="n"/>
      <c r="B1544" s="285" t="n"/>
      <c r="C1544" s="579" t="n"/>
      <c r="D1544" s="580" t="n"/>
      <c r="E1544" s="581" t="n"/>
      <c r="F1544" s="577" t="n"/>
      <c r="G1544" s="582" t="n"/>
      <c r="H1544" s="583" t="n"/>
      <c r="I1544" s="510" t="n"/>
    </row>
    <row r="1545" ht="19.95" customFormat="1" customHeight="1" s="511">
      <c r="A1545" s="277" t="n"/>
      <c r="B1545" s="285" t="n"/>
      <c r="C1545" s="579" t="n"/>
      <c r="D1545" s="580" t="n"/>
      <c r="E1545" s="581" t="n"/>
      <c r="F1545" s="577" t="n"/>
      <c r="G1545" s="582" t="n"/>
      <c r="H1545" s="583" t="n"/>
      <c r="I1545" s="510" t="n"/>
    </row>
    <row r="1546" ht="19.95" customFormat="1" customHeight="1" s="511">
      <c r="A1546" s="277" t="n"/>
      <c r="B1546" s="285" t="n"/>
      <c r="C1546" s="579" t="n"/>
      <c r="D1546" s="580" t="n"/>
      <c r="E1546" s="581" t="n"/>
      <c r="F1546" s="577" t="n"/>
      <c r="G1546" s="582" t="n"/>
      <c r="H1546" s="583" t="n"/>
      <c r="I1546" s="510" t="n"/>
    </row>
    <row r="1547" ht="19.95" customFormat="1" customHeight="1" s="511">
      <c r="A1547" s="277" t="n"/>
      <c r="B1547" s="285" t="n"/>
      <c r="C1547" s="579" t="n"/>
      <c r="D1547" s="580" t="n"/>
      <c r="E1547" s="581" t="n"/>
      <c r="F1547" s="577" t="n"/>
      <c r="G1547" s="582" t="n"/>
      <c r="H1547" s="583" t="n"/>
      <c r="I1547" s="510" t="n"/>
    </row>
    <row r="1548" ht="19.95" customFormat="1" customHeight="1" s="511">
      <c r="A1548" s="277" t="n"/>
      <c r="B1548" s="285" t="n"/>
      <c r="C1548" s="579" t="n"/>
      <c r="D1548" s="580" t="n"/>
      <c r="E1548" s="581" t="n"/>
      <c r="F1548" s="577" t="n"/>
      <c r="G1548" s="582" t="n"/>
      <c r="H1548" s="583" t="n"/>
      <c r="I1548" s="510" t="n"/>
    </row>
    <row r="1549" ht="19.95" customFormat="1" customHeight="1" s="511">
      <c r="A1549" s="277" t="n"/>
      <c r="B1549" s="285" t="n"/>
      <c r="C1549" s="579" t="n"/>
      <c r="D1549" s="580" t="n"/>
      <c r="E1549" s="581" t="n"/>
      <c r="F1549" s="577" t="n"/>
      <c r="G1549" s="582" t="n"/>
      <c r="H1549" s="583" t="n"/>
      <c r="I1549" s="510" t="n"/>
    </row>
    <row r="1550" ht="19.95" customFormat="1" customHeight="1" s="511">
      <c r="A1550" s="277" t="n"/>
      <c r="B1550" s="285" t="n"/>
      <c r="C1550" s="579" t="n"/>
      <c r="D1550" s="580" t="n"/>
      <c r="E1550" s="581" t="n"/>
      <c r="F1550" s="577" t="n"/>
      <c r="G1550" s="582" t="n"/>
      <c r="H1550" s="583" t="n"/>
      <c r="I1550" s="510" t="n"/>
    </row>
    <row r="1551" ht="19.95" customFormat="1" customHeight="1" s="511">
      <c r="A1551" s="277" t="n"/>
      <c r="B1551" s="285" t="n"/>
      <c r="C1551" s="579" t="n"/>
      <c r="D1551" s="580" t="n"/>
      <c r="E1551" s="581" t="n"/>
      <c r="F1551" s="577" t="n"/>
      <c r="G1551" s="582" t="n"/>
      <c r="H1551" s="583" t="n"/>
      <c r="I1551" s="510" t="n"/>
    </row>
    <row r="1552" ht="19.95" customFormat="1" customHeight="1" s="511">
      <c r="A1552" s="277" t="n"/>
      <c r="B1552" s="285" t="n"/>
      <c r="C1552" s="579" t="n"/>
      <c r="D1552" s="580" t="n"/>
      <c r="E1552" s="581" t="n"/>
      <c r="F1552" s="577" t="n"/>
      <c r="G1552" s="582" t="n"/>
      <c r="H1552" s="583" t="n"/>
      <c r="I1552" s="510" t="n"/>
    </row>
    <row r="1553" ht="19.95" customFormat="1" customHeight="1" s="511">
      <c r="A1553" s="277" t="n"/>
      <c r="B1553" s="285" t="n"/>
      <c r="C1553" s="579" t="n"/>
      <c r="D1553" s="580" t="n"/>
      <c r="E1553" s="581" t="n"/>
      <c r="F1553" s="577" t="n"/>
      <c r="G1553" s="582" t="n"/>
      <c r="H1553" s="583" t="n"/>
      <c r="I1553" s="510" t="n"/>
    </row>
    <row r="1554" ht="19.95" customFormat="1" customHeight="1" s="511">
      <c r="A1554" s="277" t="n"/>
      <c r="B1554" s="285" t="n"/>
      <c r="C1554" s="579" t="n"/>
      <c r="D1554" s="580" t="n"/>
      <c r="E1554" s="581" t="n"/>
      <c r="F1554" s="577" t="n"/>
      <c r="G1554" s="582" t="n"/>
      <c r="H1554" s="583" t="n"/>
      <c r="I1554" s="510" t="n"/>
    </row>
    <row r="1555" ht="19.95" customFormat="1" customHeight="1" s="511">
      <c r="A1555" s="277" t="n"/>
      <c r="B1555" s="285" t="n"/>
      <c r="C1555" s="579" t="n"/>
      <c r="D1555" s="580" t="n"/>
      <c r="E1555" s="581" t="n"/>
      <c r="F1555" s="577" t="n"/>
      <c r="G1555" s="582" t="n"/>
      <c r="H1555" s="583" t="n"/>
      <c r="I1555" s="510" t="n"/>
    </row>
    <row r="1556" ht="19.95" customFormat="1" customHeight="1" s="511">
      <c r="A1556" s="277" t="n"/>
      <c r="B1556" s="285" t="n"/>
      <c r="C1556" s="579" t="n"/>
      <c r="D1556" s="580" t="n"/>
      <c r="E1556" s="581" t="n"/>
      <c r="F1556" s="577" t="n"/>
      <c r="G1556" s="582" t="n"/>
      <c r="H1556" s="583" t="n"/>
      <c r="I1556" s="510" t="n"/>
    </row>
    <row r="1557" ht="19.95" customFormat="1" customHeight="1" s="511">
      <c r="A1557" s="277" t="n"/>
      <c r="B1557" s="285" t="n"/>
      <c r="C1557" s="579" t="n"/>
      <c r="D1557" s="580" t="n"/>
      <c r="E1557" s="581" t="n"/>
      <c r="F1557" s="577" t="n"/>
      <c r="G1557" s="582" t="n"/>
      <c r="H1557" s="583" t="n"/>
      <c r="I1557" s="510" t="n"/>
    </row>
    <row r="1558" ht="19.95" customFormat="1" customHeight="1" s="511">
      <c r="A1558" s="277" t="n"/>
      <c r="B1558" s="285" t="n"/>
      <c r="C1558" s="579" t="n"/>
      <c r="D1558" s="580" t="n"/>
      <c r="E1558" s="581" t="n"/>
      <c r="F1558" s="577" t="n"/>
      <c r="G1558" s="582" t="n"/>
      <c r="H1558" s="583" t="n"/>
      <c r="I1558" s="510" t="n"/>
    </row>
    <row r="1559" ht="19.95" customFormat="1" customHeight="1" s="511">
      <c r="A1559" s="277" t="n"/>
      <c r="B1559" s="285" t="n"/>
      <c r="C1559" s="579" t="n"/>
      <c r="D1559" s="580" t="n"/>
      <c r="E1559" s="581" t="n"/>
      <c r="F1559" s="577" t="n"/>
      <c r="G1559" s="582" t="n"/>
      <c r="H1559" s="583" t="n"/>
      <c r="I1559" s="510" t="n"/>
    </row>
    <row r="1560" ht="19.95" customFormat="1" customHeight="1" s="511">
      <c r="A1560" s="277" t="n"/>
      <c r="B1560" s="285" t="n"/>
      <c r="C1560" s="579" t="n"/>
      <c r="D1560" s="580" t="n"/>
      <c r="E1560" s="581" t="n"/>
      <c r="F1560" s="577" t="n"/>
      <c r="G1560" s="582" t="n"/>
      <c r="H1560" s="583" t="n"/>
      <c r="I1560" s="510" t="n"/>
    </row>
    <row r="1561" ht="19.95" customFormat="1" customHeight="1" s="511">
      <c r="A1561" s="277" t="n"/>
      <c r="B1561" s="285" t="n"/>
      <c r="C1561" s="579" t="n"/>
      <c r="D1561" s="580" t="n"/>
      <c r="E1561" s="581" t="n"/>
      <c r="F1561" s="577" t="n"/>
      <c r="G1561" s="582" t="n"/>
      <c r="H1561" s="583" t="n"/>
      <c r="I1561" s="510" t="n"/>
    </row>
    <row r="1562" ht="19.95" customFormat="1" customHeight="1" s="511">
      <c r="A1562" s="277" t="n"/>
      <c r="B1562" s="285" t="n"/>
      <c r="C1562" s="579" t="n"/>
      <c r="D1562" s="580" t="n"/>
      <c r="E1562" s="581" t="n"/>
      <c r="F1562" s="577" t="n"/>
      <c r="G1562" s="582" t="n"/>
      <c r="H1562" s="583" t="n"/>
      <c r="I1562" s="510" t="n"/>
    </row>
    <row r="1563" ht="19.95" customFormat="1" customHeight="1" s="511">
      <c r="A1563" s="277" t="n"/>
      <c r="B1563" s="285" t="n"/>
      <c r="C1563" s="579" t="n"/>
      <c r="D1563" s="580" t="n"/>
      <c r="E1563" s="581" t="n"/>
      <c r="F1563" s="577" t="n"/>
      <c r="G1563" s="582" t="n"/>
      <c r="H1563" s="583" t="n"/>
      <c r="I1563" s="510" t="n"/>
    </row>
    <row r="1564" ht="19.95" customFormat="1" customHeight="1" s="511">
      <c r="A1564" s="277" t="n"/>
      <c r="B1564" s="285" t="n"/>
      <c r="C1564" s="579" t="n"/>
      <c r="D1564" s="580" t="n"/>
      <c r="E1564" s="581" t="n"/>
      <c r="F1564" s="577" t="n"/>
      <c r="G1564" s="582" t="n"/>
      <c r="H1564" s="583" t="n"/>
      <c r="I1564" s="510" t="n"/>
    </row>
    <row r="1565" ht="19.95" customFormat="1" customHeight="1" s="511">
      <c r="A1565" s="277" t="n"/>
      <c r="B1565" s="285" t="n"/>
      <c r="C1565" s="579" t="n"/>
      <c r="D1565" s="580" t="n"/>
      <c r="E1565" s="581" t="n"/>
      <c r="F1565" s="577" t="n"/>
      <c r="G1565" s="582" t="n"/>
      <c r="H1565" s="583" t="n"/>
      <c r="I1565" s="510" t="n"/>
    </row>
    <row r="1566" ht="19.95" customFormat="1" customHeight="1" s="511">
      <c r="A1566" s="277" t="n"/>
      <c r="B1566" s="285" t="n"/>
      <c r="C1566" s="579" t="n"/>
      <c r="D1566" s="580" t="n"/>
      <c r="E1566" s="581" t="n"/>
      <c r="F1566" s="577" t="n"/>
      <c r="G1566" s="582" t="n"/>
      <c r="H1566" s="583" t="n"/>
      <c r="I1566" s="510" t="n"/>
    </row>
    <row r="1567" ht="19.95" customFormat="1" customHeight="1" s="511">
      <c r="A1567" s="277" t="n"/>
      <c r="B1567" s="285" t="n"/>
      <c r="C1567" s="579" t="n"/>
      <c r="D1567" s="580" t="n"/>
      <c r="E1567" s="581" t="n"/>
      <c r="F1567" s="577" t="n"/>
      <c r="G1567" s="582" t="n"/>
      <c r="H1567" s="583" t="n"/>
      <c r="I1567" s="510" t="n"/>
    </row>
    <row r="1568" ht="19.95" customFormat="1" customHeight="1" s="511">
      <c r="A1568" s="277" t="n"/>
      <c r="B1568" s="285" t="n"/>
      <c r="C1568" s="579" t="n"/>
      <c r="D1568" s="580" t="n"/>
      <c r="E1568" s="581" t="n"/>
      <c r="F1568" s="577" t="n"/>
      <c r="G1568" s="582" t="n"/>
      <c r="H1568" s="583" t="n"/>
      <c r="I1568" s="510" t="n"/>
    </row>
    <row r="1569" ht="19.95" customFormat="1" customHeight="1" s="511">
      <c r="A1569" s="277" t="n"/>
      <c r="B1569" s="285" t="n"/>
      <c r="C1569" s="579" t="n"/>
      <c r="D1569" s="580" t="n"/>
      <c r="E1569" s="581" t="n"/>
      <c r="F1569" s="577" t="n"/>
      <c r="G1569" s="582" t="n"/>
      <c r="H1569" s="583" t="n"/>
      <c r="I1569" s="510" t="n"/>
    </row>
    <row r="1570" ht="19.95" customFormat="1" customHeight="1" s="511">
      <c r="A1570" s="277" t="n"/>
      <c r="B1570" s="285" t="n"/>
      <c r="C1570" s="579" t="n"/>
      <c r="D1570" s="580" t="n"/>
      <c r="E1570" s="581" t="n"/>
      <c r="F1570" s="577" t="n"/>
      <c r="G1570" s="582" t="n"/>
      <c r="H1570" s="583" t="n"/>
      <c r="I1570" s="510" t="n"/>
    </row>
    <row r="1571" ht="19.95" customFormat="1" customHeight="1" s="511">
      <c r="A1571" s="277" t="n"/>
      <c r="B1571" s="285" t="n"/>
      <c r="C1571" s="579" t="n"/>
      <c r="D1571" s="580" t="n"/>
      <c r="E1571" s="581" t="n"/>
      <c r="F1571" s="577" t="n"/>
      <c r="G1571" s="582" t="n"/>
      <c r="H1571" s="583" t="n"/>
      <c r="I1571" s="510" t="n"/>
    </row>
    <row r="1572" ht="19.95" customFormat="1" customHeight="1" s="511">
      <c r="A1572" s="277" t="n"/>
      <c r="B1572" s="285" t="n"/>
      <c r="C1572" s="579" t="n"/>
      <c r="D1572" s="580" t="n"/>
      <c r="E1572" s="581" t="n"/>
      <c r="F1572" s="577" t="n"/>
      <c r="G1572" s="582" t="n"/>
      <c r="H1572" s="583" t="n"/>
      <c r="I1572" s="510" t="n"/>
    </row>
    <row r="1573" ht="19.95" customFormat="1" customHeight="1" s="511">
      <c r="A1573" s="277" t="n"/>
      <c r="B1573" s="285" t="n"/>
      <c r="C1573" s="579" t="n"/>
      <c r="D1573" s="580" t="n"/>
      <c r="E1573" s="581" t="n"/>
      <c r="F1573" s="577" t="n"/>
      <c r="G1573" s="582" t="n"/>
      <c r="H1573" s="583" t="n"/>
      <c r="I1573" s="510" t="n"/>
    </row>
    <row r="1574" ht="19.95" customFormat="1" customHeight="1" s="511">
      <c r="A1574" s="277" t="n"/>
      <c r="B1574" s="285" t="n"/>
      <c r="C1574" s="579" t="n"/>
      <c r="D1574" s="580" t="n"/>
      <c r="E1574" s="581" t="n"/>
      <c r="F1574" s="577" t="n"/>
      <c r="G1574" s="582" t="n"/>
      <c r="H1574" s="583" t="n"/>
      <c r="I1574" s="510" t="n"/>
    </row>
    <row r="1575" ht="19.95" customFormat="1" customHeight="1" s="511">
      <c r="A1575" s="277" t="n"/>
      <c r="B1575" s="285" t="n"/>
      <c r="C1575" s="579" t="n"/>
      <c r="D1575" s="580" t="n"/>
      <c r="E1575" s="581" t="n"/>
      <c r="F1575" s="577" t="n"/>
      <c r="G1575" s="582" t="n"/>
      <c r="H1575" s="583" t="n"/>
      <c r="I1575" s="510" t="n"/>
    </row>
    <row r="1576" ht="19.95" customFormat="1" customHeight="1" s="511">
      <c r="A1576" s="277" t="n"/>
      <c r="B1576" s="285" t="n"/>
      <c r="C1576" s="579" t="n"/>
      <c r="D1576" s="580" t="n"/>
      <c r="E1576" s="581" t="n"/>
      <c r="F1576" s="577" t="n"/>
      <c r="G1576" s="582" t="n"/>
      <c r="H1576" s="583" t="n"/>
      <c r="I1576" s="510" t="n"/>
    </row>
    <row r="1577" ht="19.95" customFormat="1" customHeight="1" s="511">
      <c r="A1577" s="277" t="n"/>
      <c r="B1577" s="285" t="n"/>
      <c r="C1577" s="579" t="n"/>
      <c r="D1577" s="580" t="n"/>
      <c r="E1577" s="581" t="n"/>
      <c r="F1577" s="577" t="n"/>
      <c r="G1577" s="582" t="n"/>
      <c r="H1577" s="583" t="n"/>
      <c r="I1577" s="510" t="n"/>
    </row>
    <row r="1578" ht="19.95" customFormat="1" customHeight="1" s="511">
      <c r="A1578" s="277" t="n"/>
      <c r="B1578" s="285" t="n"/>
      <c r="C1578" s="579" t="n"/>
      <c r="D1578" s="580" t="n"/>
      <c r="E1578" s="581" t="n"/>
      <c r="F1578" s="577" t="n"/>
      <c r="G1578" s="582" t="n"/>
      <c r="H1578" s="583" t="n"/>
      <c r="I1578" s="510" t="n"/>
    </row>
    <row r="1579" ht="19.95" customFormat="1" customHeight="1" s="511">
      <c r="A1579" s="277" t="n"/>
      <c r="B1579" s="285" t="n"/>
      <c r="C1579" s="579" t="n"/>
      <c r="D1579" s="580" t="n"/>
      <c r="E1579" s="581" t="n"/>
      <c r="F1579" s="577" t="n"/>
      <c r="G1579" s="582" t="n"/>
      <c r="H1579" s="583" t="n"/>
      <c r="I1579" s="510" t="n"/>
    </row>
    <row r="1580" ht="19.95" customFormat="1" customHeight="1" s="511">
      <c r="A1580" s="277" t="n"/>
      <c r="B1580" s="285" t="n"/>
      <c r="C1580" s="579" t="n"/>
      <c r="D1580" s="580" t="n"/>
      <c r="E1580" s="581" t="n"/>
      <c r="F1580" s="577" t="n"/>
      <c r="G1580" s="582" t="n"/>
      <c r="H1580" s="583" t="n"/>
      <c r="I1580" s="510" t="n"/>
    </row>
    <row r="1581" ht="19.95" customFormat="1" customHeight="1" s="511">
      <c r="A1581" s="277" t="n"/>
      <c r="B1581" s="285" t="n"/>
      <c r="C1581" s="579" t="n"/>
      <c r="D1581" s="580" t="n"/>
      <c r="E1581" s="581" t="n"/>
      <c r="F1581" s="577" t="n"/>
      <c r="G1581" s="582" t="n"/>
      <c r="H1581" s="583" t="n"/>
      <c r="I1581" s="510" t="n"/>
    </row>
    <row r="1582" ht="19.95" customFormat="1" customHeight="1" s="511">
      <c r="A1582" s="277" t="n"/>
      <c r="B1582" s="285" t="n"/>
      <c r="C1582" s="579" t="n"/>
      <c r="D1582" s="580" t="n"/>
      <c r="E1582" s="581" t="n"/>
      <c r="F1582" s="577" t="n"/>
      <c r="G1582" s="582" t="n"/>
      <c r="H1582" s="583" t="n"/>
      <c r="I1582" s="510" t="n"/>
    </row>
    <row r="1583" ht="19.95" customFormat="1" customHeight="1" s="511">
      <c r="A1583" s="277" t="n"/>
      <c r="B1583" s="285" t="n"/>
      <c r="C1583" s="579" t="n"/>
      <c r="D1583" s="580" t="n"/>
      <c r="E1583" s="581" t="n"/>
      <c r="F1583" s="577" t="n"/>
      <c r="G1583" s="582" t="n"/>
      <c r="H1583" s="583" t="n"/>
      <c r="I1583" s="510" t="n"/>
    </row>
    <row r="1584" ht="19.95" customFormat="1" customHeight="1" s="511">
      <c r="A1584" s="277" t="n"/>
      <c r="B1584" s="285" t="n"/>
      <c r="C1584" s="579" t="n"/>
      <c r="D1584" s="580" t="n"/>
      <c r="E1584" s="581" t="n"/>
      <c r="F1584" s="577" t="n"/>
      <c r="G1584" s="582" t="n"/>
      <c r="H1584" s="583" t="n"/>
      <c r="I1584" s="510" t="n"/>
    </row>
    <row r="1585" ht="19.95" customFormat="1" customHeight="1" s="511">
      <c r="A1585" s="277" t="n"/>
      <c r="B1585" s="285" t="n"/>
      <c r="C1585" s="579" t="n"/>
      <c r="D1585" s="580" t="n"/>
      <c r="E1585" s="581" t="n"/>
      <c r="F1585" s="577" t="n"/>
      <c r="G1585" s="582" t="n"/>
      <c r="H1585" s="583" t="n"/>
      <c r="I1585" s="510" t="n"/>
    </row>
    <row r="1586" ht="19.95" customFormat="1" customHeight="1" s="511">
      <c r="A1586" s="277" t="n"/>
      <c r="B1586" s="285" t="n"/>
      <c r="C1586" s="579" t="n"/>
      <c r="D1586" s="580" t="n"/>
      <c r="E1586" s="581" t="n"/>
      <c r="F1586" s="577" t="n"/>
      <c r="G1586" s="582" t="n"/>
      <c r="H1586" s="583" t="n"/>
      <c r="I1586" s="510" t="n"/>
    </row>
    <row r="1587" ht="19.95" customFormat="1" customHeight="1" s="511">
      <c r="A1587" s="277" t="n"/>
      <c r="B1587" s="285" t="n"/>
      <c r="C1587" s="579" t="n"/>
      <c r="D1587" s="580" t="n"/>
      <c r="E1587" s="581" t="n"/>
      <c r="F1587" s="577" t="n"/>
      <c r="G1587" s="582" t="n"/>
      <c r="H1587" s="583" t="n"/>
      <c r="I1587" s="510" t="n"/>
    </row>
    <row r="1588" ht="19.95" customFormat="1" customHeight="1" s="511">
      <c r="A1588" s="277" t="n"/>
      <c r="B1588" s="285" t="n"/>
      <c r="C1588" s="579" t="n"/>
      <c r="D1588" s="580" t="n"/>
      <c r="E1588" s="581" t="n"/>
      <c r="F1588" s="577" t="n"/>
      <c r="G1588" s="582" t="n"/>
      <c r="H1588" s="583" t="n"/>
      <c r="I1588" s="510" t="n"/>
    </row>
    <row r="1589" ht="19.95" customFormat="1" customHeight="1" s="511">
      <c r="A1589" s="277" t="n"/>
      <c r="B1589" s="285" t="n"/>
      <c r="C1589" s="579" t="n"/>
      <c r="D1589" s="580" t="n"/>
      <c r="E1589" s="581" t="n"/>
      <c r="F1589" s="577" t="n"/>
      <c r="G1589" s="582" t="n"/>
      <c r="H1589" s="583" t="n"/>
      <c r="I1589" s="510" t="n"/>
    </row>
    <row r="1590" ht="19.95" customFormat="1" customHeight="1" s="511">
      <c r="A1590" s="277" t="n"/>
      <c r="B1590" s="285" t="n"/>
      <c r="C1590" s="579" t="n"/>
      <c r="D1590" s="580" t="n"/>
      <c r="E1590" s="581" t="n"/>
      <c r="F1590" s="577" t="n"/>
      <c r="G1590" s="582" t="n"/>
      <c r="H1590" s="583" t="n"/>
      <c r="I1590" s="510" t="n"/>
    </row>
    <row r="1591" ht="19.95" customFormat="1" customHeight="1" s="511">
      <c r="A1591" s="277" t="n"/>
      <c r="B1591" s="285" t="n"/>
      <c r="C1591" s="579" t="n"/>
      <c r="D1591" s="580" t="n"/>
      <c r="E1591" s="581" t="n"/>
      <c r="F1591" s="577" t="n"/>
      <c r="G1591" s="582" t="n"/>
      <c r="H1591" s="583" t="n"/>
      <c r="I1591" s="510" t="n"/>
    </row>
    <row r="1592" ht="19.95" customFormat="1" customHeight="1" s="511">
      <c r="A1592" s="277" t="n"/>
      <c r="B1592" s="285" t="n"/>
      <c r="C1592" s="579" t="n"/>
      <c r="D1592" s="580" t="n"/>
      <c r="E1592" s="581" t="n"/>
      <c r="F1592" s="577" t="n"/>
      <c r="G1592" s="582" t="n"/>
      <c r="H1592" s="583" t="n"/>
      <c r="I1592" s="510" t="n"/>
    </row>
    <row r="1593" ht="19.95" customFormat="1" customHeight="1" s="511">
      <c r="A1593" s="277" t="n"/>
      <c r="B1593" s="285" t="n"/>
      <c r="C1593" s="579" t="n"/>
      <c r="D1593" s="580" t="n"/>
      <c r="E1593" s="581" t="n"/>
      <c r="F1593" s="577" t="n"/>
      <c r="G1593" s="582" t="n"/>
      <c r="H1593" s="583" t="n"/>
      <c r="I1593" s="510" t="n"/>
    </row>
    <row r="1594" ht="19.95" customFormat="1" customHeight="1" s="511">
      <c r="A1594" s="277" t="n"/>
      <c r="B1594" s="285" t="n"/>
      <c r="C1594" s="579" t="n"/>
      <c r="D1594" s="580" t="n"/>
      <c r="E1594" s="581" t="n"/>
      <c r="F1594" s="577" t="n"/>
      <c r="G1594" s="582" t="n"/>
      <c r="H1594" s="583" t="n"/>
      <c r="I1594" s="510" t="n"/>
    </row>
    <row r="1595" ht="19.95" customFormat="1" customHeight="1" s="511">
      <c r="A1595" s="277" t="n"/>
      <c r="B1595" s="285" t="n"/>
      <c r="C1595" s="579" t="n"/>
      <c r="D1595" s="580" t="n"/>
      <c r="E1595" s="581" t="n"/>
      <c r="F1595" s="577" t="n"/>
      <c r="G1595" s="582" t="n"/>
      <c r="H1595" s="583" t="n"/>
      <c r="I1595" s="510" t="n"/>
    </row>
    <row r="1596" ht="19.95" customFormat="1" customHeight="1" s="511">
      <c r="A1596" s="277" t="n"/>
      <c r="B1596" s="285" t="n"/>
      <c r="C1596" s="579" t="n"/>
      <c r="D1596" s="580" t="n"/>
      <c r="E1596" s="581" t="n"/>
      <c r="F1596" s="577" t="n"/>
      <c r="G1596" s="582" t="n"/>
      <c r="H1596" s="583" t="n"/>
      <c r="I1596" s="510" t="n"/>
    </row>
    <row r="1597" ht="19.95" customFormat="1" customHeight="1" s="511">
      <c r="A1597" s="277" t="n"/>
      <c r="B1597" s="285" t="n"/>
      <c r="C1597" s="579" t="n"/>
      <c r="D1597" s="580" t="n"/>
      <c r="E1597" s="581" t="n"/>
      <c r="F1597" s="577" t="n"/>
      <c r="G1597" s="582" t="n"/>
      <c r="H1597" s="583" t="n"/>
      <c r="I1597" s="510" t="n"/>
    </row>
    <row r="1598" ht="19.95" customFormat="1" customHeight="1" s="511">
      <c r="A1598" s="277" t="n"/>
      <c r="B1598" s="285" t="n"/>
      <c r="C1598" s="579" t="n"/>
      <c r="D1598" s="580" t="n"/>
      <c r="E1598" s="581" t="n"/>
      <c r="F1598" s="577" t="n"/>
      <c r="G1598" s="582" t="n"/>
      <c r="H1598" s="583" t="n"/>
      <c r="I1598" s="510" t="n"/>
    </row>
    <row r="1599" ht="19.95" customFormat="1" customHeight="1" s="511">
      <c r="A1599" s="277" t="n"/>
      <c r="B1599" s="285" t="n"/>
      <c r="C1599" s="579" t="n"/>
      <c r="D1599" s="580" t="n"/>
      <c r="E1599" s="581" t="n"/>
      <c r="F1599" s="577" t="n"/>
      <c r="G1599" s="582" t="n"/>
      <c r="H1599" s="583" t="n"/>
      <c r="I1599" s="510" t="n"/>
    </row>
    <row r="1600" ht="19.95" customFormat="1" customHeight="1" s="511">
      <c r="A1600" s="277" t="n"/>
      <c r="B1600" s="285" t="n"/>
      <c r="C1600" s="579" t="n"/>
      <c r="D1600" s="580" t="n"/>
      <c r="E1600" s="581" t="n"/>
      <c r="F1600" s="577" t="n"/>
      <c r="G1600" s="582" t="n"/>
      <c r="H1600" s="583" t="n"/>
      <c r="I1600" s="510" t="n"/>
    </row>
    <row r="1601" ht="19.95" customFormat="1" customHeight="1" s="511">
      <c r="A1601" s="277" t="n"/>
      <c r="B1601" s="285" t="n"/>
      <c r="C1601" s="579" t="n"/>
      <c r="D1601" s="580" t="n"/>
      <c r="E1601" s="581" t="n"/>
      <c r="F1601" s="577" t="n"/>
      <c r="G1601" s="582" t="n"/>
      <c r="H1601" s="583" t="n"/>
      <c r="I1601" s="510" t="n"/>
    </row>
    <row r="1602" ht="19.95" customFormat="1" customHeight="1" s="511">
      <c r="A1602" s="277" t="n"/>
      <c r="B1602" s="285" t="n"/>
      <c r="C1602" s="579" t="n"/>
      <c r="D1602" s="580" t="n"/>
      <c r="E1602" s="581" t="n"/>
      <c r="F1602" s="577" t="n"/>
      <c r="G1602" s="582" t="n"/>
      <c r="H1602" s="583" t="n"/>
      <c r="I1602" s="510" t="n"/>
    </row>
    <row r="1603" ht="19.95" customFormat="1" customHeight="1" s="511">
      <c r="A1603" s="277" t="n"/>
      <c r="B1603" s="285" t="n"/>
      <c r="C1603" s="579" t="n"/>
      <c r="D1603" s="580" t="n"/>
      <c r="E1603" s="581" t="n"/>
      <c r="F1603" s="577" t="n"/>
      <c r="G1603" s="582" t="n"/>
      <c r="H1603" s="583" t="n"/>
      <c r="I1603" s="510" t="n"/>
    </row>
    <row r="1604" ht="19.95" customFormat="1" customHeight="1" s="511">
      <c r="A1604" s="277" t="n"/>
      <c r="B1604" s="285" t="n"/>
      <c r="C1604" s="579" t="n"/>
      <c r="D1604" s="580" t="n"/>
      <c r="E1604" s="581" t="n"/>
      <c r="F1604" s="577" t="n"/>
      <c r="G1604" s="582" t="n"/>
      <c r="H1604" s="583" t="n"/>
      <c r="I1604" s="510" t="n"/>
    </row>
    <row r="1605" ht="19.95" customFormat="1" customHeight="1" s="511">
      <c r="A1605" s="277" t="n"/>
      <c r="B1605" s="285" t="n"/>
      <c r="C1605" s="579" t="n"/>
      <c r="D1605" s="580" t="n"/>
      <c r="E1605" s="581" t="n"/>
      <c r="F1605" s="577" t="n"/>
      <c r="G1605" s="582" t="n"/>
      <c r="H1605" s="583" t="n"/>
      <c r="I1605" s="510" t="n"/>
    </row>
    <row r="1606" ht="19.95" customFormat="1" customHeight="1" s="511">
      <c r="A1606" s="277" t="n"/>
      <c r="B1606" s="285" t="n"/>
      <c r="C1606" s="579" t="n"/>
      <c r="D1606" s="580" t="n"/>
      <c r="E1606" s="581" t="n"/>
      <c r="F1606" s="577" t="n"/>
      <c r="G1606" s="582" t="n"/>
      <c r="H1606" s="583" t="n"/>
      <c r="I1606" s="510" t="n"/>
    </row>
    <row r="1607" ht="19.95" customFormat="1" customHeight="1" s="511">
      <c r="A1607" s="277" t="n"/>
      <c r="B1607" s="285" t="n"/>
      <c r="C1607" s="579" t="n"/>
      <c r="D1607" s="580" t="n"/>
      <c r="E1607" s="581" t="n"/>
      <c r="F1607" s="577" t="n"/>
      <c r="G1607" s="582" t="n"/>
      <c r="H1607" s="583" t="n"/>
      <c r="I1607" s="510" t="n"/>
    </row>
    <row r="1608" ht="19.95" customFormat="1" customHeight="1" s="511">
      <c r="A1608" s="277" t="n"/>
      <c r="B1608" s="285" t="n"/>
      <c r="C1608" s="579" t="n"/>
      <c r="D1608" s="580" t="n"/>
      <c r="E1608" s="581" t="n"/>
      <c r="F1608" s="577" t="n"/>
      <c r="G1608" s="582" t="n"/>
      <c r="H1608" s="583" t="n"/>
      <c r="I1608" s="510" t="n"/>
    </row>
    <row r="1609" ht="19.95" customFormat="1" customHeight="1" s="511">
      <c r="A1609" s="277" t="n"/>
      <c r="B1609" s="285" t="n"/>
      <c r="C1609" s="579" t="n"/>
      <c r="D1609" s="580" t="n"/>
      <c r="E1609" s="581" t="n"/>
      <c r="F1609" s="577" t="n"/>
      <c r="G1609" s="582" t="n"/>
      <c r="H1609" s="583" t="n"/>
      <c r="I1609" s="510" t="n"/>
    </row>
    <row r="1610" ht="19.95" customFormat="1" customHeight="1" s="511">
      <c r="A1610" s="277" t="n"/>
      <c r="B1610" s="285" t="n"/>
      <c r="C1610" s="579" t="n"/>
      <c r="D1610" s="580" t="n"/>
      <c r="E1610" s="581" t="n"/>
      <c r="F1610" s="577" t="n"/>
      <c r="G1610" s="582" t="n"/>
      <c r="H1610" s="583" t="n"/>
      <c r="I1610" s="510" t="n"/>
    </row>
    <row r="1611" ht="19.95" customFormat="1" customHeight="1" s="511">
      <c r="A1611" s="277" t="n"/>
      <c r="B1611" s="285" t="n"/>
      <c r="C1611" s="579" t="n"/>
      <c r="D1611" s="580" t="n"/>
      <c r="E1611" s="581" t="n"/>
      <c r="F1611" s="577" t="n"/>
      <c r="G1611" s="582" t="n"/>
      <c r="H1611" s="583" t="n"/>
      <c r="I1611" s="510" t="n"/>
    </row>
    <row r="1612" ht="19.95" customFormat="1" customHeight="1" s="511">
      <c r="A1612" s="277" t="n"/>
      <c r="B1612" s="285" t="n"/>
      <c r="C1612" s="579" t="n"/>
      <c r="D1612" s="580" t="n"/>
      <c r="E1612" s="581" t="n"/>
      <c r="F1612" s="577" t="n"/>
      <c r="G1612" s="582" t="n"/>
      <c r="H1612" s="583" t="n"/>
      <c r="I1612" s="510" t="n"/>
    </row>
    <row r="1613" ht="19.95" customFormat="1" customHeight="1" s="511">
      <c r="A1613" s="277" t="n"/>
      <c r="B1613" s="285" t="n"/>
      <c r="C1613" s="579" t="n"/>
      <c r="D1613" s="580" t="n"/>
      <c r="E1613" s="581" t="n"/>
      <c r="F1613" s="577" t="n"/>
      <c r="G1613" s="582" t="n"/>
      <c r="H1613" s="583" t="n"/>
      <c r="I1613" s="510" t="n"/>
    </row>
    <row r="1614" ht="19.95" customFormat="1" customHeight="1" s="511">
      <c r="A1614" s="277" t="n"/>
      <c r="B1614" s="285" t="n"/>
      <c r="C1614" s="579" t="n"/>
      <c r="D1614" s="580" t="n"/>
      <c r="E1614" s="581" t="n"/>
      <c r="F1614" s="577" t="n"/>
      <c r="G1614" s="582" t="n"/>
      <c r="H1614" s="583" t="n"/>
      <c r="I1614" s="510" t="n"/>
    </row>
    <row r="1615" ht="19.95" customFormat="1" customHeight="1" s="511">
      <c r="A1615" s="277" t="n"/>
      <c r="B1615" s="285" t="n"/>
      <c r="C1615" s="579" t="n"/>
      <c r="D1615" s="580" t="n"/>
      <c r="E1615" s="581" t="n"/>
      <c r="F1615" s="577" t="n"/>
      <c r="G1615" s="582" t="n"/>
      <c r="H1615" s="583" t="n"/>
      <c r="I1615" s="510" t="n"/>
    </row>
    <row r="1616" ht="19.95" customFormat="1" customHeight="1" s="511">
      <c r="A1616" s="277" t="n"/>
      <c r="B1616" s="285" t="n"/>
      <c r="C1616" s="579" t="n"/>
      <c r="D1616" s="580" t="n"/>
      <c r="E1616" s="581" t="n"/>
      <c r="F1616" s="577" t="n"/>
      <c r="G1616" s="582" t="n"/>
      <c r="H1616" s="583" t="n"/>
      <c r="I1616" s="510" t="n"/>
    </row>
    <row r="1617" ht="19.95" customFormat="1" customHeight="1" s="511">
      <c r="A1617" s="277" t="n"/>
      <c r="B1617" s="285" t="n"/>
      <c r="C1617" s="579" t="n"/>
      <c r="D1617" s="580" t="n"/>
      <c r="E1617" s="581" t="n"/>
      <c r="F1617" s="577" t="n"/>
      <c r="G1617" s="582" t="n"/>
      <c r="H1617" s="583" t="n"/>
      <c r="I1617" s="510" t="n"/>
    </row>
    <row r="1618" ht="19.95" customFormat="1" customHeight="1" s="511">
      <c r="A1618" s="277" t="n"/>
      <c r="B1618" s="285" t="n"/>
      <c r="C1618" s="579" t="n"/>
      <c r="D1618" s="580" t="n"/>
      <c r="E1618" s="581" t="n"/>
      <c r="F1618" s="577" t="n"/>
      <c r="G1618" s="582" t="n"/>
      <c r="H1618" s="583" t="n"/>
      <c r="I1618" s="510" t="n"/>
    </row>
    <row r="1619" ht="19.95" customFormat="1" customHeight="1" s="511">
      <c r="A1619" s="277" t="n"/>
      <c r="B1619" s="285" t="n"/>
      <c r="C1619" s="579" t="n"/>
      <c r="D1619" s="580" t="n"/>
      <c r="E1619" s="581" t="n"/>
      <c r="F1619" s="577" t="n"/>
      <c r="G1619" s="582" t="n"/>
      <c r="H1619" s="583" t="n"/>
      <c r="I1619" s="510" t="n"/>
    </row>
    <row r="1620" ht="19.95" customFormat="1" customHeight="1" s="511">
      <c r="A1620" s="277" t="n"/>
      <c r="B1620" s="285" t="n"/>
      <c r="C1620" s="579" t="n"/>
      <c r="D1620" s="580" t="n"/>
      <c r="E1620" s="581" t="n"/>
      <c r="F1620" s="577" t="n"/>
      <c r="G1620" s="582" t="n"/>
      <c r="H1620" s="583" t="n"/>
      <c r="I1620" s="510" t="n"/>
    </row>
    <row r="1621" ht="19.95" customFormat="1" customHeight="1" s="511">
      <c r="A1621" s="277" t="n"/>
      <c r="B1621" s="285" t="n"/>
      <c r="C1621" s="579" t="n"/>
      <c r="D1621" s="580" t="n"/>
      <c r="E1621" s="581" t="n"/>
      <c r="F1621" s="577" t="n"/>
      <c r="G1621" s="582" t="n"/>
      <c r="H1621" s="583" t="n"/>
      <c r="I1621" s="510" t="n"/>
    </row>
    <row r="1622" ht="19.95" customFormat="1" customHeight="1" s="511">
      <c r="A1622" s="277" t="n"/>
      <c r="B1622" s="285" t="n"/>
      <c r="C1622" s="579" t="n"/>
      <c r="D1622" s="580" t="n"/>
      <c r="E1622" s="581" t="n"/>
      <c r="F1622" s="577" t="n"/>
      <c r="G1622" s="582" t="n"/>
      <c r="H1622" s="583" t="n"/>
      <c r="I1622" s="510" t="n"/>
    </row>
    <row r="1623" ht="19.95" customFormat="1" customHeight="1" s="511">
      <c r="A1623" s="277" t="n"/>
      <c r="B1623" s="285" t="n"/>
      <c r="C1623" s="579" t="n"/>
      <c r="D1623" s="580" t="n"/>
      <c r="E1623" s="581" t="n"/>
      <c r="F1623" s="577" t="n"/>
      <c r="G1623" s="582" t="n"/>
      <c r="H1623" s="583" t="n"/>
      <c r="I1623" s="510" t="n"/>
    </row>
    <row r="1624" ht="19.95" customFormat="1" customHeight="1" s="511">
      <c r="A1624" s="277" t="n"/>
      <c r="B1624" s="285" t="n"/>
      <c r="C1624" s="579" t="n"/>
      <c r="D1624" s="580" t="n"/>
      <c r="E1624" s="581" t="n"/>
      <c r="F1624" s="577" t="n"/>
      <c r="G1624" s="582" t="n"/>
      <c r="H1624" s="583" t="n"/>
      <c r="I1624" s="510" t="n"/>
    </row>
    <row r="1625" ht="19.95" customFormat="1" customHeight="1" s="511">
      <c r="A1625" s="277" t="n"/>
      <c r="B1625" s="285" t="n"/>
      <c r="C1625" s="579" t="n"/>
      <c r="D1625" s="580" t="n"/>
      <c r="E1625" s="581" t="n"/>
      <c r="F1625" s="577" t="n"/>
      <c r="G1625" s="582" t="n"/>
      <c r="H1625" s="583" t="n"/>
      <c r="I1625" s="510" t="n"/>
    </row>
    <row r="1626" ht="19.95" customFormat="1" customHeight="1" s="511">
      <c r="A1626" s="277" t="n"/>
      <c r="B1626" s="285" t="n"/>
      <c r="C1626" s="579" t="n"/>
      <c r="D1626" s="580" t="n"/>
      <c r="E1626" s="581" t="n"/>
      <c r="F1626" s="577" t="n"/>
      <c r="G1626" s="582" t="n"/>
      <c r="H1626" s="583" t="n"/>
      <c r="I1626" s="510" t="n"/>
    </row>
    <row r="1627" ht="19.95" customFormat="1" customHeight="1" s="511">
      <c r="A1627" s="277" t="n"/>
      <c r="B1627" s="285" t="n"/>
      <c r="C1627" s="579" t="n"/>
      <c r="D1627" s="580" t="n"/>
      <c r="E1627" s="581" t="n"/>
      <c r="F1627" s="577" t="n"/>
      <c r="G1627" s="582" t="n"/>
      <c r="H1627" s="583" t="n"/>
      <c r="I1627" s="510" t="n"/>
    </row>
    <row r="1628" ht="19.95" customFormat="1" customHeight="1" s="511">
      <c r="A1628" s="277" t="n"/>
      <c r="B1628" s="285" t="n"/>
      <c r="C1628" s="579" t="n"/>
      <c r="D1628" s="580" t="n"/>
      <c r="E1628" s="581" t="n"/>
      <c r="F1628" s="577" t="n"/>
      <c r="G1628" s="582" t="n"/>
      <c r="H1628" s="583" t="n"/>
      <c r="I1628" s="510" t="n"/>
    </row>
    <row r="1629" ht="19.95" customFormat="1" customHeight="1" s="511">
      <c r="A1629" s="277" t="n"/>
      <c r="B1629" s="285" t="n"/>
      <c r="C1629" s="579" t="n"/>
      <c r="D1629" s="580" t="n"/>
      <c r="E1629" s="581" t="n"/>
      <c r="F1629" s="577" t="n"/>
      <c r="G1629" s="582" t="n"/>
      <c r="H1629" s="583" t="n"/>
      <c r="I1629" s="510" t="n"/>
    </row>
    <row r="1630" ht="19.95" customFormat="1" customHeight="1" s="511">
      <c r="A1630" s="277" t="n"/>
      <c r="B1630" s="285" t="n"/>
      <c r="C1630" s="579" t="n"/>
      <c r="D1630" s="580" t="n"/>
      <c r="E1630" s="581" t="n"/>
      <c r="F1630" s="577" t="n"/>
      <c r="G1630" s="582" t="n"/>
      <c r="H1630" s="583" t="n"/>
      <c r="I1630" s="510" t="n"/>
    </row>
    <row r="1631" ht="19.95" customFormat="1" customHeight="1" s="511">
      <c r="A1631" s="277" t="n"/>
      <c r="B1631" s="285" t="n"/>
      <c r="C1631" s="579" t="n"/>
      <c r="D1631" s="580" t="n"/>
      <c r="E1631" s="581" t="n"/>
      <c r="F1631" s="577" t="n"/>
      <c r="G1631" s="582" t="n"/>
      <c r="H1631" s="583" t="n"/>
      <c r="I1631" s="510" t="n"/>
    </row>
    <row r="1632" ht="19.95" customFormat="1" customHeight="1" s="511">
      <c r="A1632" s="277" t="n"/>
      <c r="B1632" s="285" t="n"/>
      <c r="C1632" s="579" t="n"/>
      <c r="D1632" s="580" t="n"/>
      <c r="E1632" s="581" t="n"/>
      <c r="F1632" s="577" t="n"/>
      <c r="G1632" s="582" t="n"/>
      <c r="H1632" s="583" t="n"/>
      <c r="I1632" s="510" t="n"/>
    </row>
    <row r="1633" ht="19.95" customFormat="1" customHeight="1" s="511">
      <c r="A1633" s="277" t="n"/>
      <c r="B1633" s="285" t="n"/>
      <c r="C1633" s="579" t="n"/>
      <c r="D1633" s="580" t="n"/>
      <c r="E1633" s="581" t="n"/>
      <c r="F1633" s="577" t="n"/>
      <c r="G1633" s="582" t="n"/>
      <c r="H1633" s="583" t="n"/>
      <c r="I1633" s="510" t="n"/>
    </row>
    <row r="1634" ht="19.95" customFormat="1" customHeight="1" s="511">
      <c r="A1634" s="277" t="n"/>
      <c r="B1634" s="285" t="n"/>
      <c r="C1634" s="579" t="n"/>
      <c r="D1634" s="580" t="n"/>
      <c r="E1634" s="581" t="n"/>
      <c r="F1634" s="577" t="n"/>
      <c r="G1634" s="582" t="n"/>
      <c r="H1634" s="583" t="n"/>
      <c r="I1634" s="510" t="n"/>
    </row>
    <row r="1635" ht="19.95" customFormat="1" customHeight="1" s="511">
      <c r="A1635" s="277" t="n"/>
      <c r="B1635" s="285" t="n"/>
      <c r="C1635" s="579" t="n"/>
      <c r="D1635" s="580" t="n"/>
      <c r="E1635" s="581" t="n"/>
      <c r="F1635" s="577" t="n"/>
      <c r="G1635" s="582" t="n"/>
      <c r="H1635" s="583" t="n"/>
      <c r="I1635" s="510" t="n"/>
    </row>
    <row r="1636" ht="19.95" customFormat="1" customHeight="1" s="511">
      <c r="A1636" s="277" t="n"/>
      <c r="B1636" s="285" t="n"/>
      <c r="C1636" s="579" t="n"/>
      <c r="D1636" s="580" t="n"/>
      <c r="E1636" s="581" t="n"/>
      <c r="F1636" s="577" t="n"/>
      <c r="G1636" s="582" t="n"/>
      <c r="H1636" s="583" t="n"/>
      <c r="I1636" s="510" t="n"/>
    </row>
    <row r="1637" ht="19.95" customFormat="1" customHeight="1" s="511">
      <c r="A1637" s="277" t="n"/>
      <c r="B1637" s="285" t="n"/>
      <c r="C1637" s="579" t="n"/>
      <c r="D1637" s="580" t="n"/>
      <c r="E1637" s="581" t="n"/>
      <c r="F1637" s="577" t="n"/>
      <c r="G1637" s="582" t="n"/>
      <c r="H1637" s="583" t="n"/>
      <c r="I1637" s="510" t="n"/>
    </row>
    <row r="1638" ht="19.95" customFormat="1" customHeight="1" s="511">
      <c r="A1638" s="277" t="n"/>
      <c r="B1638" s="285" t="n"/>
      <c r="C1638" s="579" t="n"/>
      <c r="D1638" s="580" t="n"/>
      <c r="E1638" s="581" t="n"/>
      <c r="F1638" s="577" t="n"/>
      <c r="G1638" s="582" t="n"/>
      <c r="H1638" s="583" t="n"/>
      <c r="I1638" s="510" t="n"/>
    </row>
    <row r="1639" ht="19.95" customFormat="1" customHeight="1" s="511">
      <c r="A1639" s="277" t="n"/>
      <c r="B1639" s="285" t="n"/>
      <c r="C1639" s="579" t="n"/>
      <c r="D1639" s="580" t="n"/>
      <c r="E1639" s="581" t="n"/>
      <c r="F1639" s="577" t="n"/>
      <c r="G1639" s="582" t="n"/>
      <c r="H1639" s="583" t="n"/>
      <c r="I1639" s="510" t="n"/>
    </row>
    <row r="1640" ht="19.95" customFormat="1" customHeight="1" s="511">
      <c r="A1640" s="277" t="n"/>
      <c r="B1640" s="285" t="n"/>
      <c r="C1640" s="579" t="n"/>
      <c r="D1640" s="580" t="n"/>
      <c r="E1640" s="581" t="n"/>
      <c r="F1640" s="577" t="n"/>
      <c r="G1640" s="582" t="n"/>
      <c r="H1640" s="583" t="n"/>
      <c r="I1640" s="510" t="n"/>
    </row>
    <row r="1641" ht="19.95" customFormat="1" customHeight="1" s="511">
      <c r="A1641" s="277" t="n"/>
      <c r="B1641" s="285" t="n"/>
      <c r="C1641" s="579" t="n"/>
      <c r="D1641" s="580" t="n"/>
      <c r="E1641" s="581" t="n"/>
      <c r="F1641" s="577" t="n"/>
      <c r="G1641" s="582" t="n"/>
      <c r="H1641" s="583" t="n"/>
      <c r="I1641" s="510" t="n"/>
    </row>
    <row r="1642" ht="19.95" customFormat="1" customHeight="1" s="511">
      <c r="A1642" s="277" t="n"/>
      <c r="B1642" s="285" t="n"/>
      <c r="C1642" s="579" t="n"/>
      <c r="D1642" s="580" t="n"/>
      <c r="E1642" s="581" t="n"/>
      <c r="F1642" s="577" t="n"/>
      <c r="G1642" s="582" t="n"/>
      <c r="H1642" s="583" t="n"/>
      <c r="I1642" s="510" t="n"/>
    </row>
    <row r="1643" ht="19.95" customFormat="1" customHeight="1" s="511">
      <c r="A1643" s="277" t="n"/>
      <c r="B1643" s="285" t="n"/>
      <c r="C1643" s="579" t="n"/>
      <c r="D1643" s="580" t="n"/>
      <c r="E1643" s="581" t="n"/>
      <c r="F1643" s="577" t="n"/>
      <c r="G1643" s="582" t="n"/>
      <c r="H1643" s="583" t="n"/>
      <c r="I1643" s="510" t="n"/>
    </row>
    <row r="1644" ht="19.95" customFormat="1" customHeight="1" s="511">
      <c r="A1644" s="277" t="n"/>
      <c r="B1644" s="285" t="n"/>
      <c r="C1644" s="579" t="n"/>
      <c r="D1644" s="580" t="n"/>
      <c r="E1644" s="581" t="n"/>
      <c r="F1644" s="577" t="n"/>
      <c r="G1644" s="582" t="n"/>
      <c r="H1644" s="583" t="n"/>
      <c r="I1644" s="510" t="n"/>
    </row>
    <row r="1645" ht="19.95" customFormat="1" customHeight="1" s="511">
      <c r="A1645" s="277" t="n"/>
      <c r="B1645" s="285" t="n"/>
      <c r="C1645" s="579" t="n"/>
      <c r="D1645" s="580" t="n"/>
      <c r="E1645" s="581" t="n"/>
      <c r="F1645" s="577" t="n"/>
      <c r="G1645" s="582" t="n"/>
      <c r="H1645" s="583" t="n"/>
      <c r="I1645" s="510" t="n"/>
    </row>
    <row r="1646" ht="19.95" customFormat="1" customHeight="1" s="511">
      <c r="A1646" s="277" t="n"/>
      <c r="B1646" s="285" t="n"/>
      <c r="C1646" s="579" t="n"/>
      <c r="D1646" s="580" t="n"/>
      <c r="E1646" s="581" t="n"/>
      <c r="F1646" s="577" t="n"/>
      <c r="G1646" s="582" t="n"/>
      <c r="H1646" s="583" t="n"/>
      <c r="I1646" s="510" t="n"/>
    </row>
    <row r="1647" ht="19.95" customFormat="1" customHeight="1" s="511">
      <c r="A1647" s="277" t="n"/>
      <c r="B1647" s="285" t="n"/>
      <c r="C1647" s="579" t="n"/>
      <c r="D1647" s="580" t="n"/>
      <c r="E1647" s="581" t="n"/>
      <c r="F1647" s="577" t="n"/>
      <c r="G1647" s="582" t="n"/>
      <c r="H1647" s="583" t="n"/>
      <c r="I1647" s="510" t="n"/>
    </row>
    <row r="1648" ht="19.95" customFormat="1" customHeight="1" s="511">
      <c r="A1648" s="277" t="n"/>
      <c r="B1648" s="285" t="n"/>
      <c r="C1648" s="579" t="n"/>
      <c r="D1648" s="580" t="n"/>
      <c r="E1648" s="581" t="n"/>
      <c r="F1648" s="577" t="n"/>
      <c r="G1648" s="582" t="n"/>
      <c r="H1648" s="583" t="n"/>
      <c r="I1648" s="510" t="n"/>
    </row>
    <row r="1649" ht="19.95" customFormat="1" customHeight="1" s="511">
      <c r="A1649" s="277" t="n"/>
      <c r="B1649" s="285" t="n"/>
      <c r="C1649" s="579" t="n"/>
      <c r="D1649" s="580" t="n"/>
      <c r="E1649" s="581" t="n"/>
      <c r="F1649" s="577" t="n"/>
      <c r="G1649" s="582" t="n"/>
      <c r="H1649" s="583" t="n"/>
      <c r="I1649" s="510" t="n"/>
    </row>
    <row r="1650" ht="19.95" customFormat="1" customHeight="1" s="511">
      <c r="A1650" s="277" t="n"/>
      <c r="B1650" s="285" t="n"/>
      <c r="C1650" s="579" t="n"/>
      <c r="D1650" s="580" t="n"/>
      <c r="E1650" s="581" t="n"/>
      <c r="F1650" s="577" t="n"/>
      <c r="G1650" s="582" t="n"/>
      <c r="H1650" s="583" t="n"/>
      <c r="I1650" s="510" t="n"/>
    </row>
    <row r="1651" ht="19.95" customFormat="1" customHeight="1" s="511">
      <c r="A1651" s="277" t="n"/>
      <c r="B1651" s="285" t="n"/>
      <c r="C1651" s="579" t="n"/>
      <c r="D1651" s="580" t="n"/>
      <c r="E1651" s="581" t="n"/>
      <c r="F1651" s="577" t="n"/>
      <c r="G1651" s="582" t="n"/>
      <c r="H1651" s="583" t="n"/>
      <c r="I1651" s="510" t="n"/>
    </row>
    <row r="1652" ht="19.95" customFormat="1" customHeight="1" s="511">
      <c r="A1652" s="277" t="n"/>
      <c r="B1652" s="285" t="n"/>
      <c r="C1652" s="579" t="n"/>
      <c r="D1652" s="580" t="n"/>
      <c r="E1652" s="581" t="n"/>
      <c r="F1652" s="577" t="n"/>
      <c r="G1652" s="582" t="n"/>
      <c r="H1652" s="583" t="n"/>
      <c r="I1652" s="510" t="n"/>
    </row>
    <row r="1653" ht="19.95" customFormat="1" customHeight="1" s="511">
      <c r="A1653" s="277" t="n"/>
      <c r="B1653" s="285" t="n"/>
      <c r="C1653" s="579" t="n"/>
      <c r="D1653" s="580" t="n"/>
      <c r="E1653" s="581" t="n"/>
      <c r="F1653" s="577" t="n"/>
      <c r="G1653" s="582" t="n"/>
      <c r="H1653" s="583" t="n"/>
      <c r="I1653" s="510" t="n"/>
    </row>
    <row r="1654" ht="19.95" customFormat="1" customHeight="1" s="511">
      <c r="A1654" s="277" t="n"/>
      <c r="B1654" s="285" t="n"/>
      <c r="C1654" s="579" t="n"/>
      <c r="D1654" s="580" t="n"/>
      <c r="E1654" s="581" t="n"/>
      <c r="F1654" s="577" t="n"/>
      <c r="G1654" s="582" t="n"/>
      <c r="H1654" s="583" t="n"/>
      <c r="I1654" s="510" t="n"/>
    </row>
    <row r="1655" ht="19.95" customFormat="1" customHeight="1" s="511">
      <c r="A1655" s="277" t="n"/>
      <c r="B1655" s="285" t="n"/>
      <c r="C1655" s="579" t="n"/>
      <c r="D1655" s="580" t="n"/>
      <c r="E1655" s="581" t="n"/>
      <c r="F1655" s="577" t="n"/>
      <c r="G1655" s="582" t="n"/>
      <c r="H1655" s="583" t="n"/>
      <c r="I1655" s="510" t="n"/>
    </row>
    <row r="1656" ht="19.95" customFormat="1" customHeight="1" s="511">
      <c r="A1656" s="277" t="n"/>
      <c r="B1656" s="285" t="n"/>
      <c r="C1656" s="579" t="n"/>
      <c r="D1656" s="580" t="n"/>
      <c r="E1656" s="581" t="n"/>
      <c r="F1656" s="577" t="n"/>
      <c r="G1656" s="582" t="n"/>
      <c r="H1656" s="583" t="n"/>
      <c r="I1656" s="510" t="n"/>
    </row>
    <row r="1657" ht="19.95" customFormat="1" customHeight="1" s="511">
      <c r="A1657" s="277" t="n"/>
      <c r="B1657" s="285" t="n"/>
      <c r="C1657" s="579" t="n"/>
      <c r="D1657" s="580" t="n"/>
      <c r="E1657" s="581" t="n"/>
      <c r="F1657" s="577" t="n"/>
      <c r="G1657" s="582" t="n"/>
      <c r="H1657" s="583" t="n"/>
      <c r="I1657" s="510" t="n"/>
    </row>
    <row r="1658" ht="19.95" customFormat="1" customHeight="1" s="511">
      <c r="A1658" s="277" t="n"/>
      <c r="B1658" s="285" t="n"/>
      <c r="C1658" s="579" t="n"/>
      <c r="D1658" s="580" t="n"/>
      <c r="E1658" s="581" t="n"/>
      <c r="F1658" s="577" t="n"/>
      <c r="G1658" s="582" t="n"/>
      <c r="H1658" s="583" t="n"/>
      <c r="I1658" s="510" t="n"/>
    </row>
    <row r="1659" ht="19.95" customFormat="1" customHeight="1" s="511">
      <c r="A1659" s="277" t="n"/>
      <c r="B1659" s="285" t="n"/>
      <c r="C1659" s="579" t="n"/>
      <c r="D1659" s="580" t="n"/>
      <c r="E1659" s="581" t="n"/>
      <c r="F1659" s="577" t="n"/>
      <c r="G1659" s="582" t="n"/>
      <c r="H1659" s="583" t="n"/>
      <c r="I1659" s="510" t="n"/>
    </row>
    <row r="1660" ht="19.95" customFormat="1" customHeight="1" s="511">
      <c r="A1660" s="277" t="n"/>
      <c r="B1660" s="285" t="n"/>
      <c r="C1660" s="579" t="n"/>
      <c r="D1660" s="580" t="n"/>
      <c r="E1660" s="581" t="n"/>
      <c r="F1660" s="577" t="n"/>
      <c r="G1660" s="582" t="n"/>
      <c r="H1660" s="583" t="n"/>
      <c r="I1660" s="510" t="n"/>
    </row>
    <row r="1661" ht="19.95" customFormat="1" customHeight="1" s="511">
      <c r="A1661" s="277" t="n"/>
      <c r="B1661" s="285" t="n"/>
      <c r="C1661" s="579" t="n"/>
      <c r="D1661" s="580" t="n"/>
      <c r="E1661" s="581" t="n"/>
      <c r="F1661" s="577" t="n"/>
      <c r="G1661" s="582" t="n"/>
      <c r="H1661" s="583" t="n"/>
      <c r="I1661" s="510" t="n"/>
    </row>
    <row r="1662" ht="19.95" customFormat="1" customHeight="1" s="511">
      <c r="A1662" s="277" t="n"/>
      <c r="B1662" s="285" t="n"/>
      <c r="C1662" s="579" t="n"/>
      <c r="D1662" s="580" t="n"/>
      <c r="E1662" s="581" t="n"/>
      <c r="F1662" s="577" t="n"/>
      <c r="G1662" s="582" t="n"/>
      <c r="H1662" s="583" t="n"/>
      <c r="I1662" s="510" t="n"/>
    </row>
    <row r="1663" ht="19.95" customFormat="1" customHeight="1" s="511">
      <c r="A1663" s="277" t="n"/>
      <c r="B1663" s="285" t="n"/>
      <c r="C1663" s="579" t="n"/>
      <c r="D1663" s="580" t="n"/>
      <c r="E1663" s="581" t="n"/>
      <c r="F1663" s="577" t="n"/>
      <c r="G1663" s="582" t="n"/>
      <c r="H1663" s="583" t="n"/>
      <c r="I1663" s="510" t="n"/>
    </row>
    <row r="1664" ht="19.95" customFormat="1" customHeight="1" s="511">
      <c r="A1664" s="277" t="n"/>
      <c r="B1664" s="285" t="n"/>
      <c r="C1664" s="579" t="n"/>
      <c r="D1664" s="580" t="n"/>
      <c r="E1664" s="581" t="n"/>
      <c r="F1664" s="577" t="n"/>
      <c r="G1664" s="582" t="n"/>
      <c r="H1664" s="583" t="n"/>
      <c r="I1664" s="510" t="n"/>
    </row>
    <row r="1665" ht="19.95" customFormat="1" customHeight="1" s="511">
      <c r="A1665" s="277" t="n"/>
      <c r="B1665" s="285" t="n"/>
      <c r="C1665" s="579" t="n"/>
      <c r="D1665" s="580" t="n"/>
      <c r="E1665" s="581" t="n"/>
      <c r="F1665" s="577" t="n"/>
      <c r="G1665" s="582" t="n"/>
      <c r="H1665" s="583" t="n"/>
      <c r="I1665" s="510" t="n"/>
    </row>
    <row r="1666" ht="19.95" customFormat="1" customHeight="1" s="511">
      <c r="A1666" s="277" t="n"/>
      <c r="B1666" s="285" t="n"/>
      <c r="C1666" s="579" t="n"/>
      <c r="D1666" s="580" t="n"/>
      <c r="E1666" s="581" t="n"/>
      <c r="F1666" s="577" t="n"/>
      <c r="G1666" s="582" t="n"/>
      <c r="H1666" s="583" t="n"/>
      <c r="I1666" s="510" t="n"/>
    </row>
    <row r="1667" ht="19.95" customFormat="1" customHeight="1" s="511">
      <c r="A1667" s="277" t="n"/>
      <c r="B1667" s="285" t="n"/>
      <c r="C1667" s="579" t="n"/>
      <c r="D1667" s="580" t="n"/>
      <c r="E1667" s="581" t="n"/>
      <c r="F1667" s="577" t="n"/>
      <c r="G1667" s="582" t="n"/>
      <c r="H1667" s="583" t="n"/>
      <c r="I1667" s="510" t="n"/>
    </row>
    <row r="1668" ht="19.95" customFormat="1" customHeight="1" s="511">
      <c r="A1668" s="277" t="n"/>
      <c r="B1668" s="285" t="n"/>
      <c r="C1668" s="579" t="n"/>
      <c r="D1668" s="580" t="n"/>
      <c r="E1668" s="581" t="n"/>
      <c r="F1668" s="577" t="n"/>
      <c r="G1668" s="582" t="n"/>
      <c r="H1668" s="583" t="n"/>
      <c r="I1668" s="510" t="n"/>
    </row>
    <row r="1669" ht="19.95" customFormat="1" customHeight="1" s="511">
      <c r="A1669" s="277" t="n"/>
      <c r="B1669" s="285" t="n"/>
      <c r="C1669" s="579" t="n"/>
      <c r="D1669" s="580" t="n"/>
      <c r="E1669" s="581" t="n"/>
      <c r="F1669" s="577" t="n"/>
      <c r="G1669" s="582" t="n"/>
      <c r="H1669" s="583" t="n"/>
      <c r="I1669" s="510" t="n"/>
    </row>
    <row r="1670" ht="19.95" customFormat="1" customHeight="1" s="511">
      <c r="A1670" s="277" t="n"/>
      <c r="B1670" s="285" t="n"/>
      <c r="C1670" s="579" t="n"/>
      <c r="D1670" s="580" t="n"/>
      <c r="E1670" s="581" t="n"/>
      <c r="F1670" s="577" t="n"/>
      <c r="G1670" s="582" t="n"/>
      <c r="H1670" s="583" t="n"/>
      <c r="I1670" s="510" t="n"/>
    </row>
    <row r="1671" ht="19.95" customFormat="1" customHeight="1" s="511">
      <c r="A1671" s="277" t="n"/>
      <c r="B1671" s="285" t="n"/>
      <c r="C1671" s="579" t="n"/>
      <c r="D1671" s="580" t="n"/>
      <c r="E1671" s="581" t="n"/>
      <c r="F1671" s="577" t="n"/>
      <c r="G1671" s="582" t="n"/>
      <c r="H1671" s="583" t="n"/>
      <c r="I1671" s="510" t="n"/>
    </row>
    <row r="1672" ht="19.95" customFormat="1" customHeight="1" s="511">
      <c r="A1672" s="277" t="n"/>
      <c r="B1672" s="285" t="n"/>
      <c r="C1672" s="579" t="n"/>
      <c r="D1672" s="580" t="n"/>
      <c r="E1672" s="581" t="n"/>
      <c r="F1672" s="577" t="n"/>
      <c r="G1672" s="582" t="n"/>
      <c r="H1672" s="583" t="n"/>
      <c r="I1672" s="510" t="n"/>
    </row>
    <row r="1673" ht="19.95" customFormat="1" customHeight="1" s="511">
      <c r="A1673" s="277" t="n"/>
      <c r="B1673" s="285" t="n"/>
      <c r="C1673" s="579" t="n"/>
      <c r="D1673" s="580" t="n"/>
      <c r="E1673" s="581" t="n"/>
      <c r="F1673" s="577" t="n"/>
      <c r="G1673" s="582" t="n"/>
      <c r="H1673" s="583" t="n"/>
      <c r="I1673" s="510" t="n"/>
    </row>
    <row r="1674" ht="19.95" customFormat="1" customHeight="1" s="511">
      <c r="A1674" s="277" t="n"/>
      <c r="B1674" s="285" t="n"/>
      <c r="C1674" s="579" t="n"/>
      <c r="D1674" s="580" t="n"/>
      <c r="E1674" s="581" t="n"/>
      <c r="F1674" s="577" t="n"/>
      <c r="G1674" s="582" t="n"/>
      <c r="H1674" s="583" t="n"/>
      <c r="I1674" s="510" t="n"/>
    </row>
    <row r="1675" ht="19.95" customFormat="1" customHeight="1" s="511">
      <c r="A1675" s="277" t="n"/>
      <c r="B1675" s="285" t="n"/>
      <c r="C1675" s="579" t="n"/>
      <c r="D1675" s="580" t="n"/>
      <c r="E1675" s="581" t="n"/>
      <c r="F1675" s="577" t="n"/>
      <c r="G1675" s="582" t="n"/>
      <c r="H1675" s="583" t="n"/>
      <c r="I1675" s="510" t="n"/>
    </row>
    <row r="1676" ht="19.95" customFormat="1" customHeight="1" s="511">
      <c r="A1676" s="277" t="n"/>
      <c r="B1676" s="285" t="n"/>
      <c r="C1676" s="579" t="n"/>
      <c r="D1676" s="580" t="n"/>
      <c r="E1676" s="581" t="n"/>
      <c r="F1676" s="577" t="n"/>
      <c r="G1676" s="582" t="n"/>
      <c r="H1676" s="583" t="n"/>
      <c r="I1676" s="510" t="n"/>
    </row>
    <row r="1677" ht="19.95" customFormat="1" customHeight="1" s="511">
      <c r="A1677" s="277" t="n"/>
      <c r="B1677" s="285" t="n"/>
      <c r="C1677" s="579" t="n"/>
      <c r="D1677" s="580" t="n"/>
      <c r="E1677" s="581" t="n"/>
      <c r="F1677" s="577" t="n"/>
      <c r="G1677" s="582" t="n"/>
      <c r="H1677" s="583" t="n"/>
      <c r="I1677" s="510" t="n"/>
    </row>
    <row r="1678" ht="19.95" customFormat="1" customHeight="1" s="511">
      <c r="A1678" s="277" t="n"/>
      <c r="B1678" s="285" t="n"/>
      <c r="C1678" s="579" t="n"/>
      <c r="D1678" s="580" t="n"/>
      <c r="E1678" s="581" t="n"/>
      <c r="F1678" s="577" t="n"/>
      <c r="G1678" s="582" t="n"/>
      <c r="H1678" s="583" t="n"/>
      <c r="I1678" s="510" t="n"/>
    </row>
    <row r="1679" ht="19.95" customFormat="1" customHeight="1" s="511">
      <c r="A1679" s="277" t="n"/>
      <c r="B1679" s="285" t="n"/>
      <c r="C1679" s="579" t="n"/>
      <c r="D1679" s="580" t="n"/>
      <c r="E1679" s="581" t="n"/>
      <c r="F1679" s="577" t="n"/>
      <c r="G1679" s="582" t="n"/>
      <c r="H1679" s="583" t="n"/>
      <c r="I1679" s="510" t="n"/>
    </row>
    <row r="1680" ht="19.95" customFormat="1" customHeight="1" s="511">
      <c r="A1680" s="277" t="n"/>
      <c r="B1680" s="285" t="n"/>
      <c r="C1680" s="579" t="n"/>
      <c r="D1680" s="580" t="n"/>
      <c r="E1680" s="581" t="n"/>
      <c r="F1680" s="577" t="n"/>
      <c r="G1680" s="582" t="n"/>
      <c r="H1680" s="583" t="n"/>
      <c r="I1680" s="510" t="n"/>
    </row>
    <row r="1681" ht="19.95" customFormat="1" customHeight="1" s="511">
      <c r="A1681" s="277" t="n"/>
      <c r="B1681" s="285" t="n"/>
      <c r="C1681" s="579" t="n"/>
      <c r="D1681" s="580" t="n"/>
      <c r="E1681" s="581" t="n"/>
      <c r="F1681" s="577" t="n"/>
      <c r="G1681" s="582" t="n"/>
      <c r="H1681" s="583" t="n"/>
      <c r="I1681" s="510" t="n"/>
    </row>
    <row r="1682" ht="19.95" customFormat="1" customHeight="1" s="511">
      <c r="A1682" s="277" t="n"/>
      <c r="B1682" s="285" t="n"/>
      <c r="C1682" s="579" t="n"/>
      <c r="D1682" s="580" t="n"/>
      <c r="E1682" s="581" t="n"/>
      <c r="F1682" s="577" t="n"/>
      <c r="G1682" s="582" t="n"/>
      <c r="H1682" s="583" t="n"/>
      <c r="I1682" s="510" t="n"/>
    </row>
    <row r="1683" ht="19.95" customFormat="1" customHeight="1" s="511">
      <c r="A1683" s="277" t="n"/>
      <c r="B1683" s="285" t="n"/>
      <c r="C1683" s="579" t="n"/>
      <c r="D1683" s="580" t="n"/>
      <c r="E1683" s="581" t="n"/>
      <c r="F1683" s="577" t="n"/>
      <c r="G1683" s="582" t="n"/>
      <c r="H1683" s="583" t="n"/>
      <c r="I1683" s="510" t="n"/>
    </row>
    <row r="1684" ht="19.95" customFormat="1" customHeight="1" s="511">
      <c r="A1684" s="277" t="n"/>
      <c r="B1684" s="285" t="n"/>
      <c r="C1684" s="579" t="n"/>
      <c r="D1684" s="580" t="n"/>
      <c r="E1684" s="581" t="n"/>
      <c r="F1684" s="577" t="n"/>
      <c r="G1684" s="582" t="n"/>
      <c r="H1684" s="583" t="n"/>
      <c r="I1684" s="510" t="n"/>
    </row>
    <row r="1685" ht="19.95" customFormat="1" customHeight="1" s="511">
      <c r="A1685" s="277" t="n"/>
      <c r="B1685" s="285" t="n"/>
      <c r="C1685" s="579" t="n"/>
      <c r="D1685" s="580" t="n"/>
      <c r="E1685" s="581" t="n"/>
      <c r="F1685" s="577" t="n"/>
      <c r="G1685" s="582" t="n"/>
      <c r="H1685" s="583" t="n"/>
      <c r="I1685" s="510" t="n"/>
    </row>
    <row r="1686" ht="19.95" customFormat="1" customHeight="1" s="511">
      <c r="A1686" s="277" t="n"/>
      <c r="B1686" s="285" t="n"/>
      <c r="C1686" s="579" t="n"/>
      <c r="D1686" s="580" t="n"/>
      <c r="E1686" s="581" t="n"/>
      <c r="F1686" s="577" t="n"/>
      <c r="G1686" s="582" t="n"/>
      <c r="H1686" s="583" t="n"/>
      <c r="I1686" s="510" t="n"/>
    </row>
    <row r="1687" ht="19.95" customFormat="1" customHeight="1" s="511">
      <c r="A1687" s="277" t="n"/>
      <c r="B1687" s="285" t="n"/>
      <c r="C1687" s="579" t="n"/>
      <c r="D1687" s="580" t="n"/>
      <c r="E1687" s="581" t="n"/>
      <c r="F1687" s="577" t="n"/>
      <c r="G1687" s="582" t="n"/>
      <c r="H1687" s="583" t="n"/>
      <c r="I1687" s="510" t="n"/>
    </row>
    <row r="1688" ht="19.95" customFormat="1" customHeight="1" s="511">
      <c r="A1688" s="277" t="n"/>
      <c r="B1688" s="285" t="n"/>
      <c r="C1688" s="579" t="n"/>
      <c r="D1688" s="580" t="n"/>
      <c r="E1688" s="581" t="n"/>
      <c r="F1688" s="577" t="n"/>
      <c r="G1688" s="582" t="n"/>
      <c r="H1688" s="583" t="n"/>
      <c r="I1688" s="510" t="n"/>
    </row>
    <row r="1689" ht="19.95" customFormat="1" customHeight="1" s="511">
      <c r="A1689" s="277" t="n"/>
      <c r="B1689" s="285" t="n"/>
      <c r="C1689" s="579" t="n"/>
      <c r="D1689" s="580" t="n"/>
      <c r="E1689" s="581" t="n"/>
      <c r="F1689" s="577" t="n"/>
      <c r="G1689" s="582" t="n"/>
      <c r="H1689" s="583" t="n"/>
      <c r="I1689" s="510" t="n"/>
    </row>
    <row r="1690" ht="19.95" customFormat="1" customHeight="1" s="511">
      <c r="A1690" s="277" t="n"/>
      <c r="B1690" s="285" t="n"/>
      <c r="C1690" s="579" t="n"/>
      <c r="D1690" s="580" t="n"/>
      <c r="E1690" s="581" t="n"/>
      <c r="F1690" s="577" t="n"/>
      <c r="G1690" s="582" t="n"/>
      <c r="H1690" s="583" t="n"/>
      <c r="I1690" s="510" t="n"/>
    </row>
    <row r="1691" ht="19.95" customFormat="1" customHeight="1" s="511">
      <c r="A1691" s="277" t="n"/>
      <c r="B1691" s="285" t="n"/>
      <c r="C1691" s="579" t="n"/>
      <c r="D1691" s="580" t="n"/>
      <c r="E1691" s="581" t="n"/>
      <c r="F1691" s="577" t="n"/>
      <c r="G1691" s="582" t="n"/>
      <c r="H1691" s="583" t="n"/>
      <c r="I1691" s="510" t="n"/>
    </row>
    <row r="1692" ht="19.95" customFormat="1" customHeight="1" s="511">
      <c r="A1692" s="277" t="n"/>
      <c r="B1692" s="285" t="n"/>
      <c r="C1692" s="579" t="n"/>
      <c r="D1692" s="580" t="n"/>
      <c r="E1692" s="581" t="n"/>
      <c r="F1692" s="577" t="n"/>
      <c r="G1692" s="582" t="n"/>
      <c r="H1692" s="583" t="n"/>
      <c r="I1692" s="510" t="n"/>
    </row>
    <row r="1693" ht="19.95" customFormat="1" customHeight="1" s="511">
      <c r="A1693" s="277" t="n"/>
      <c r="B1693" s="285" t="n"/>
      <c r="C1693" s="579" t="n"/>
      <c r="D1693" s="580" t="n"/>
      <c r="E1693" s="581" t="n"/>
      <c r="F1693" s="577" t="n"/>
      <c r="G1693" s="582" t="n"/>
      <c r="H1693" s="583" t="n"/>
      <c r="I1693" s="510" t="n"/>
    </row>
    <row r="1694" ht="19.95" customFormat="1" customHeight="1" s="511">
      <c r="A1694" s="277" t="n"/>
      <c r="B1694" s="285" t="n"/>
      <c r="C1694" s="579" t="n"/>
      <c r="D1694" s="580" t="n"/>
      <c r="E1694" s="581" t="n"/>
      <c r="F1694" s="577" t="n"/>
      <c r="G1694" s="582" t="n"/>
      <c r="H1694" s="583" t="n"/>
      <c r="I1694" s="510" t="n"/>
    </row>
    <row r="1695" ht="19.95" customFormat="1" customHeight="1" s="511">
      <c r="A1695" s="277" t="n"/>
      <c r="B1695" s="285" t="n"/>
      <c r="C1695" s="579" t="n"/>
      <c r="D1695" s="580" t="n"/>
      <c r="E1695" s="581" t="n"/>
      <c r="F1695" s="577" t="n"/>
      <c r="G1695" s="582" t="n"/>
      <c r="H1695" s="583" t="n"/>
      <c r="I1695" s="510" t="n"/>
    </row>
    <row r="1696" ht="19.95" customFormat="1" customHeight="1" s="511">
      <c r="A1696" s="277" t="n"/>
      <c r="B1696" s="285" t="n"/>
      <c r="C1696" s="579" t="n"/>
      <c r="D1696" s="580" t="n"/>
      <c r="E1696" s="581" t="n"/>
      <c r="F1696" s="577" t="n"/>
      <c r="G1696" s="582" t="n"/>
      <c r="H1696" s="583" t="n"/>
      <c r="I1696" s="510" t="n"/>
    </row>
    <row r="1697" ht="19.95" customFormat="1" customHeight="1" s="511">
      <c r="A1697" s="277" t="n"/>
      <c r="B1697" s="285" t="n"/>
      <c r="C1697" s="579" t="n"/>
      <c r="D1697" s="580" t="n"/>
      <c r="E1697" s="581" t="n"/>
      <c r="F1697" s="577" t="n"/>
      <c r="G1697" s="582" t="n"/>
      <c r="H1697" s="583" t="n"/>
      <c r="I1697" s="510" t="n"/>
    </row>
    <row r="1698" ht="19.95" customFormat="1" customHeight="1" s="511">
      <c r="A1698" s="277" t="n"/>
      <c r="B1698" s="285" t="n"/>
      <c r="C1698" s="579" t="n"/>
      <c r="D1698" s="580" t="n"/>
      <c r="E1698" s="581" t="n"/>
      <c r="F1698" s="577" t="n"/>
      <c r="G1698" s="582" t="n"/>
      <c r="H1698" s="583" t="n"/>
      <c r="I1698" s="510" t="n"/>
    </row>
    <row r="1699" ht="19.95" customFormat="1" customHeight="1" s="511">
      <c r="A1699" s="277" t="n"/>
      <c r="B1699" s="285" t="n"/>
      <c r="C1699" s="579" t="n"/>
      <c r="D1699" s="580" t="n"/>
      <c r="E1699" s="581" t="n"/>
      <c r="F1699" s="577" t="n"/>
      <c r="G1699" s="582" t="n"/>
      <c r="H1699" s="583" t="n"/>
      <c r="I1699" s="510" t="n"/>
    </row>
    <row r="1700" ht="19.95" customFormat="1" customHeight="1" s="511">
      <c r="A1700" s="277" t="n"/>
      <c r="B1700" s="285" t="n"/>
      <c r="C1700" s="579" t="n"/>
      <c r="D1700" s="580" t="n"/>
      <c r="E1700" s="581" t="n"/>
      <c r="F1700" s="577" t="n"/>
      <c r="G1700" s="582" t="n"/>
      <c r="H1700" s="583" t="n"/>
      <c r="I1700" s="510" t="n"/>
    </row>
    <row r="1701" ht="19.95" customFormat="1" customHeight="1" s="511">
      <c r="A1701" s="277" t="n"/>
      <c r="B1701" s="285" t="n"/>
      <c r="C1701" s="579" t="n"/>
      <c r="D1701" s="580" t="n"/>
      <c r="E1701" s="581" t="n"/>
      <c r="F1701" s="577" t="n"/>
      <c r="G1701" s="582" t="n"/>
      <c r="H1701" s="583" t="n"/>
      <c r="I1701" s="510" t="n"/>
    </row>
    <row r="1702" ht="19.95" customFormat="1" customHeight="1" s="511">
      <c r="A1702" s="277" t="n"/>
      <c r="B1702" s="285" t="n"/>
      <c r="C1702" s="579" t="n"/>
      <c r="D1702" s="580" t="n"/>
      <c r="E1702" s="581" t="n"/>
      <c r="F1702" s="577" t="n"/>
      <c r="G1702" s="582" t="n"/>
      <c r="H1702" s="583" t="n"/>
      <c r="I1702" s="510" t="n"/>
    </row>
    <row r="1703" ht="19.95" customFormat="1" customHeight="1" s="511">
      <c r="A1703" s="277" t="n"/>
      <c r="B1703" s="285" t="n"/>
      <c r="C1703" s="579" t="n"/>
      <c r="D1703" s="580" t="n"/>
      <c r="E1703" s="581" t="n"/>
      <c r="F1703" s="577" t="n"/>
      <c r="G1703" s="582" t="n"/>
      <c r="H1703" s="583" t="n"/>
      <c r="I1703" s="510" t="n"/>
    </row>
    <row r="1704" ht="19.95" customFormat="1" customHeight="1" s="511">
      <c r="A1704" s="277" t="n"/>
      <c r="B1704" s="285" t="n"/>
      <c r="C1704" s="579" t="n"/>
      <c r="D1704" s="580" t="n"/>
      <c r="E1704" s="581" t="n"/>
      <c r="F1704" s="577" t="n"/>
      <c r="G1704" s="582" t="n"/>
      <c r="H1704" s="583" t="n"/>
      <c r="I1704" s="510" t="n"/>
    </row>
    <row r="1705" ht="19.95" customFormat="1" customHeight="1" s="511">
      <c r="A1705" s="277" t="n"/>
      <c r="B1705" s="285" t="n"/>
      <c r="C1705" s="579" t="n"/>
      <c r="D1705" s="580" t="n"/>
      <c r="E1705" s="581" t="n"/>
      <c r="F1705" s="577" t="n"/>
      <c r="G1705" s="582" t="n"/>
      <c r="H1705" s="583" t="n"/>
      <c r="I1705" s="510" t="n"/>
    </row>
    <row r="1706" ht="19.95" customFormat="1" customHeight="1" s="511">
      <c r="A1706" s="277" t="n"/>
      <c r="B1706" s="285" t="n"/>
      <c r="C1706" s="579" t="n"/>
      <c r="D1706" s="580" t="n"/>
      <c r="E1706" s="581" t="n"/>
      <c r="F1706" s="577" t="n"/>
      <c r="G1706" s="582" t="n"/>
      <c r="H1706" s="583" t="n"/>
      <c r="I1706" s="510" t="n"/>
    </row>
    <row r="1707" ht="19.95" customFormat="1" customHeight="1" s="511">
      <c r="A1707" s="277" t="n"/>
      <c r="B1707" s="285" t="n"/>
      <c r="C1707" s="579" t="n"/>
      <c r="D1707" s="580" t="n"/>
      <c r="E1707" s="581" t="n"/>
      <c r="F1707" s="577" t="n"/>
      <c r="G1707" s="582" t="n"/>
      <c r="H1707" s="583" t="n"/>
      <c r="I1707" s="510" t="n"/>
    </row>
    <row r="1708" ht="19.95" customFormat="1" customHeight="1" s="511">
      <c r="A1708" s="277" t="n"/>
      <c r="B1708" s="285" t="n"/>
      <c r="C1708" s="579" t="n"/>
      <c r="D1708" s="580" t="n"/>
      <c r="E1708" s="581" t="n"/>
      <c r="F1708" s="577" t="n"/>
      <c r="G1708" s="582" t="n"/>
      <c r="H1708" s="583" t="n"/>
      <c r="I1708" s="510" t="n"/>
    </row>
    <row r="1709" ht="19.95" customFormat="1" customHeight="1" s="511">
      <c r="A1709" s="277" t="n"/>
      <c r="B1709" s="285" t="n"/>
      <c r="C1709" s="579" t="n"/>
      <c r="D1709" s="580" t="n"/>
      <c r="E1709" s="581" t="n"/>
      <c r="F1709" s="577" t="n"/>
      <c r="G1709" s="582" t="n"/>
      <c r="H1709" s="583" t="n"/>
      <c r="I1709" s="510" t="n"/>
    </row>
    <row r="1710" ht="19.95" customFormat="1" customHeight="1" s="511">
      <c r="A1710" s="277" t="n"/>
      <c r="B1710" s="285" t="n"/>
      <c r="C1710" s="579" t="n"/>
      <c r="D1710" s="580" t="n"/>
      <c r="E1710" s="581" t="n"/>
      <c r="F1710" s="577" t="n"/>
      <c r="G1710" s="582" t="n"/>
      <c r="H1710" s="583" t="n"/>
      <c r="I1710" s="510" t="n"/>
    </row>
    <row r="1711" ht="19.95" customFormat="1" customHeight="1" s="511">
      <c r="A1711" s="277" t="n"/>
      <c r="B1711" s="285" t="n"/>
      <c r="C1711" s="579" t="n"/>
      <c r="D1711" s="580" t="n"/>
      <c r="E1711" s="581" t="n"/>
      <c r="F1711" s="577" t="n"/>
      <c r="G1711" s="582" t="n"/>
      <c r="H1711" s="583" t="n"/>
      <c r="I1711" s="510" t="n"/>
    </row>
    <row r="1712" ht="19.95" customFormat="1" customHeight="1" s="511">
      <c r="A1712" s="277" t="n"/>
      <c r="B1712" s="285" t="n"/>
      <c r="C1712" s="579" t="n"/>
      <c r="D1712" s="580" t="n"/>
      <c r="E1712" s="581" t="n"/>
      <c r="F1712" s="577" t="n"/>
      <c r="G1712" s="582" t="n"/>
      <c r="H1712" s="583" t="n"/>
      <c r="I1712" s="510" t="n"/>
    </row>
    <row r="1713" ht="19.95" customFormat="1" customHeight="1" s="511">
      <c r="A1713" s="277" t="n"/>
      <c r="B1713" s="285" t="n"/>
      <c r="C1713" s="579" t="n"/>
      <c r="D1713" s="580" t="n"/>
      <c r="E1713" s="581" t="n"/>
      <c r="F1713" s="577" t="n"/>
      <c r="G1713" s="582" t="n"/>
      <c r="H1713" s="583" t="n"/>
      <c r="I1713" s="510" t="n"/>
    </row>
    <row r="1714" ht="19.95" customFormat="1" customHeight="1" s="511">
      <c r="A1714" s="277" t="n"/>
      <c r="B1714" s="285" t="n"/>
      <c r="C1714" s="579" t="n"/>
      <c r="D1714" s="580" t="n"/>
      <c r="E1714" s="581" t="n"/>
      <c r="F1714" s="577" t="n"/>
      <c r="G1714" s="582" t="n"/>
      <c r="H1714" s="583" t="n"/>
      <c r="I1714" s="510" t="n"/>
    </row>
    <row r="1715" ht="19.95" customFormat="1" customHeight="1" s="511">
      <c r="A1715" s="277" t="n"/>
      <c r="B1715" s="285" t="n"/>
      <c r="C1715" s="579" t="n"/>
      <c r="D1715" s="580" t="n"/>
      <c r="E1715" s="581" t="n"/>
      <c r="F1715" s="577" t="n"/>
      <c r="G1715" s="582" t="n"/>
      <c r="H1715" s="583" t="n"/>
      <c r="I1715" s="510" t="n"/>
    </row>
    <row r="1716" ht="19.95" customFormat="1" customHeight="1" s="511">
      <c r="A1716" s="277" t="n"/>
      <c r="B1716" s="285" t="n"/>
      <c r="C1716" s="579" t="n"/>
      <c r="D1716" s="580" t="n"/>
      <c r="E1716" s="581" t="n"/>
      <c r="F1716" s="577" t="n"/>
      <c r="G1716" s="582" t="n"/>
      <c r="H1716" s="583" t="n"/>
      <c r="I1716" s="510" t="n"/>
    </row>
    <row r="1717" ht="19.95" customFormat="1" customHeight="1" s="511">
      <c r="A1717" s="277" t="n"/>
      <c r="B1717" s="285" t="n"/>
      <c r="C1717" s="579" t="n"/>
      <c r="D1717" s="580" t="n"/>
      <c r="E1717" s="581" t="n"/>
      <c r="F1717" s="577" t="n"/>
      <c r="G1717" s="582" t="n"/>
      <c r="H1717" s="583" t="n"/>
      <c r="I1717" s="510" t="n"/>
    </row>
    <row r="1718" ht="19.95" customFormat="1" customHeight="1" s="511">
      <c r="A1718" s="277" t="n"/>
      <c r="B1718" s="285" t="n"/>
      <c r="C1718" s="579" t="n"/>
      <c r="D1718" s="580" t="n"/>
      <c r="E1718" s="581" t="n"/>
      <c r="F1718" s="577" t="n"/>
      <c r="G1718" s="582" t="n"/>
      <c r="H1718" s="583" t="n"/>
      <c r="I1718" s="510" t="n"/>
    </row>
    <row r="1719" ht="19.95" customFormat="1" customHeight="1" s="511">
      <c r="A1719" s="277" t="n"/>
      <c r="B1719" s="285" t="n"/>
      <c r="C1719" s="579" t="n"/>
      <c r="D1719" s="580" t="n"/>
      <c r="E1719" s="581" t="n"/>
      <c r="F1719" s="577" t="n"/>
      <c r="G1719" s="582" t="n"/>
      <c r="H1719" s="583" t="n"/>
      <c r="I1719" s="510" t="n"/>
    </row>
    <row r="1720" ht="19.95" customFormat="1" customHeight="1" s="511">
      <c r="A1720" s="277" t="n"/>
      <c r="B1720" s="285" t="n"/>
      <c r="C1720" s="579" t="n"/>
      <c r="D1720" s="580" t="n"/>
      <c r="E1720" s="581" t="n"/>
      <c r="F1720" s="577" t="n"/>
      <c r="G1720" s="582" t="n"/>
      <c r="H1720" s="583" t="n"/>
      <c r="I1720" s="510" t="n"/>
    </row>
    <row r="1721" ht="19.95" customFormat="1" customHeight="1" s="511">
      <c r="A1721" s="277" t="n"/>
      <c r="B1721" s="285" t="n"/>
      <c r="C1721" s="579" t="n"/>
      <c r="D1721" s="580" t="n"/>
      <c r="E1721" s="581" t="n"/>
      <c r="F1721" s="577" t="n"/>
      <c r="G1721" s="582" t="n"/>
      <c r="H1721" s="583" t="n"/>
      <c r="I1721" s="510" t="n"/>
    </row>
    <row r="1722" ht="19.95" customFormat="1" customHeight="1" s="511">
      <c r="A1722" s="277" t="n"/>
      <c r="B1722" s="285" t="n"/>
      <c r="C1722" s="579" t="n"/>
      <c r="D1722" s="580" t="n"/>
      <c r="E1722" s="581" t="n"/>
      <c r="F1722" s="577" t="n"/>
      <c r="G1722" s="582" t="n"/>
      <c r="H1722" s="583" t="n"/>
      <c r="I1722" s="510" t="n"/>
    </row>
    <row r="1723" ht="19.95" customFormat="1" customHeight="1" s="511">
      <c r="A1723" s="277" t="n"/>
      <c r="B1723" s="285" t="n"/>
      <c r="C1723" s="579" t="n"/>
      <c r="D1723" s="580" t="n"/>
      <c r="E1723" s="581" t="n"/>
      <c r="F1723" s="577" t="n"/>
      <c r="G1723" s="582" t="n"/>
      <c r="H1723" s="583" t="n"/>
      <c r="I1723" s="510" t="n"/>
    </row>
    <row r="1724" ht="19.95" customFormat="1" customHeight="1" s="511">
      <c r="A1724" s="277" t="n"/>
      <c r="B1724" s="285" t="n"/>
      <c r="C1724" s="579" t="n"/>
      <c r="D1724" s="580" t="n"/>
      <c r="E1724" s="581" t="n"/>
      <c r="F1724" s="577" t="n"/>
      <c r="G1724" s="582" t="n"/>
      <c r="H1724" s="583" t="n"/>
      <c r="I1724" s="510" t="n"/>
    </row>
    <row r="1725" ht="19.95" customFormat="1" customHeight="1" s="511">
      <c r="A1725" s="277" t="n"/>
      <c r="B1725" s="285" t="n"/>
      <c r="C1725" s="579" t="n"/>
      <c r="D1725" s="580" t="n"/>
      <c r="E1725" s="581" t="n"/>
      <c r="F1725" s="577" t="n"/>
      <c r="G1725" s="582" t="n"/>
      <c r="H1725" s="583" t="n"/>
      <c r="I1725" s="510" t="n"/>
    </row>
    <row r="1726" ht="19.95" customFormat="1" customHeight="1" s="511">
      <c r="A1726" s="277" t="n"/>
      <c r="B1726" s="285" t="n"/>
      <c r="C1726" s="579" t="n"/>
      <c r="D1726" s="580" t="n"/>
      <c r="E1726" s="581" t="n"/>
      <c r="F1726" s="577" t="n"/>
      <c r="G1726" s="582" t="n"/>
      <c r="H1726" s="583" t="n"/>
      <c r="I1726" s="510" t="n"/>
    </row>
    <row r="1727" ht="19.95" customFormat="1" customHeight="1" s="511">
      <c r="A1727" s="277" t="n"/>
      <c r="B1727" s="285" t="n"/>
      <c r="C1727" s="579" t="n"/>
      <c r="D1727" s="580" t="n"/>
      <c r="E1727" s="581" t="n"/>
      <c r="F1727" s="577" t="n"/>
      <c r="G1727" s="582" t="n"/>
      <c r="H1727" s="583" t="n"/>
      <c r="I1727" s="510" t="n"/>
    </row>
    <row r="1728" ht="19.95" customFormat="1" customHeight="1" s="511">
      <c r="A1728" s="277" t="n"/>
      <c r="B1728" s="285" t="n"/>
      <c r="C1728" s="579" t="n"/>
      <c r="D1728" s="580" t="n"/>
      <c r="E1728" s="581" t="n"/>
      <c r="F1728" s="577" t="n"/>
      <c r="G1728" s="582" t="n"/>
      <c r="H1728" s="583" t="n"/>
      <c r="I1728" s="510" t="n"/>
    </row>
    <row r="1729" ht="19.95" customFormat="1" customHeight="1" s="511">
      <c r="A1729" s="277" t="n"/>
      <c r="B1729" s="285" t="n"/>
      <c r="C1729" s="579" t="n"/>
      <c r="D1729" s="580" t="n"/>
      <c r="E1729" s="581" t="n"/>
      <c r="F1729" s="577" t="n"/>
      <c r="G1729" s="582" t="n"/>
      <c r="H1729" s="583" t="n"/>
      <c r="I1729" s="510" t="n"/>
    </row>
    <row r="1730" ht="19.95" customFormat="1" customHeight="1" s="511">
      <c r="A1730" s="277" t="n"/>
      <c r="B1730" s="285" t="n"/>
      <c r="C1730" s="579" t="n"/>
      <c r="D1730" s="580" t="n"/>
      <c r="E1730" s="581" t="n"/>
      <c r="F1730" s="577" t="n"/>
      <c r="G1730" s="582" t="n"/>
      <c r="H1730" s="583" t="n"/>
      <c r="I1730" s="510" t="n"/>
    </row>
    <row r="1731" ht="19.95" customFormat="1" customHeight="1" s="511">
      <c r="A1731" s="277" t="n"/>
      <c r="B1731" s="285" t="n"/>
      <c r="C1731" s="579" t="n"/>
      <c r="D1731" s="580" t="n"/>
      <c r="E1731" s="581" t="n"/>
      <c r="F1731" s="577" t="n"/>
      <c r="G1731" s="582" t="n"/>
      <c r="H1731" s="583" t="n"/>
      <c r="I1731" s="510" t="n"/>
    </row>
    <row r="1732" ht="19.95" customFormat="1" customHeight="1" s="511">
      <c r="A1732" s="277" t="n"/>
      <c r="B1732" s="285" t="n"/>
      <c r="C1732" s="579" t="n"/>
      <c r="D1732" s="580" t="n"/>
      <c r="E1732" s="581" t="n"/>
      <c r="F1732" s="577" t="n"/>
      <c r="G1732" s="582" t="n"/>
      <c r="H1732" s="583" t="n"/>
      <c r="I1732" s="510" t="n"/>
    </row>
    <row r="1733" ht="19.95" customFormat="1" customHeight="1" s="511">
      <c r="A1733" s="277" t="n"/>
      <c r="B1733" s="285" t="n"/>
      <c r="C1733" s="579" t="n"/>
      <c r="D1733" s="580" t="n"/>
      <c r="E1733" s="581" t="n"/>
      <c r="F1733" s="577" t="n"/>
      <c r="G1733" s="582" t="n"/>
      <c r="H1733" s="583" t="n"/>
      <c r="I1733" s="510" t="n"/>
    </row>
    <row r="1734" ht="19.95" customFormat="1" customHeight="1" s="511">
      <c r="A1734" s="277" t="n"/>
      <c r="B1734" s="285" t="n"/>
      <c r="C1734" s="579" t="n"/>
      <c r="D1734" s="580" t="n"/>
      <c r="E1734" s="581" t="n"/>
      <c r="F1734" s="577" t="n"/>
      <c r="G1734" s="582" t="n"/>
      <c r="H1734" s="583" t="n"/>
      <c r="I1734" s="510" t="n"/>
    </row>
    <row r="1735" ht="19.95" customFormat="1" customHeight="1" s="511">
      <c r="A1735" s="277" t="n"/>
      <c r="B1735" s="285" t="n"/>
      <c r="C1735" s="579" t="n"/>
      <c r="D1735" s="580" t="n"/>
      <c r="E1735" s="581" t="n"/>
      <c r="F1735" s="577" t="n"/>
      <c r="G1735" s="582" t="n"/>
      <c r="H1735" s="583" t="n"/>
      <c r="I1735" s="510" t="n"/>
    </row>
    <row r="1736" ht="19.95" customFormat="1" customHeight="1" s="511">
      <c r="A1736" s="277" t="n"/>
      <c r="B1736" s="285" t="n"/>
      <c r="C1736" s="579" t="n"/>
      <c r="D1736" s="580" t="n"/>
      <c r="E1736" s="581" t="n"/>
      <c r="F1736" s="577" t="n"/>
      <c r="G1736" s="582" t="n"/>
      <c r="H1736" s="583" t="n"/>
      <c r="I1736" s="510" t="n"/>
    </row>
    <row r="1737" ht="19.95" customFormat="1" customHeight="1" s="511">
      <c r="A1737" s="277" t="n"/>
      <c r="B1737" s="285" t="n"/>
      <c r="C1737" s="579" t="n"/>
      <c r="D1737" s="580" t="n"/>
      <c r="E1737" s="581" t="n"/>
      <c r="F1737" s="577" t="n"/>
      <c r="G1737" s="582" t="n"/>
      <c r="H1737" s="583" t="n"/>
      <c r="I1737" s="510" t="n"/>
    </row>
    <row r="1738" ht="19.95" customFormat="1" customHeight="1" s="511">
      <c r="A1738" s="277" t="n"/>
      <c r="B1738" s="285" t="n"/>
      <c r="C1738" s="579" t="n"/>
      <c r="D1738" s="580" t="n"/>
      <c r="E1738" s="581" t="n"/>
      <c r="F1738" s="577" t="n"/>
      <c r="G1738" s="582" t="n"/>
      <c r="H1738" s="583" t="n"/>
      <c r="I1738" s="510" t="n"/>
    </row>
    <row r="1739" ht="19.95" customFormat="1" customHeight="1" s="511">
      <c r="A1739" s="277" t="n"/>
      <c r="B1739" s="285" t="n"/>
      <c r="C1739" s="579" t="n"/>
      <c r="D1739" s="580" t="n"/>
      <c r="E1739" s="581" t="n"/>
      <c r="F1739" s="577" t="n"/>
      <c r="G1739" s="582" t="n"/>
      <c r="H1739" s="583" t="n"/>
      <c r="I1739" s="510" t="n"/>
    </row>
    <row r="1740" ht="19.95" customFormat="1" customHeight="1" s="511">
      <c r="A1740" s="277" t="n"/>
      <c r="B1740" s="285" t="n"/>
      <c r="C1740" s="579" t="n"/>
      <c r="D1740" s="580" t="n"/>
      <c r="E1740" s="581" t="n"/>
      <c r="F1740" s="577" t="n"/>
      <c r="G1740" s="582" t="n"/>
      <c r="H1740" s="583" t="n"/>
      <c r="I1740" s="510" t="n"/>
    </row>
    <row r="1741" ht="19.95" customFormat="1" customHeight="1" s="511">
      <c r="A1741" s="277" t="n"/>
      <c r="B1741" s="285" t="n"/>
      <c r="C1741" s="579" t="n"/>
      <c r="D1741" s="580" t="n"/>
      <c r="E1741" s="581" t="n"/>
      <c r="F1741" s="577" t="n"/>
      <c r="G1741" s="582" t="n"/>
      <c r="H1741" s="583" t="n"/>
      <c r="I1741" s="510" t="n"/>
    </row>
    <row r="1742" ht="19.95" customFormat="1" customHeight="1" s="511">
      <c r="A1742" s="277" t="n"/>
      <c r="B1742" s="285" t="n"/>
      <c r="C1742" s="579" t="n"/>
      <c r="D1742" s="580" t="n"/>
      <c r="E1742" s="581" t="n"/>
      <c r="F1742" s="577" t="n"/>
      <c r="G1742" s="582" t="n"/>
      <c r="H1742" s="583" t="n"/>
      <c r="I1742" s="510" t="n"/>
    </row>
    <row r="1743" ht="19.95" customFormat="1" customHeight="1" s="511">
      <c r="A1743" s="277" t="n"/>
      <c r="B1743" s="285" t="n"/>
      <c r="C1743" s="579" t="n"/>
      <c r="D1743" s="580" t="n"/>
      <c r="E1743" s="581" t="n"/>
      <c r="F1743" s="577" t="n"/>
      <c r="G1743" s="582" t="n"/>
      <c r="H1743" s="583" t="n"/>
      <c r="I1743" s="510" t="n"/>
    </row>
    <row r="1744" ht="19.95" customFormat="1" customHeight="1" s="511">
      <c r="A1744" s="277" t="n"/>
      <c r="B1744" s="285" t="n"/>
      <c r="C1744" s="579" t="n"/>
      <c r="D1744" s="580" t="n"/>
      <c r="E1744" s="581" t="n"/>
      <c r="F1744" s="577" t="n"/>
      <c r="G1744" s="582" t="n"/>
      <c r="H1744" s="583" t="n"/>
      <c r="I1744" s="510" t="n"/>
    </row>
    <row r="1745" ht="19.95" customFormat="1" customHeight="1" s="511">
      <c r="A1745" s="277" t="n"/>
      <c r="B1745" s="285" t="n"/>
      <c r="C1745" s="579" t="n"/>
      <c r="D1745" s="580" t="n"/>
      <c r="E1745" s="581" t="n"/>
      <c r="F1745" s="577" t="n"/>
      <c r="G1745" s="582" t="n"/>
      <c r="H1745" s="583" t="n"/>
      <c r="I1745" s="510" t="n"/>
    </row>
    <row r="1746" ht="19.95" customFormat="1" customHeight="1" s="511">
      <c r="A1746" s="277" t="n"/>
      <c r="B1746" s="285" t="n"/>
      <c r="C1746" s="579" t="n"/>
      <c r="D1746" s="580" t="n"/>
      <c r="E1746" s="581" t="n"/>
      <c r="F1746" s="577" t="n"/>
      <c r="G1746" s="582" t="n"/>
      <c r="H1746" s="583" t="n"/>
      <c r="I1746" s="510" t="n"/>
    </row>
    <row r="1747" ht="19.95" customFormat="1" customHeight="1" s="511">
      <c r="A1747" s="277" t="n"/>
      <c r="B1747" s="285" t="n"/>
      <c r="C1747" s="579" t="n"/>
      <c r="D1747" s="580" t="n"/>
      <c r="E1747" s="581" t="n"/>
      <c r="F1747" s="577" t="n"/>
      <c r="G1747" s="582" t="n"/>
      <c r="H1747" s="583" t="n"/>
      <c r="I1747" s="510" t="n"/>
    </row>
    <row r="1748" ht="19.95" customFormat="1" customHeight="1" s="511">
      <c r="A1748" s="277" t="n"/>
      <c r="B1748" s="285" t="n"/>
      <c r="C1748" s="579" t="n"/>
      <c r="D1748" s="580" t="n"/>
      <c r="E1748" s="581" t="n"/>
      <c r="F1748" s="577" t="n"/>
      <c r="G1748" s="582" t="n"/>
      <c r="H1748" s="583" t="n"/>
      <c r="I1748" s="510" t="n"/>
    </row>
    <row r="1749" ht="19.95" customFormat="1" customHeight="1" s="511">
      <c r="A1749" s="277" t="n"/>
      <c r="B1749" s="285" t="n"/>
      <c r="C1749" s="579" t="n"/>
      <c r="D1749" s="580" t="n"/>
      <c r="E1749" s="581" t="n"/>
      <c r="F1749" s="577" t="n"/>
      <c r="G1749" s="582" t="n"/>
      <c r="H1749" s="583" t="n"/>
      <c r="I1749" s="510" t="n"/>
    </row>
    <row r="1750" ht="19.95" customFormat="1" customHeight="1" s="511">
      <c r="A1750" s="277" t="n"/>
      <c r="B1750" s="285" t="n"/>
      <c r="C1750" s="579" t="n"/>
      <c r="D1750" s="580" t="n"/>
      <c r="E1750" s="581" t="n"/>
      <c r="F1750" s="577" t="n"/>
      <c r="G1750" s="582" t="n"/>
      <c r="H1750" s="583" t="n"/>
      <c r="I1750" s="510" t="n"/>
    </row>
    <row r="1751" ht="19.95" customFormat="1" customHeight="1" s="511">
      <c r="A1751" s="277" t="n"/>
      <c r="B1751" s="285" t="n"/>
      <c r="C1751" s="579" t="n"/>
      <c r="D1751" s="580" t="n"/>
      <c r="E1751" s="581" t="n"/>
      <c r="F1751" s="577" t="n"/>
      <c r="G1751" s="582" t="n"/>
      <c r="H1751" s="583" t="n"/>
      <c r="I1751" s="510" t="n"/>
    </row>
    <row r="1752" ht="19.95" customFormat="1" customHeight="1" s="511">
      <c r="A1752" s="277" t="n"/>
      <c r="B1752" s="285" t="n"/>
      <c r="C1752" s="579" t="n"/>
      <c r="D1752" s="580" t="n"/>
      <c r="E1752" s="581" t="n"/>
      <c r="F1752" s="577" t="n"/>
      <c r="G1752" s="582" t="n"/>
      <c r="H1752" s="583" t="n"/>
      <c r="I1752" s="510" t="n"/>
    </row>
    <row r="1753" ht="19.95" customFormat="1" customHeight="1" s="511">
      <c r="A1753" s="277" t="n"/>
      <c r="B1753" s="285" t="n"/>
      <c r="C1753" s="579" t="n"/>
      <c r="D1753" s="580" t="n"/>
      <c r="E1753" s="581" t="n"/>
      <c r="F1753" s="577" t="n"/>
      <c r="G1753" s="582" t="n"/>
      <c r="H1753" s="583" t="n"/>
      <c r="I1753" s="510" t="n"/>
    </row>
    <row r="1754" ht="19.95" customFormat="1" customHeight="1" s="511">
      <c r="A1754" s="277" t="n"/>
      <c r="B1754" s="285" t="n"/>
      <c r="C1754" s="579" t="n"/>
      <c r="D1754" s="580" t="n"/>
      <c r="E1754" s="581" t="n"/>
      <c r="F1754" s="577" t="n"/>
      <c r="G1754" s="582" t="n"/>
      <c r="H1754" s="583" t="n"/>
      <c r="I1754" s="510" t="n"/>
    </row>
    <row r="1755" ht="19.95" customFormat="1" customHeight="1" s="511">
      <c r="A1755" s="277" t="n"/>
      <c r="B1755" s="285" t="n"/>
      <c r="C1755" s="579" t="n"/>
      <c r="D1755" s="580" t="n"/>
      <c r="E1755" s="581" t="n"/>
      <c r="F1755" s="577" t="n"/>
      <c r="G1755" s="582" t="n"/>
      <c r="H1755" s="583" t="n"/>
      <c r="I1755" s="510" t="n"/>
    </row>
    <row r="1756" ht="19.95" customFormat="1" customHeight="1" s="511">
      <c r="A1756" s="277" t="n"/>
      <c r="B1756" s="285" t="n"/>
      <c r="C1756" s="579" t="n"/>
      <c r="D1756" s="580" t="n"/>
      <c r="E1756" s="581" t="n"/>
      <c r="F1756" s="577" t="n"/>
      <c r="G1756" s="582" t="n"/>
      <c r="H1756" s="583" t="n"/>
      <c r="I1756" s="510" t="n"/>
    </row>
    <row r="1757" ht="19.95" customFormat="1" customHeight="1" s="511">
      <c r="A1757" s="277" t="n"/>
      <c r="B1757" s="285" t="n"/>
      <c r="C1757" s="579" t="n"/>
      <c r="D1757" s="580" t="n"/>
      <c r="E1757" s="581" t="n"/>
      <c r="F1757" s="577" t="n"/>
      <c r="G1757" s="582" t="n"/>
      <c r="H1757" s="583" t="n"/>
      <c r="I1757" s="510" t="n"/>
    </row>
    <row r="1758" ht="19.95" customFormat="1" customHeight="1" s="511">
      <c r="A1758" s="277" t="n"/>
      <c r="B1758" s="285" t="n"/>
      <c r="C1758" s="579" t="n"/>
      <c r="D1758" s="580" t="n"/>
      <c r="E1758" s="581" t="n"/>
      <c r="F1758" s="577" t="n"/>
      <c r="G1758" s="582" t="n"/>
      <c r="H1758" s="583" t="n"/>
      <c r="I1758" s="510" t="n"/>
    </row>
    <row r="1759" ht="19.95" customFormat="1" customHeight="1" s="511">
      <c r="A1759" s="277" t="n"/>
      <c r="B1759" s="285" t="n"/>
      <c r="C1759" s="579" t="n"/>
      <c r="D1759" s="580" t="n"/>
      <c r="E1759" s="581" t="n"/>
      <c r="F1759" s="577" t="n"/>
      <c r="G1759" s="582" t="n"/>
      <c r="H1759" s="583" t="n"/>
      <c r="I1759" s="510" t="n"/>
    </row>
    <row r="1760" ht="19.95" customFormat="1" customHeight="1" s="511">
      <c r="A1760" s="277" t="n"/>
      <c r="B1760" s="285" t="n"/>
      <c r="C1760" s="579" t="n"/>
      <c r="D1760" s="580" t="n"/>
      <c r="E1760" s="581" t="n"/>
      <c r="F1760" s="577" t="n"/>
      <c r="G1760" s="582" t="n"/>
      <c r="H1760" s="583" t="n"/>
      <c r="I1760" s="510" t="n"/>
    </row>
    <row r="1761" ht="19.95" customFormat="1" customHeight="1" s="511">
      <c r="A1761" s="277" t="n"/>
      <c r="B1761" s="285" t="n"/>
      <c r="C1761" s="579" t="n"/>
      <c r="D1761" s="580" t="n"/>
      <c r="E1761" s="581" t="n"/>
      <c r="F1761" s="577" t="n"/>
      <c r="G1761" s="582" t="n"/>
      <c r="H1761" s="583" t="n"/>
      <c r="I1761" s="510" t="n"/>
    </row>
    <row r="1762" ht="19.95" customFormat="1" customHeight="1" s="511">
      <c r="A1762" s="277" t="n"/>
      <c r="B1762" s="285" t="n"/>
      <c r="C1762" s="579" t="n"/>
      <c r="D1762" s="580" t="n"/>
      <c r="E1762" s="581" t="n"/>
      <c r="F1762" s="577" t="n"/>
      <c r="G1762" s="582" t="n"/>
      <c r="H1762" s="583" t="n"/>
      <c r="I1762" s="510" t="n"/>
    </row>
    <row r="1763" ht="19.95" customFormat="1" customHeight="1" s="511">
      <c r="A1763" s="277" t="n"/>
      <c r="B1763" s="285" t="n"/>
      <c r="C1763" s="579" t="n"/>
      <c r="D1763" s="580" t="n"/>
      <c r="E1763" s="581" t="n"/>
      <c r="F1763" s="577" t="n"/>
      <c r="G1763" s="582" t="n"/>
      <c r="H1763" s="583" t="n"/>
      <c r="I1763" s="510" t="n"/>
    </row>
    <row r="1764" ht="19.95" customFormat="1" customHeight="1" s="511">
      <c r="A1764" s="277" t="n"/>
      <c r="B1764" s="285" t="n"/>
      <c r="C1764" s="579" t="n"/>
      <c r="D1764" s="580" t="n"/>
      <c r="E1764" s="581" t="n"/>
      <c r="F1764" s="577" t="n"/>
      <c r="G1764" s="582" t="n"/>
      <c r="H1764" s="583" t="n"/>
      <c r="I1764" s="510" t="n"/>
    </row>
    <row r="1765" ht="19.95" customFormat="1" customHeight="1" s="511">
      <c r="A1765" s="277" t="n"/>
      <c r="B1765" s="285" t="n"/>
      <c r="C1765" s="579" t="n"/>
      <c r="D1765" s="580" t="n"/>
      <c r="E1765" s="581" t="n"/>
      <c r="F1765" s="577" t="n"/>
      <c r="G1765" s="582" t="n"/>
      <c r="H1765" s="583" t="n"/>
      <c r="I1765" s="510" t="n"/>
    </row>
    <row r="1766" ht="19.95" customFormat="1" customHeight="1" s="511">
      <c r="A1766" s="277" t="n"/>
      <c r="B1766" s="285" t="n"/>
      <c r="C1766" s="579" t="n"/>
      <c r="D1766" s="580" t="n"/>
      <c r="E1766" s="581" t="n"/>
      <c r="F1766" s="577" t="n"/>
      <c r="G1766" s="582" t="n"/>
      <c r="H1766" s="583" t="n"/>
      <c r="I1766" s="510" t="n"/>
    </row>
    <row r="1767" ht="19.95" customFormat="1" customHeight="1" s="511">
      <c r="A1767" s="277" t="n"/>
      <c r="B1767" s="285" t="n"/>
      <c r="C1767" s="579" t="n"/>
      <c r="D1767" s="580" t="n"/>
      <c r="E1767" s="581" t="n"/>
      <c r="F1767" s="577" t="n"/>
      <c r="G1767" s="582" t="n"/>
      <c r="H1767" s="583" t="n"/>
      <c r="I1767" s="510" t="n"/>
    </row>
    <row r="1768" ht="19.95" customFormat="1" customHeight="1" s="511">
      <c r="A1768" s="277" t="n"/>
      <c r="B1768" s="285" t="n"/>
      <c r="C1768" s="579" t="n"/>
      <c r="D1768" s="580" t="n"/>
      <c r="E1768" s="581" t="n"/>
      <c r="F1768" s="577" t="n"/>
      <c r="G1768" s="582" t="n"/>
      <c r="H1768" s="583" t="n"/>
      <c r="I1768" s="510" t="n"/>
    </row>
    <row r="1769" ht="19.95" customFormat="1" customHeight="1" s="511">
      <c r="A1769" s="277" t="n"/>
      <c r="B1769" s="285" t="n"/>
      <c r="C1769" s="579" t="n"/>
      <c r="D1769" s="580" t="n"/>
      <c r="E1769" s="581" t="n"/>
      <c r="F1769" s="577" t="n"/>
      <c r="G1769" s="582" t="n"/>
      <c r="H1769" s="583" t="n"/>
      <c r="I1769" s="510" t="n"/>
    </row>
    <row r="1770" ht="19.95" customFormat="1" customHeight="1" s="511">
      <c r="A1770" s="277" t="n"/>
      <c r="B1770" s="285" t="n"/>
      <c r="C1770" s="579" t="n"/>
      <c r="D1770" s="580" t="n"/>
      <c r="E1770" s="581" t="n"/>
      <c r="F1770" s="577" t="n"/>
      <c r="G1770" s="582" t="n"/>
      <c r="H1770" s="583" t="n"/>
      <c r="I1770" s="510" t="n"/>
    </row>
    <row r="1771" ht="19.95" customFormat="1" customHeight="1" s="511">
      <c r="A1771" s="277" t="n"/>
      <c r="B1771" s="285" t="n"/>
      <c r="C1771" s="579" t="n"/>
      <c r="D1771" s="580" t="n"/>
      <c r="E1771" s="581" t="n"/>
      <c r="F1771" s="577" t="n"/>
      <c r="G1771" s="582" t="n"/>
      <c r="H1771" s="583" t="n"/>
      <c r="I1771" s="510" t="n"/>
    </row>
    <row r="1772" ht="19.95" customFormat="1" customHeight="1" s="511">
      <c r="A1772" s="277" t="n"/>
      <c r="B1772" s="285" t="n"/>
      <c r="C1772" s="579" t="n"/>
      <c r="D1772" s="580" t="n"/>
      <c r="E1772" s="581" t="n"/>
      <c r="F1772" s="577" t="n"/>
      <c r="G1772" s="582" t="n"/>
      <c r="H1772" s="583" t="n"/>
      <c r="I1772" s="510" t="n"/>
    </row>
    <row r="1773" ht="19.95" customFormat="1" customHeight="1" s="511">
      <c r="A1773" s="277" t="n"/>
      <c r="B1773" s="285" t="n"/>
      <c r="C1773" s="579" t="n"/>
      <c r="D1773" s="580" t="n"/>
      <c r="E1773" s="581" t="n"/>
      <c r="F1773" s="577" t="n"/>
      <c r="G1773" s="582" t="n"/>
      <c r="H1773" s="583" t="n"/>
      <c r="I1773" s="510" t="n"/>
    </row>
    <row r="1774" ht="19.95" customFormat="1" customHeight="1" s="511">
      <c r="A1774" s="277" t="n"/>
      <c r="B1774" s="285" t="n"/>
      <c r="C1774" s="579" t="n"/>
      <c r="D1774" s="580" t="n"/>
      <c r="E1774" s="581" t="n"/>
      <c r="F1774" s="577" t="n"/>
      <c r="G1774" s="582" t="n"/>
      <c r="H1774" s="583" t="n"/>
      <c r="I1774" s="510" t="n"/>
    </row>
    <row r="1775" ht="19.95" customFormat="1" customHeight="1" s="511">
      <c r="A1775" s="277" t="n"/>
      <c r="B1775" s="285" t="n"/>
      <c r="C1775" s="579" t="n"/>
      <c r="D1775" s="580" t="n"/>
      <c r="E1775" s="581" t="n"/>
      <c r="F1775" s="577" t="n"/>
      <c r="G1775" s="582" t="n"/>
      <c r="H1775" s="583" t="n"/>
      <c r="I1775" s="510" t="n"/>
    </row>
    <row r="1776" ht="19.95" customFormat="1" customHeight="1" s="511">
      <c r="A1776" s="277" t="n"/>
      <c r="B1776" s="285" t="n"/>
      <c r="C1776" s="579" t="n"/>
      <c r="D1776" s="580" t="n"/>
      <c r="E1776" s="581" t="n"/>
      <c r="F1776" s="577" t="n"/>
      <c r="G1776" s="582" t="n"/>
      <c r="H1776" s="583" t="n"/>
      <c r="I1776" s="510" t="n"/>
    </row>
    <row r="1777" ht="19.95" customFormat="1" customHeight="1" s="511">
      <c r="A1777" s="277" t="n"/>
      <c r="B1777" s="285" t="n"/>
      <c r="C1777" s="579" t="n"/>
      <c r="D1777" s="580" t="n"/>
      <c r="E1777" s="581" t="n"/>
      <c r="F1777" s="577" t="n"/>
      <c r="G1777" s="582" t="n"/>
      <c r="H1777" s="583" t="n"/>
      <c r="I1777" s="510" t="n"/>
    </row>
    <row r="1778" ht="19.95" customFormat="1" customHeight="1" s="511">
      <c r="A1778" s="277" t="n"/>
      <c r="B1778" s="285" t="n"/>
      <c r="C1778" s="579" t="n"/>
      <c r="D1778" s="580" t="n"/>
      <c r="E1778" s="581" t="n"/>
      <c r="F1778" s="577" t="n"/>
      <c r="G1778" s="582" t="n"/>
      <c r="H1778" s="583" t="n"/>
      <c r="I1778" s="510" t="n"/>
    </row>
    <row r="1779" ht="19.95" customFormat="1" customHeight="1" s="511">
      <c r="A1779" s="277" t="n"/>
      <c r="B1779" s="285" t="n"/>
      <c r="C1779" s="579" t="n"/>
      <c r="D1779" s="580" t="n"/>
      <c r="E1779" s="581" t="n"/>
      <c r="F1779" s="577" t="n"/>
      <c r="G1779" s="582" t="n"/>
      <c r="H1779" s="583" t="n"/>
      <c r="I1779" s="510" t="n"/>
    </row>
    <row r="1780" ht="19.95" customFormat="1" customHeight="1" s="511">
      <c r="A1780" s="277" t="n"/>
      <c r="B1780" s="285" t="n"/>
      <c r="C1780" s="579" t="n"/>
      <c r="D1780" s="580" t="n"/>
      <c r="E1780" s="581" t="n"/>
      <c r="F1780" s="577" t="n"/>
      <c r="G1780" s="582" t="n"/>
      <c r="H1780" s="583" t="n"/>
      <c r="I1780" s="510" t="n"/>
    </row>
    <row r="1781" ht="19.95" customFormat="1" customHeight="1" s="511">
      <c r="A1781" s="277" t="n"/>
      <c r="B1781" s="285" t="n"/>
      <c r="C1781" s="579" t="n"/>
      <c r="D1781" s="580" t="n"/>
      <c r="E1781" s="581" t="n"/>
      <c r="F1781" s="577" t="n"/>
      <c r="G1781" s="582" t="n"/>
      <c r="H1781" s="583" t="n"/>
      <c r="I1781" s="510" t="n"/>
    </row>
    <row r="1782" ht="19.95" customFormat="1" customHeight="1" s="511">
      <c r="A1782" s="277" t="n"/>
      <c r="B1782" s="285" t="n"/>
      <c r="C1782" s="579" t="n"/>
      <c r="D1782" s="580" t="n"/>
      <c r="E1782" s="581" t="n"/>
      <c r="F1782" s="577" t="n"/>
      <c r="G1782" s="582" t="n"/>
      <c r="H1782" s="583" t="n"/>
      <c r="I1782" s="510" t="n"/>
    </row>
    <row r="1783" ht="19.95" customFormat="1" customHeight="1" s="511">
      <c r="A1783" s="277" t="n"/>
      <c r="B1783" s="285" t="n"/>
      <c r="C1783" s="579" t="n"/>
      <c r="D1783" s="580" t="n"/>
      <c r="E1783" s="581" t="n"/>
      <c r="F1783" s="577" t="n"/>
      <c r="G1783" s="582" t="n"/>
      <c r="H1783" s="583" t="n"/>
      <c r="I1783" s="510" t="n"/>
    </row>
    <row r="1784" ht="19.95" customFormat="1" customHeight="1" s="511">
      <c r="A1784" s="277" t="n"/>
      <c r="B1784" s="285" t="n"/>
      <c r="C1784" s="579" t="n"/>
      <c r="D1784" s="580" t="n"/>
      <c r="E1784" s="581" t="n"/>
      <c r="F1784" s="577" t="n"/>
      <c r="G1784" s="582" t="n"/>
      <c r="H1784" s="583" t="n"/>
      <c r="I1784" s="510" t="n"/>
    </row>
    <row r="1785" ht="19.95" customFormat="1" customHeight="1" s="511">
      <c r="A1785" s="277" t="n"/>
      <c r="B1785" s="285" t="n"/>
      <c r="C1785" s="579" t="n"/>
      <c r="D1785" s="580" t="n"/>
      <c r="E1785" s="581" t="n"/>
      <c r="F1785" s="577" t="n"/>
      <c r="G1785" s="582" t="n"/>
      <c r="H1785" s="583" t="n"/>
      <c r="I1785" s="510" t="n"/>
    </row>
    <row r="1786" ht="19.95" customFormat="1" customHeight="1" s="511">
      <c r="A1786" s="277" t="n"/>
      <c r="B1786" s="285" t="n"/>
      <c r="C1786" s="579" t="n"/>
      <c r="D1786" s="580" t="n"/>
      <c r="E1786" s="581" t="n"/>
      <c r="F1786" s="577" t="n"/>
      <c r="G1786" s="582" t="n"/>
      <c r="H1786" s="583" t="n"/>
      <c r="I1786" s="510" t="n"/>
    </row>
    <row r="1787" ht="19.95" customFormat="1" customHeight="1" s="511">
      <c r="A1787" s="277" t="n"/>
      <c r="B1787" s="285" t="n"/>
      <c r="C1787" s="579" t="n"/>
      <c r="D1787" s="580" t="n"/>
      <c r="E1787" s="581" t="n"/>
      <c r="F1787" s="577" t="n"/>
      <c r="G1787" s="582" t="n"/>
      <c r="H1787" s="583" t="n"/>
      <c r="I1787" s="510" t="n"/>
    </row>
    <row r="1788" ht="19.95" customFormat="1" customHeight="1" s="511">
      <c r="A1788" s="277" t="n"/>
      <c r="B1788" s="285" t="n"/>
      <c r="C1788" s="579" t="n"/>
      <c r="D1788" s="580" t="n"/>
      <c r="E1788" s="581" t="n"/>
      <c r="F1788" s="577" t="n"/>
      <c r="G1788" s="582" t="n"/>
      <c r="H1788" s="583" t="n"/>
      <c r="I1788" s="510" t="n"/>
    </row>
    <row r="1789" ht="19.95" customFormat="1" customHeight="1" s="511">
      <c r="A1789" s="277" t="n"/>
      <c r="B1789" s="285" t="n"/>
      <c r="C1789" s="579" t="n"/>
      <c r="D1789" s="580" t="n"/>
      <c r="E1789" s="581" t="n"/>
      <c r="F1789" s="577" t="n"/>
      <c r="G1789" s="582" t="n"/>
      <c r="H1789" s="583" t="n"/>
      <c r="I1789" s="510" t="n"/>
    </row>
    <row r="1790" ht="19.95" customFormat="1" customHeight="1" s="511">
      <c r="A1790" s="277" t="n"/>
      <c r="B1790" s="285" t="n"/>
      <c r="C1790" s="579" t="n"/>
      <c r="D1790" s="580" t="n"/>
      <c r="E1790" s="581" t="n"/>
      <c r="F1790" s="577" t="n"/>
      <c r="G1790" s="582" t="n"/>
      <c r="H1790" s="583" t="n"/>
      <c r="I1790" s="510" t="n"/>
    </row>
    <row r="1791" ht="19.95" customFormat="1" customHeight="1" s="511">
      <c r="A1791" s="277" t="n"/>
      <c r="B1791" s="285" t="n"/>
      <c r="C1791" s="579" t="n"/>
      <c r="D1791" s="580" t="n"/>
      <c r="E1791" s="581" t="n"/>
      <c r="F1791" s="577" t="n"/>
      <c r="G1791" s="582" t="n"/>
      <c r="H1791" s="583" t="n"/>
      <c r="I1791" s="510" t="n"/>
    </row>
    <row r="1792" ht="19.95" customFormat="1" customHeight="1" s="511">
      <c r="A1792" s="277" t="n"/>
      <c r="B1792" s="285" t="n"/>
      <c r="C1792" s="579" t="n"/>
      <c r="D1792" s="580" t="n"/>
      <c r="E1792" s="581" t="n"/>
      <c r="F1792" s="577" t="n"/>
      <c r="G1792" s="582" t="n"/>
      <c r="H1792" s="583" t="n"/>
      <c r="I1792" s="510" t="n"/>
    </row>
    <row r="1793" ht="19.95" customFormat="1" customHeight="1" s="511">
      <c r="A1793" s="277" t="n"/>
      <c r="B1793" s="285" t="n"/>
      <c r="C1793" s="579" t="n"/>
      <c r="D1793" s="580" t="n"/>
      <c r="E1793" s="581" t="n"/>
      <c r="F1793" s="577" t="n"/>
      <c r="G1793" s="582" t="n"/>
      <c r="H1793" s="583" t="n"/>
      <c r="I1793" s="510" t="n"/>
    </row>
    <row r="1794" ht="19.95" customFormat="1" customHeight="1" s="511">
      <c r="A1794" s="277" t="n"/>
      <c r="B1794" s="285" t="n"/>
      <c r="C1794" s="579" t="n"/>
      <c r="D1794" s="580" t="n"/>
      <c r="E1794" s="581" t="n"/>
      <c r="F1794" s="577" t="n"/>
      <c r="G1794" s="582" t="n"/>
      <c r="H1794" s="583" t="n"/>
      <c r="I1794" s="510" t="n"/>
    </row>
    <row r="1795" ht="19.95" customFormat="1" customHeight="1" s="511">
      <c r="A1795" s="277" t="n"/>
      <c r="B1795" s="285" t="n"/>
      <c r="C1795" s="579" t="n"/>
      <c r="D1795" s="580" t="n"/>
      <c r="E1795" s="581" t="n"/>
      <c r="F1795" s="577" t="n"/>
      <c r="G1795" s="582" t="n"/>
      <c r="H1795" s="583" t="n"/>
      <c r="I1795" s="510" t="n"/>
    </row>
    <row r="1796" ht="19.95" customFormat="1" customHeight="1" s="511">
      <c r="A1796" s="277" t="n"/>
      <c r="B1796" s="285" t="n"/>
      <c r="C1796" s="579" t="n"/>
      <c r="D1796" s="580" t="n"/>
      <c r="E1796" s="581" t="n"/>
      <c r="F1796" s="577" t="n"/>
      <c r="G1796" s="582" t="n"/>
      <c r="H1796" s="583" t="n"/>
      <c r="I1796" s="510" t="n"/>
    </row>
    <row r="1797" ht="19.95" customFormat="1" customHeight="1" s="511">
      <c r="A1797" s="277" t="n"/>
      <c r="B1797" s="285" t="n"/>
      <c r="C1797" s="579" t="n"/>
      <c r="D1797" s="580" t="n"/>
      <c r="E1797" s="581" t="n"/>
      <c r="F1797" s="577" t="n"/>
      <c r="G1797" s="582" t="n"/>
      <c r="H1797" s="583" t="n"/>
      <c r="I1797" s="510" t="n"/>
    </row>
    <row r="1798" ht="19.95" customFormat="1" customHeight="1" s="511">
      <c r="A1798" s="277" t="n"/>
      <c r="B1798" s="285" t="n"/>
      <c r="C1798" s="579" t="n"/>
      <c r="D1798" s="580" t="n"/>
      <c r="E1798" s="581" t="n"/>
      <c r="F1798" s="577" t="n"/>
      <c r="G1798" s="582" t="n"/>
      <c r="H1798" s="583" t="n"/>
      <c r="I1798" s="510" t="n"/>
    </row>
    <row r="1799" ht="19.95" customFormat="1" customHeight="1" s="511">
      <c r="A1799" s="277" t="n"/>
      <c r="B1799" s="285" t="n"/>
      <c r="C1799" s="579" t="n"/>
      <c r="D1799" s="580" t="n"/>
      <c r="E1799" s="581" t="n"/>
      <c r="F1799" s="577" t="n"/>
      <c r="G1799" s="582" t="n"/>
      <c r="H1799" s="583" t="n"/>
      <c r="I1799" s="510" t="n"/>
    </row>
    <row r="1800" ht="19.95" customFormat="1" customHeight="1" s="511">
      <c r="A1800" s="277" t="n"/>
      <c r="B1800" s="285" t="n"/>
      <c r="C1800" s="579" t="n"/>
      <c r="D1800" s="580" t="n"/>
      <c r="E1800" s="581" t="n"/>
      <c r="F1800" s="577" t="n"/>
      <c r="G1800" s="582" t="n"/>
      <c r="H1800" s="583" t="n"/>
      <c r="I1800" s="510" t="n"/>
    </row>
    <row r="1801" ht="19.95" customFormat="1" customHeight="1" s="511">
      <c r="A1801" s="277" t="n"/>
      <c r="B1801" s="285" t="n"/>
      <c r="C1801" s="579" t="n"/>
      <c r="D1801" s="580" t="n"/>
      <c r="E1801" s="581" t="n"/>
      <c r="F1801" s="577" t="n"/>
      <c r="G1801" s="582" t="n"/>
      <c r="H1801" s="583" t="n"/>
      <c r="I1801" s="510" t="n"/>
    </row>
    <row r="1802" ht="19.95" customFormat="1" customHeight="1" s="511">
      <c r="A1802" s="277" t="n"/>
      <c r="B1802" s="285" t="n"/>
      <c r="C1802" s="579" t="n"/>
      <c r="D1802" s="580" t="n"/>
      <c r="E1802" s="581" t="n"/>
      <c r="F1802" s="577" t="n"/>
      <c r="G1802" s="582" t="n"/>
      <c r="H1802" s="583" t="n"/>
      <c r="I1802" s="510" t="n"/>
    </row>
    <row r="1803" ht="19.95" customFormat="1" customHeight="1" s="511">
      <c r="A1803" s="277" t="n"/>
      <c r="B1803" s="285" t="n"/>
      <c r="C1803" s="579" t="n"/>
      <c r="D1803" s="580" t="n"/>
      <c r="E1803" s="581" t="n"/>
      <c r="F1803" s="577" t="n"/>
      <c r="G1803" s="582" t="n"/>
      <c r="H1803" s="583" t="n"/>
      <c r="I1803" s="510" t="n"/>
    </row>
    <row r="1804" ht="19.95" customFormat="1" customHeight="1" s="511">
      <c r="A1804" s="277" t="n"/>
      <c r="B1804" s="285" t="n"/>
      <c r="C1804" s="579" t="n"/>
      <c r="D1804" s="580" t="n"/>
      <c r="E1804" s="581" t="n"/>
      <c r="F1804" s="577" t="n"/>
      <c r="G1804" s="582" t="n"/>
      <c r="H1804" s="583" t="n"/>
      <c r="I1804" s="510" t="n"/>
    </row>
    <row r="1805" ht="19.95" customFormat="1" customHeight="1" s="511">
      <c r="A1805" s="277" t="n"/>
      <c r="B1805" s="285" t="n"/>
      <c r="C1805" s="579" t="n"/>
      <c r="D1805" s="580" t="n"/>
      <c r="E1805" s="581" t="n"/>
      <c r="F1805" s="577" t="n"/>
      <c r="G1805" s="582" t="n"/>
      <c r="H1805" s="583" t="n"/>
      <c r="I1805" s="510" t="n"/>
    </row>
    <row r="1806" ht="19.95" customFormat="1" customHeight="1" s="511">
      <c r="A1806" s="277" t="n"/>
      <c r="B1806" s="285" t="n"/>
      <c r="C1806" s="579" t="n"/>
      <c r="D1806" s="580" t="n"/>
      <c r="E1806" s="581" t="n"/>
      <c r="F1806" s="577" t="n"/>
      <c r="G1806" s="582" t="n"/>
      <c r="H1806" s="583" t="n"/>
      <c r="I1806" s="510" t="n"/>
    </row>
    <row r="1807" ht="19.95" customFormat="1" customHeight="1" s="511">
      <c r="A1807" s="277" t="n"/>
      <c r="B1807" s="285" t="n"/>
      <c r="C1807" s="579" t="n"/>
      <c r="D1807" s="580" t="n"/>
      <c r="E1807" s="581" t="n"/>
      <c r="F1807" s="577" t="n"/>
      <c r="G1807" s="582" t="n"/>
      <c r="H1807" s="583" t="n"/>
      <c r="I1807" s="510" t="n"/>
    </row>
    <row r="1808" ht="19.95" customFormat="1" customHeight="1" s="511">
      <c r="A1808" s="277" t="n"/>
      <c r="B1808" s="285" t="n"/>
      <c r="C1808" s="579" t="n"/>
      <c r="D1808" s="580" t="n"/>
      <c r="E1808" s="581" t="n"/>
      <c r="F1808" s="577" t="n"/>
      <c r="G1808" s="582" t="n"/>
      <c r="H1808" s="583" t="n"/>
      <c r="I1808" s="510" t="n"/>
    </row>
    <row r="1809" ht="19.95" customFormat="1" customHeight="1" s="511">
      <c r="A1809" s="277" t="n"/>
      <c r="B1809" s="285" t="n"/>
      <c r="C1809" s="579" t="n"/>
      <c r="D1809" s="580" t="n"/>
      <c r="E1809" s="581" t="n"/>
      <c r="F1809" s="577" t="n"/>
      <c r="G1809" s="582" t="n"/>
      <c r="H1809" s="583" t="n"/>
      <c r="I1809" s="510" t="n"/>
    </row>
    <row r="1810" ht="19.95" customFormat="1" customHeight="1" s="511">
      <c r="A1810" s="277" t="n"/>
      <c r="B1810" s="285" t="n"/>
      <c r="C1810" s="579" t="n"/>
      <c r="D1810" s="580" t="n"/>
      <c r="E1810" s="581" t="n"/>
      <c r="F1810" s="577" t="n"/>
      <c r="G1810" s="582" t="n"/>
      <c r="H1810" s="583" t="n"/>
      <c r="I1810" s="510" t="n"/>
    </row>
    <row r="1811" ht="19.95" customFormat="1" customHeight="1" s="511">
      <c r="A1811" s="277" t="n"/>
      <c r="B1811" s="285" t="n"/>
      <c r="C1811" s="579" t="n"/>
      <c r="D1811" s="580" t="n"/>
      <c r="E1811" s="581" t="n"/>
      <c r="F1811" s="577" t="n"/>
      <c r="G1811" s="582" t="n"/>
      <c r="H1811" s="583" t="n"/>
      <c r="I1811" s="510" t="n"/>
    </row>
    <row r="1812" ht="19.95" customFormat="1" customHeight="1" s="511">
      <c r="A1812" s="277" t="n"/>
      <c r="B1812" s="285" t="n"/>
      <c r="C1812" s="579" t="n"/>
      <c r="D1812" s="580" t="n"/>
      <c r="E1812" s="581" t="n"/>
      <c r="F1812" s="577" t="n"/>
      <c r="G1812" s="582" t="n"/>
      <c r="H1812" s="583" t="n"/>
      <c r="I1812" s="510" t="n"/>
    </row>
    <row r="1813" ht="19.95" customFormat="1" customHeight="1" s="511">
      <c r="A1813" s="277" t="n"/>
      <c r="B1813" s="285" t="n"/>
      <c r="C1813" s="579" t="n"/>
      <c r="D1813" s="580" t="n"/>
      <c r="E1813" s="581" t="n"/>
      <c r="F1813" s="577" t="n"/>
      <c r="G1813" s="582" t="n"/>
      <c r="H1813" s="583" t="n"/>
      <c r="I1813" s="510" t="n"/>
    </row>
    <row r="1814" ht="19.95" customFormat="1" customHeight="1" s="511">
      <c r="A1814" s="277" t="n"/>
      <c r="B1814" s="285" t="n"/>
      <c r="C1814" s="579" t="n"/>
      <c r="D1814" s="580" t="n"/>
      <c r="E1814" s="581" t="n"/>
      <c r="F1814" s="577" t="n"/>
      <c r="G1814" s="582" t="n"/>
      <c r="H1814" s="583" t="n"/>
      <c r="I1814" s="510" t="n"/>
    </row>
    <row r="1815" ht="19.95" customFormat="1" customHeight="1" s="511">
      <c r="A1815" s="277" t="n"/>
      <c r="B1815" s="285" t="n"/>
      <c r="C1815" s="579" t="n"/>
      <c r="D1815" s="580" t="n"/>
      <c r="E1815" s="581" t="n"/>
      <c r="F1815" s="577" t="n"/>
      <c r="G1815" s="582" t="n"/>
      <c r="H1815" s="583" t="n"/>
      <c r="I1815" s="510" t="n"/>
    </row>
    <row r="1816" ht="19.95" customFormat="1" customHeight="1" s="511">
      <c r="A1816" s="277" t="n"/>
      <c r="B1816" s="285" t="n"/>
      <c r="C1816" s="579" t="n"/>
      <c r="D1816" s="580" t="n"/>
      <c r="E1816" s="581" t="n"/>
      <c r="F1816" s="577" t="n"/>
      <c r="G1816" s="582" t="n"/>
      <c r="H1816" s="583" t="n"/>
      <c r="I1816" s="510" t="n"/>
    </row>
    <row r="1817" ht="19.95" customFormat="1" customHeight="1" s="511">
      <c r="A1817" s="277" t="n"/>
      <c r="B1817" s="285" t="n"/>
      <c r="C1817" s="579" t="n"/>
      <c r="D1817" s="580" t="n"/>
      <c r="E1817" s="581" t="n"/>
      <c r="F1817" s="577" t="n"/>
      <c r="G1817" s="582" t="n"/>
      <c r="H1817" s="583" t="n"/>
      <c r="I1817" s="510" t="n"/>
    </row>
    <row r="1818" ht="19.95" customFormat="1" customHeight="1" s="511">
      <c r="A1818" s="277" t="n"/>
      <c r="B1818" s="285" t="n"/>
      <c r="C1818" s="579" t="n"/>
      <c r="D1818" s="580" t="n"/>
      <c r="E1818" s="581" t="n"/>
      <c r="F1818" s="577" t="n"/>
      <c r="G1818" s="582" t="n"/>
      <c r="H1818" s="583" t="n"/>
      <c r="I1818" s="510" t="n"/>
    </row>
    <row r="1819" ht="19.95" customFormat="1" customHeight="1" s="511">
      <c r="A1819" s="277" t="n"/>
      <c r="B1819" s="285" t="n"/>
      <c r="C1819" s="579" t="n"/>
      <c r="D1819" s="580" t="n"/>
      <c r="E1819" s="581" t="n"/>
      <c r="F1819" s="577" t="n"/>
      <c r="G1819" s="582" t="n"/>
      <c r="H1819" s="583" t="n"/>
      <c r="I1819" s="510" t="n"/>
    </row>
    <row r="1820" ht="19.95" customFormat="1" customHeight="1" s="511">
      <c r="A1820" s="277" t="n"/>
      <c r="B1820" s="285" t="n"/>
      <c r="C1820" s="579" t="n"/>
      <c r="D1820" s="580" t="n"/>
      <c r="E1820" s="581" t="n"/>
      <c r="F1820" s="577" t="n"/>
      <c r="G1820" s="582" t="n"/>
      <c r="H1820" s="583" t="n"/>
      <c r="I1820" s="510" t="n"/>
    </row>
    <row r="1821" ht="19.95" customFormat="1" customHeight="1" s="511">
      <c r="A1821" s="277" t="n"/>
      <c r="B1821" s="285" t="n"/>
      <c r="C1821" s="579" t="n"/>
      <c r="D1821" s="580" t="n"/>
      <c r="E1821" s="581" t="n"/>
      <c r="F1821" s="577" t="n"/>
      <c r="G1821" s="582" t="n"/>
      <c r="H1821" s="583" t="n"/>
      <c r="I1821" s="510" t="n"/>
    </row>
    <row r="1822" ht="19.95" customFormat="1" customHeight="1" s="511">
      <c r="A1822" s="277" t="n"/>
      <c r="B1822" s="285" t="n"/>
      <c r="C1822" s="579" t="n"/>
      <c r="D1822" s="580" t="n"/>
      <c r="E1822" s="581" t="n"/>
      <c r="F1822" s="577" t="n"/>
      <c r="G1822" s="582" t="n"/>
      <c r="H1822" s="583" t="n"/>
      <c r="I1822" s="510" t="n"/>
    </row>
    <row r="1823" ht="19.95" customFormat="1" customHeight="1" s="511">
      <c r="A1823" s="277" t="n"/>
      <c r="B1823" s="285" t="n"/>
      <c r="C1823" s="579" t="n"/>
      <c r="D1823" s="580" t="n"/>
      <c r="E1823" s="581" t="n"/>
      <c r="F1823" s="577" t="n"/>
      <c r="G1823" s="582" t="n"/>
      <c r="H1823" s="583" t="n"/>
      <c r="I1823" s="510" t="n"/>
    </row>
    <row r="1824" ht="19.95" customFormat="1" customHeight="1" s="511">
      <c r="A1824" s="277" t="n"/>
      <c r="B1824" s="285" t="n"/>
      <c r="C1824" s="579" t="n"/>
      <c r="D1824" s="580" t="n"/>
      <c r="E1824" s="581" t="n"/>
      <c r="F1824" s="577" t="n"/>
      <c r="G1824" s="582" t="n"/>
      <c r="H1824" s="583" t="n"/>
      <c r="I1824" s="510" t="n"/>
    </row>
    <row r="1825" ht="19.95" customFormat="1" customHeight="1" s="511">
      <c r="A1825" s="277" t="n"/>
      <c r="B1825" s="285" t="n"/>
      <c r="C1825" s="579" t="n"/>
      <c r="D1825" s="580" t="n"/>
      <c r="E1825" s="581" t="n"/>
      <c r="F1825" s="577" t="n"/>
      <c r="G1825" s="582" t="n"/>
      <c r="H1825" s="583" t="n"/>
      <c r="I1825" s="510" t="n"/>
    </row>
    <row r="1826" ht="19.95" customFormat="1" customHeight="1" s="511">
      <c r="A1826" s="277" t="n"/>
      <c r="B1826" s="285" t="n"/>
      <c r="C1826" s="579" t="n"/>
      <c r="D1826" s="580" t="n"/>
      <c r="E1826" s="581" t="n"/>
      <c r="F1826" s="577" t="n"/>
      <c r="G1826" s="582" t="n"/>
      <c r="H1826" s="583" t="n"/>
      <c r="I1826" s="510" t="n"/>
    </row>
    <row r="1827" ht="19.95" customFormat="1" customHeight="1" s="511">
      <c r="A1827" s="277" t="n"/>
      <c r="B1827" s="285" t="n"/>
      <c r="C1827" s="579" t="n"/>
      <c r="D1827" s="580" t="n"/>
      <c r="E1827" s="581" t="n"/>
      <c r="F1827" s="577" t="n"/>
      <c r="G1827" s="582" t="n"/>
      <c r="H1827" s="583" t="n"/>
      <c r="I1827" s="510" t="n"/>
    </row>
    <row r="1828" ht="19.95" customFormat="1" customHeight="1" s="511">
      <c r="A1828" s="277" t="n"/>
      <c r="B1828" s="285" t="n"/>
      <c r="C1828" s="579" t="n"/>
      <c r="D1828" s="580" t="n"/>
      <c r="E1828" s="581" t="n"/>
      <c r="F1828" s="577" t="n"/>
      <c r="G1828" s="582" t="n"/>
      <c r="H1828" s="583" t="n"/>
      <c r="I1828" s="510" t="n"/>
    </row>
    <row r="1829" ht="19.95" customFormat="1" customHeight="1" s="511">
      <c r="A1829" s="277" t="n"/>
      <c r="B1829" s="285" t="n"/>
      <c r="C1829" s="579" t="n"/>
      <c r="D1829" s="580" t="n"/>
      <c r="E1829" s="581" t="n"/>
      <c r="F1829" s="577" t="n"/>
      <c r="G1829" s="582" t="n"/>
      <c r="H1829" s="583" t="n"/>
      <c r="I1829" s="510" t="n"/>
    </row>
    <row r="1830" ht="19.95" customFormat="1" customHeight="1" s="511">
      <c r="A1830" s="277" t="n"/>
      <c r="B1830" s="285" t="n"/>
      <c r="C1830" s="579" t="n"/>
      <c r="D1830" s="580" t="n"/>
      <c r="E1830" s="581" t="n"/>
      <c r="F1830" s="577" t="n"/>
      <c r="G1830" s="582" t="n"/>
      <c r="H1830" s="583" t="n"/>
      <c r="I1830" s="510" t="n"/>
    </row>
    <row r="1831" ht="19.95" customFormat="1" customHeight="1" s="511">
      <c r="A1831" s="277" t="n"/>
      <c r="B1831" s="285" t="n"/>
      <c r="C1831" s="579" t="n"/>
      <c r="D1831" s="580" t="n"/>
      <c r="E1831" s="581" t="n"/>
      <c r="F1831" s="577" t="n"/>
      <c r="G1831" s="582" t="n"/>
      <c r="H1831" s="583" t="n"/>
      <c r="I1831" s="510" t="n"/>
    </row>
    <row r="1832" ht="19.95" customFormat="1" customHeight="1" s="511">
      <c r="A1832" s="277" t="n"/>
      <c r="B1832" s="285" t="n"/>
      <c r="C1832" s="579" t="n"/>
      <c r="D1832" s="580" t="n"/>
      <c r="E1832" s="581" t="n"/>
      <c r="F1832" s="577" t="n"/>
      <c r="G1832" s="582" t="n"/>
      <c r="H1832" s="583" t="n"/>
      <c r="I1832" s="510" t="n"/>
    </row>
    <row r="1833" ht="19.95" customFormat="1" customHeight="1" s="511">
      <c r="A1833" s="277" t="n"/>
      <c r="B1833" s="285" t="n"/>
      <c r="C1833" s="579" t="n"/>
      <c r="D1833" s="580" t="n"/>
      <c r="E1833" s="581" t="n"/>
      <c r="F1833" s="577" t="n"/>
      <c r="G1833" s="582" t="n"/>
      <c r="H1833" s="583" t="n"/>
      <c r="I1833" s="510" t="n"/>
    </row>
    <row r="1834" ht="19.95" customFormat="1" customHeight="1" s="511">
      <c r="A1834" s="277" t="n"/>
      <c r="B1834" s="285" t="n"/>
      <c r="C1834" s="579" t="n"/>
      <c r="D1834" s="580" t="n"/>
      <c r="E1834" s="581" t="n"/>
      <c r="F1834" s="577" t="n"/>
      <c r="G1834" s="582" t="n"/>
      <c r="H1834" s="583" t="n"/>
      <c r="I1834" s="510" t="n"/>
    </row>
    <row r="1835" ht="19.95" customFormat="1" customHeight="1" s="511">
      <c r="A1835" s="277" t="n"/>
      <c r="B1835" s="285" t="n"/>
      <c r="C1835" s="579" t="n"/>
      <c r="D1835" s="580" t="n"/>
      <c r="E1835" s="581" t="n"/>
      <c r="F1835" s="577" t="n"/>
      <c r="G1835" s="582" t="n"/>
      <c r="H1835" s="583" t="n"/>
      <c r="I1835" s="510" t="n"/>
    </row>
    <row r="1836" ht="19.95" customFormat="1" customHeight="1" s="511">
      <c r="A1836" s="277" t="n"/>
      <c r="B1836" s="285" t="n"/>
      <c r="C1836" s="579" t="n"/>
      <c r="D1836" s="580" t="n"/>
      <c r="E1836" s="581" t="n"/>
      <c r="F1836" s="577" t="n"/>
      <c r="G1836" s="582" t="n"/>
      <c r="H1836" s="583" t="n"/>
      <c r="I1836" s="510" t="n"/>
    </row>
    <row r="1837" ht="19.95" customFormat="1" customHeight="1" s="511">
      <c r="A1837" s="277" t="n"/>
      <c r="B1837" s="285" t="n"/>
      <c r="C1837" s="579" t="n"/>
      <c r="D1837" s="580" t="n"/>
      <c r="E1837" s="581" t="n"/>
      <c r="F1837" s="577" t="n"/>
      <c r="G1837" s="582" t="n"/>
      <c r="H1837" s="583" t="n"/>
      <c r="I1837" s="510" t="n"/>
    </row>
    <row r="1838" ht="19.95" customFormat="1" customHeight="1" s="511">
      <c r="A1838" s="277" t="n"/>
      <c r="B1838" s="285" t="n"/>
      <c r="C1838" s="579" t="n"/>
      <c r="D1838" s="580" t="n"/>
      <c r="E1838" s="581" t="n"/>
      <c r="F1838" s="577" t="n"/>
      <c r="G1838" s="582" t="n"/>
      <c r="H1838" s="583" t="n"/>
      <c r="I1838" s="510" t="n"/>
    </row>
    <row r="1839" ht="19.95" customFormat="1" customHeight="1" s="511">
      <c r="A1839" s="277" t="n"/>
      <c r="B1839" s="285" t="n"/>
      <c r="C1839" s="579" t="n"/>
      <c r="D1839" s="580" t="n"/>
      <c r="E1839" s="581" t="n"/>
      <c r="F1839" s="577" t="n"/>
      <c r="G1839" s="582" t="n"/>
      <c r="H1839" s="583" t="n"/>
      <c r="I1839" s="510" t="n"/>
    </row>
    <row r="1840" ht="19.95" customFormat="1" customHeight="1" s="511">
      <c r="A1840" s="277" t="n"/>
      <c r="B1840" s="285" t="n"/>
      <c r="C1840" s="579" t="n"/>
      <c r="D1840" s="580" t="n"/>
      <c r="E1840" s="581" t="n"/>
      <c r="F1840" s="577" t="n"/>
      <c r="G1840" s="582" t="n"/>
      <c r="H1840" s="583" t="n"/>
      <c r="I1840" s="510" t="n"/>
    </row>
    <row r="1841" ht="19.95" customFormat="1" customHeight="1" s="511">
      <c r="A1841" s="277" t="n"/>
      <c r="B1841" s="285" t="n"/>
      <c r="C1841" s="579" t="n"/>
      <c r="D1841" s="580" t="n"/>
      <c r="E1841" s="581" t="n"/>
      <c r="F1841" s="577" t="n"/>
      <c r="G1841" s="582" t="n"/>
      <c r="H1841" s="583" t="n"/>
      <c r="I1841" s="510" t="n"/>
    </row>
    <row r="1842" ht="19.95" customFormat="1" customHeight="1" s="511">
      <c r="A1842" s="277" t="n"/>
      <c r="B1842" s="285" t="n"/>
      <c r="C1842" s="579" t="n"/>
      <c r="D1842" s="580" t="n"/>
      <c r="E1842" s="581" t="n"/>
      <c r="F1842" s="577" t="n"/>
      <c r="G1842" s="582" t="n"/>
      <c r="H1842" s="583" t="n"/>
      <c r="I1842" s="510" t="n"/>
    </row>
    <row r="1843" ht="19.95" customFormat="1" customHeight="1" s="511">
      <c r="A1843" s="277" t="n"/>
      <c r="B1843" s="285" t="n"/>
      <c r="C1843" s="579" t="n"/>
      <c r="D1843" s="580" t="n"/>
      <c r="E1843" s="581" t="n"/>
      <c r="F1843" s="577" t="n"/>
      <c r="G1843" s="582" t="n"/>
      <c r="H1843" s="583" t="n"/>
      <c r="I1843" s="510" t="n"/>
    </row>
    <row r="1844" ht="19.95" customFormat="1" customHeight="1" s="511">
      <c r="A1844" s="277" t="n"/>
      <c r="B1844" s="285" t="n"/>
      <c r="C1844" s="579" t="n"/>
      <c r="D1844" s="580" t="n"/>
      <c r="E1844" s="581" t="n"/>
      <c r="F1844" s="577" t="n"/>
      <c r="G1844" s="582" t="n"/>
      <c r="H1844" s="583" t="n"/>
      <c r="I1844" s="510" t="n"/>
    </row>
    <row r="1845" ht="19.95" customFormat="1" customHeight="1" s="511">
      <c r="A1845" s="277" t="n"/>
      <c r="B1845" s="285" t="n"/>
      <c r="C1845" s="579" t="n"/>
      <c r="D1845" s="580" t="n"/>
      <c r="E1845" s="581" t="n"/>
      <c r="F1845" s="577" t="n"/>
      <c r="G1845" s="582" t="n"/>
      <c r="H1845" s="583" t="n"/>
      <c r="I1845" s="510" t="n"/>
    </row>
    <row r="1846" ht="19.95" customFormat="1" customHeight="1" s="511">
      <c r="A1846" s="277" t="n"/>
      <c r="B1846" s="285" t="n"/>
      <c r="C1846" s="579" t="n"/>
      <c r="D1846" s="580" t="n"/>
      <c r="E1846" s="581" t="n"/>
      <c r="F1846" s="577" t="n"/>
      <c r="G1846" s="582" t="n"/>
      <c r="H1846" s="583" t="n"/>
      <c r="I1846" s="510" t="n"/>
    </row>
    <row r="1847" ht="19.95" customFormat="1" customHeight="1" s="511">
      <c r="A1847" s="277" t="n"/>
      <c r="B1847" s="285" t="n"/>
      <c r="C1847" s="579" t="n"/>
      <c r="D1847" s="580" t="n"/>
      <c r="E1847" s="581" t="n"/>
      <c r="F1847" s="577" t="n"/>
      <c r="G1847" s="582" t="n"/>
      <c r="H1847" s="583" t="n"/>
      <c r="I1847" s="510" t="n"/>
    </row>
    <row r="1848" ht="19.95" customFormat="1" customHeight="1" s="511">
      <c r="A1848" s="277" t="n"/>
      <c r="B1848" s="285" t="n"/>
      <c r="C1848" s="579" t="n"/>
      <c r="D1848" s="580" t="n"/>
      <c r="E1848" s="581" t="n"/>
      <c r="F1848" s="577" t="n"/>
      <c r="G1848" s="582" t="n"/>
      <c r="H1848" s="583" t="n"/>
      <c r="I1848" s="510" t="n"/>
    </row>
    <row r="1849" ht="19.95" customFormat="1" customHeight="1" s="511">
      <c r="A1849" s="277" t="n"/>
      <c r="B1849" s="285" t="n"/>
      <c r="C1849" s="579" t="n"/>
      <c r="D1849" s="580" t="n"/>
      <c r="E1849" s="581" t="n"/>
      <c r="F1849" s="577" t="n"/>
      <c r="G1849" s="582" t="n"/>
      <c r="H1849" s="583" t="n"/>
      <c r="I1849" s="510" t="n"/>
    </row>
    <row r="1850" ht="19.95" customFormat="1" customHeight="1" s="511">
      <c r="A1850" s="277" t="n"/>
      <c r="B1850" s="285" t="n"/>
      <c r="C1850" s="579" t="n"/>
      <c r="D1850" s="580" t="n"/>
      <c r="E1850" s="581" t="n"/>
      <c r="F1850" s="577" t="n"/>
      <c r="G1850" s="582" t="n"/>
      <c r="H1850" s="583" t="n"/>
      <c r="I1850" s="510" t="n"/>
    </row>
    <row r="1851" ht="19.95" customFormat="1" customHeight="1" s="511">
      <c r="A1851" s="277" t="n"/>
      <c r="B1851" s="285" t="n"/>
      <c r="C1851" s="579" t="n"/>
      <c r="D1851" s="580" t="n"/>
      <c r="E1851" s="581" t="n"/>
      <c r="F1851" s="577" t="n"/>
      <c r="G1851" s="582" t="n"/>
      <c r="H1851" s="583" t="n"/>
      <c r="I1851" s="510" t="n"/>
    </row>
    <row r="1852" ht="19.95" customFormat="1" customHeight="1" s="511">
      <c r="A1852" s="277" t="n"/>
      <c r="B1852" s="285" t="n"/>
      <c r="C1852" s="579" t="n"/>
      <c r="D1852" s="580" t="n"/>
      <c r="E1852" s="581" t="n"/>
      <c r="F1852" s="577" t="n"/>
      <c r="G1852" s="582" t="n"/>
      <c r="H1852" s="583" t="n"/>
      <c r="I1852" s="510" t="n"/>
    </row>
    <row r="1853" ht="19.95" customFormat="1" customHeight="1" s="511">
      <c r="A1853" s="277" t="n"/>
      <c r="B1853" s="285" t="n"/>
      <c r="C1853" s="579" t="n"/>
      <c r="D1853" s="580" t="n"/>
      <c r="E1853" s="581" t="n"/>
      <c r="F1853" s="577" t="n"/>
      <c r="G1853" s="582" t="n"/>
      <c r="H1853" s="583" t="n"/>
      <c r="I1853" s="510" t="n"/>
    </row>
    <row r="1854" ht="19.95" customFormat="1" customHeight="1" s="511">
      <c r="A1854" s="277" t="n"/>
      <c r="B1854" s="285" t="n"/>
      <c r="C1854" s="579" t="n"/>
      <c r="D1854" s="580" t="n"/>
      <c r="E1854" s="581" t="n"/>
      <c r="F1854" s="577" t="n"/>
      <c r="G1854" s="582" t="n"/>
      <c r="H1854" s="583" t="n"/>
      <c r="I1854" s="510" t="n"/>
    </row>
    <row r="1855" ht="19.95" customFormat="1" customHeight="1" s="511">
      <c r="A1855" s="277" t="n"/>
      <c r="B1855" s="285" t="n"/>
      <c r="C1855" s="579" t="n"/>
      <c r="D1855" s="580" t="n"/>
      <c r="E1855" s="581" t="n"/>
      <c r="F1855" s="577" t="n"/>
      <c r="G1855" s="582" t="n"/>
      <c r="H1855" s="583" t="n"/>
      <c r="I1855" s="510" t="n"/>
    </row>
    <row r="1856" ht="19.95" customFormat="1" customHeight="1" s="511">
      <c r="A1856" s="277" t="n"/>
      <c r="B1856" s="285" t="n"/>
      <c r="C1856" s="579" t="n"/>
      <c r="D1856" s="580" t="n"/>
      <c r="E1856" s="581" t="n"/>
      <c r="F1856" s="577" t="n"/>
      <c r="G1856" s="582" t="n"/>
      <c r="H1856" s="583" t="n"/>
      <c r="I1856" s="510" t="n"/>
    </row>
    <row r="1857" ht="19.95" customFormat="1" customHeight="1" s="511">
      <c r="A1857" s="277" t="n"/>
      <c r="B1857" s="285" t="n"/>
      <c r="C1857" s="579" t="n"/>
      <c r="D1857" s="580" t="n"/>
      <c r="E1857" s="581" t="n"/>
      <c r="F1857" s="577" t="n"/>
      <c r="G1857" s="582" t="n"/>
      <c r="H1857" s="583" t="n"/>
      <c r="I1857" s="510" t="n"/>
    </row>
    <row r="1858" ht="19.95" customFormat="1" customHeight="1" s="511">
      <c r="A1858" s="277" t="n"/>
      <c r="B1858" s="285" t="n"/>
      <c r="C1858" s="579" t="n"/>
      <c r="D1858" s="580" t="n"/>
      <c r="E1858" s="581" t="n"/>
      <c r="F1858" s="577" t="n"/>
      <c r="G1858" s="582" t="n"/>
      <c r="H1858" s="583" t="n"/>
      <c r="I1858" s="510" t="n"/>
    </row>
    <row r="1859" ht="19.95" customFormat="1" customHeight="1" s="511">
      <c r="A1859" s="277" t="n"/>
      <c r="B1859" s="285" t="n"/>
      <c r="C1859" s="579" t="n"/>
      <c r="D1859" s="580" t="n"/>
      <c r="E1859" s="581" t="n"/>
      <c r="F1859" s="577" t="n"/>
      <c r="G1859" s="582" t="n"/>
      <c r="H1859" s="583" t="n"/>
      <c r="I1859" s="510" t="n"/>
    </row>
    <row r="1860" ht="19.95" customFormat="1" customHeight="1" s="511">
      <c r="A1860" s="277" t="n"/>
      <c r="B1860" s="285" t="n"/>
      <c r="C1860" s="579" t="n"/>
      <c r="D1860" s="580" t="n"/>
      <c r="E1860" s="581" t="n"/>
      <c r="F1860" s="577" t="n"/>
      <c r="G1860" s="582" t="n"/>
      <c r="H1860" s="583" t="n"/>
      <c r="I1860" s="510" t="n"/>
    </row>
    <row r="1861" ht="19.95" customFormat="1" customHeight="1" s="511">
      <c r="A1861" s="277" t="n"/>
      <c r="B1861" s="285" t="n"/>
      <c r="C1861" s="579" t="n"/>
      <c r="D1861" s="580" t="n"/>
      <c r="E1861" s="581" t="n"/>
      <c r="F1861" s="577" t="n"/>
      <c r="G1861" s="582" t="n"/>
      <c r="H1861" s="583" t="n"/>
      <c r="I1861" s="510" t="n"/>
    </row>
    <row r="1862" ht="19.95" customFormat="1" customHeight="1" s="511">
      <c r="A1862" s="277" t="n"/>
      <c r="B1862" s="285" t="n"/>
      <c r="C1862" s="579" t="n"/>
      <c r="D1862" s="580" t="n"/>
      <c r="E1862" s="581" t="n"/>
      <c r="F1862" s="577" t="n"/>
      <c r="G1862" s="582" t="n"/>
      <c r="H1862" s="583" t="n"/>
      <c r="I1862" s="510" t="n"/>
    </row>
    <row r="1863" ht="19.95" customFormat="1" customHeight="1" s="511">
      <c r="A1863" s="277" t="n"/>
      <c r="B1863" s="285" t="n"/>
      <c r="C1863" s="579" t="n"/>
      <c r="D1863" s="580" t="n"/>
      <c r="E1863" s="581" t="n"/>
      <c r="F1863" s="577" t="n"/>
      <c r="G1863" s="582" t="n"/>
      <c r="H1863" s="583" t="n"/>
      <c r="I1863" s="510" t="n"/>
    </row>
    <row r="1864" ht="19.95" customFormat="1" customHeight="1" s="511">
      <c r="A1864" s="277" t="n"/>
      <c r="B1864" s="285" t="n"/>
      <c r="C1864" s="579" t="n"/>
      <c r="D1864" s="580" t="n"/>
      <c r="E1864" s="581" t="n"/>
      <c r="F1864" s="577" t="n"/>
      <c r="G1864" s="582" t="n"/>
      <c r="H1864" s="583" t="n"/>
      <c r="I1864" s="510" t="n"/>
    </row>
    <row r="1865" ht="19.95" customFormat="1" customHeight="1" s="511">
      <c r="A1865" s="277" t="n"/>
      <c r="B1865" s="285" t="n"/>
      <c r="C1865" s="579" t="n"/>
      <c r="D1865" s="580" t="n"/>
      <c r="E1865" s="581" t="n"/>
      <c r="F1865" s="577" t="n"/>
      <c r="G1865" s="582" t="n"/>
      <c r="H1865" s="583" t="n"/>
      <c r="I1865" s="510" t="n"/>
    </row>
    <row r="1866" ht="19.95" customFormat="1" customHeight="1" s="511">
      <c r="A1866" s="277" t="n"/>
      <c r="B1866" s="285" t="n"/>
      <c r="C1866" s="579" t="n"/>
      <c r="D1866" s="580" t="n"/>
      <c r="E1866" s="581" t="n"/>
      <c r="F1866" s="577" t="n"/>
      <c r="G1866" s="582" t="n"/>
      <c r="H1866" s="583" t="n"/>
      <c r="I1866" s="510" t="n"/>
    </row>
    <row r="1867" ht="19.95" customFormat="1" customHeight="1" s="511">
      <c r="A1867" s="277" t="n"/>
      <c r="B1867" s="285" t="n"/>
      <c r="C1867" s="579" t="n"/>
      <c r="D1867" s="580" t="n"/>
      <c r="E1867" s="581" t="n"/>
      <c r="F1867" s="577" t="n"/>
      <c r="G1867" s="582" t="n"/>
      <c r="H1867" s="583" t="n"/>
      <c r="I1867" s="510" t="n"/>
    </row>
    <row r="1868" ht="19.95" customFormat="1" customHeight="1" s="511">
      <c r="A1868" s="277" t="n"/>
      <c r="B1868" s="285" t="n"/>
      <c r="C1868" s="579" t="n"/>
      <c r="D1868" s="580" t="n"/>
      <c r="E1868" s="581" t="n"/>
      <c r="F1868" s="577" t="n"/>
      <c r="G1868" s="582" t="n"/>
      <c r="H1868" s="583" t="n"/>
      <c r="I1868" s="510" t="n"/>
    </row>
    <row r="1869" ht="19.95" customFormat="1" customHeight="1" s="511">
      <c r="A1869" s="277" t="n"/>
      <c r="B1869" s="285" t="n"/>
      <c r="C1869" s="579" t="n"/>
      <c r="D1869" s="580" t="n"/>
      <c r="E1869" s="581" t="n"/>
      <c r="F1869" s="577" t="n"/>
      <c r="G1869" s="582" t="n"/>
      <c r="H1869" s="583" t="n"/>
      <c r="I1869" s="510" t="n"/>
    </row>
    <row r="1870" ht="19.95" customFormat="1" customHeight="1" s="511">
      <c r="A1870" s="277" t="n"/>
      <c r="B1870" s="285" t="n"/>
      <c r="C1870" s="579" t="n"/>
      <c r="D1870" s="580" t="n"/>
      <c r="E1870" s="581" t="n"/>
      <c r="F1870" s="577" t="n"/>
      <c r="G1870" s="582" t="n"/>
      <c r="H1870" s="583" t="n"/>
      <c r="I1870" s="510" t="n"/>
    </row>
    <row r="1871" ht="19.95" customFormat="1" customHeight="1" s="511">
      <c r="A1871" s="277" t="n"/>
      <c r="B1871" s="285" t="n"/>
      <c r="C1871" s="579" t="n"/>
      <c r="D1871" s="580" t="n"/>
      <c r="E1871" s="581" t="n"/>
      <c r="F1871" s="577" t="n"/>
      <c r="G1871" s="582" t="n"/>
      <c r="H1871" s="583" t="n"/>
      <c r="I1871" s="510" t="n"/>
    </row>
    <row r="1872" ht="19.95" customFormat="1" customHeight="1" s="511">
      <c r="A1872" s="277" t="n"/>
      <c r="B1872" s="285" t="n"/>
      <c r="C1872" s="579" t="n"/>
      <c r="D1872" s="580" t="n"/>
      <c r="E1872" s="581" t="n"/>
      <c r="F1872" s="577" t="n"/>
      <c r="G1872" s="582" t="n"/>
      <c r="H1872" s="583" t="n"/>
      <c r="I1872" s="510" t="n"/>
    </row>
    <row r="1873" ht="19.95" customFormat="1" customHeight="1" s="511">
      <c r="A1873" s="277" t="n"/>
      <c r="B1873" s="285" t="n"/>
      <c r="C1873" s="579" t="n"/>
      <c r="D1873" s="580" t="n"/>
      <c r="E1873" s="581" t="n"/>
      <c r="F1873" s="577" t="n"/>
      <c r="G1873" s="582" t="n"/>
      <c r="H1873" s="583" t="n"/>
      <c r="I1873" s="510" t="n"/>
    </row>
    <row r="1874" ht="19.95" customFormat="1" customHeight="1" s="511">
      <c r="A1874" s="277" t="n"/>
      <c r="B1874" s="285" t="n"/>
      <c r="C1874" s="579" t="n"/>
      <c r="D1874" s="580" t="n"/>
      <c r="E1874" s="581" t="n"/>
      <c r="F1874" s="577" t="n"/>
      <c r="G1874" s="582" t="n"/>
      <c r="H1874" s="583" t="n"/>
      <c r="I1874" s="510" t="n"/>
    </row>
    <row r="1875" ht="19.95" customFormat="1" customHeight="1" s="511">
      <c r="A1875" s="277" t="n"/>
      <c r="B1875" s="285" t="n"/>
      <c r="C1875" s="579" t="n"/>
      <c r="D1875" s="580" t="n"/>
      <c r="E1875" s="581" t="n"/>
      <c r="F1875" s="577" t="n"/>
      <c r="G1875" s="582" t="n"/>
      <c r="H1875" s="583" t="n"/>
      <c r="I1875" s="510" t="n"/>
    </row>
    <row r="1876" ht="19.95" customFormat="1" customHeight="1" s="511">
      <c r="A1876" s="277" t="n"/>
      <c r="B1876" s="285" t="n"/>
      <c r="C1876" s="579" t="n"/>
      <c r="D1876" s="580" t="n"/>
      <c r="E1876" s="581" t="n"/>
      <c r="F1876" s="577" t="n"/>
      <c r="G1876" s="582" t="n"/>
      <c r="H1876" s="583" t="n"/>
      <c r="I1876" s="510" t="n"/>
    </row>
    <row r="1877" ht="19.95" customFormat="1" customHeight="1" s="511">
      <c r="A1877" s="277" t="n"/>
      <c r="B1877" s="285" t="n"/>
      <c r="C1877" s="579" t="n"/>
      <c r="D1877" s="580" t="n"/>
      <c r="E1877" s="581" t="n"/>
      <c r="F1877" s="577" t="n"/>
      <c r="G1877" s="582" t="n"/>
      <c r="H1877" s="583" t="n"/>
      <c r="I1877" s="510" t="n"/>
    </row>
    <row r="1878" ht="19.95" customFormat="1" customHeight="1" s="511">
      <c r="A1878" s="277" t="n"/>
      <c r="B1878" s="285" t="n"/>
      <c r="C1878" s="579" t="n"/>
      <c r="D1878" s="580" t="n"/>
      <c r="E1878" s="581" t="n"/>
      <c r="F1878" s="577" t="n"/>
      <c r="G1878" s="582" t="n"/>
      <c r="H1878" s="583" t="n"/>
      <c r="I1878" s="510" t="n"/>
    </row>
    <row r="1879" ht="19.95" customFormat="1" customHeight="1" s="511">
      <c r="A1879" s="277" t="n"/>
      <c r="B1879" s="285" t="n"/>
      <c r="C1879" s="579" t="n"/>
      <c r="D1879" s="580" t="n"/>
      <c r="E1879" s="581" t="n"/>
      <c r="F1879" s="577" t="n"/>
      <c r="G1879" s="582" t="n"/>
      <c r="H1879" s="583" t="n"/>
      <c r="I1879" s="510" t="n"/>
    </row>
    <row r="1880" ht="19.95" customFormat="1" customHeight="1" s="511">
      <c r="A1880" s="277" t="n"/>
      <c r="B1880" s="285" t="n"/>
      <c r="C1880" s="579" t="n"/>
      <c r="D1880" s="580" t="n"/>
      <c r="E1880" s="581" t="n"/>
      <c r="F1880" s="577" t="n"/>
      <c r="G1880" s="582" t="n"/>
      <c r="H1880" s="583" t="n"/>
      <c r="I1880" s="510" t="n"/>
    </row>
    <row r="1881" ht="19.95" customFormat="1" customHeight="1" s="511">
      <c r="A1881" s="277" t="n"/>
      <c r="B1881" s="285" t="n"/>
      <c r="C1881" s="579" t="n"/>
      <c r="D1881" s="580" t="n"/>
      <c r="E1881" s="581" t="n"/>
      <c r="F1881" s="577" t="n"/>
      <c r="G1881" s="582" t="n"/>
      <c r="H1881" s="583" t="n"/>
      <c r="I1881" s="510" t="n"/>
    </row>
    <row r="1882" ht="19.95" customFormat="1" customHeight="1" s="511">
      <c r="A1882" s="277" t="n"/>
      <c r="B1882" s="285" t="n"/>
      <c r="C1882" s="579" t="n"/>
      <c r="D1882" s="580" t="n"/>
      <c r="E1882" s="581" t="n"/>
      <c r="F1882" s="577" t="n"/>
      <c r="G1882" s="582" t="n"/>
      <c r="H1882" s="583" t="n"/>
      <c r="I1882" s="510" t="n"/>
    </row>
    <row r="1883" ht="19.95" customFormat="1" customHeight="1" s="511">
      <c r="A1883" s="277" t="n"/>
      <c r="B1883" s="285" t="n"/>
      <c r="C1883" s="579" t="n"/>
      <c r="D1883" s="580" t="n"/>
      <c r="E1883" s="581" t="n"/>
      <c r="F1883" s="577" t="n"/>
      <c r="G1883" s="582" t="n"/>
      <c r="H1883" s="583" t="n"/>
      <c r="I1883" s="510" t="n"/>
    </row>
    <row r="1884" ht="19.95" customFormat="1" customHeight="1" s="511">
      <c r="A1884" s="277" t="n"/>
      <c r="B1884" s="285" t="n"/>
      <c r="C1884" s="579" t="n"/>
      <c r="D1884" s="580" t="n"/>
      <c r="E1884" s="581" t="n"/>
      <c r="F1884" s="577" t="n"/>
      <c r="G1884" s="582" t="n"/>
      <c r="H1884" s="583" t="n"/>
      <c r="I1884" s="510" t="n"/>
    </row>
    <row r="1885" ht="19.95" customFormat="1" customHeight="1" s="511">
      <c r="A1885" s="277" t="n"/>
      <c r="B1885" s="285" t="n"/>
      <c r="C1885" s="579" t="n"/>
      <c r="D1885" s="580" t="n"/>
      <c r="E1885" s="581" t="n"/>
      <c r="F1885" s="577" t="n"/>
      <c r="G1885" s="582" t="n"/>
      <c r="H1885" s="583" t="n"/>
      <c r="I1885" s="510" t="n"/>
    </row>
    <row r="1886" ht="19.95" customFormat="1" customHeight="1" s="511">
      <c r="A1886" s="277" t="n"/>
      <c r="B1886" s="285" t="n"/>
      <c r="C1886" s="579" t="n"/>
      <c r="D1886" s="580" t="n"/>
      <c r="E1886" s="581" t="n"/>
      <c r="F1886" s="577" t="n"/>
      <c r="G1886" s="582" t="n"/>
      <c r="H1886" s="583" t="n"/>
      <c r="I1886" s="510" t="n"/>
    </row>
    <row r="1887" ht="19.95" customFormat="1" customHeight="1" s="511">
      <c r="A1887" s="277" t="n"/>
      <c r="B1887" s="285" t="n"/>
      <c r="C1887" s="579" t="n"/>
      <c r="D1887" s="580" t="n"/>
      <c r="E1887" s="581" t="n"/>
      <c r="F1887" s="577" t="n"/>
      <c r="G1887" s="582" t="n"/>
      <c r="H1887" s="583" t="n"/>
      <c r="I1887" s="510" t="n"/>
    </row>
    <row r="1888" ht="19.95" customFormat="1" customHeight="1" s="511">
      <c r="A1888" s="277" t="n"/>
      <c r="B1888" s="285" t="n"/>
      <c r="C1888" s="579" t="n"/>
      <c r="D1888" s="580" t="n"/>
      <c r="E1888" s="581" t="n"/>
      <c r="F1888" s="577" t="n"/>
      <c r="G1888" s="582" t="n"/>
      <c r="H1888" s="583" t="n"/>
      <c r="I1888" s="510" t="n"/>
    </row>
    <row r="1889" ht="19.95" customFormat="1" customHeight="1" s="511">
      <c r="A1889" s="277" t="n"/>
      <c r="B1889" s="285" t="n"/>
      <c r="C1889" s="579" t="n"/>
      <c r="D1889" s="580" t="n"/>
      <c r="E1889" s="581" t="n"/>
      <c r="F1889" s="577" t="n"/>
      <c r="G1889" s="582" t="n"/>
      <c r="H1889" s="583" t="n"/>
      <c r="I1889" s="510" t="n"/>
    </row>
    <row r="1890" ht="19.95" customFormat="1" customHeight="1" s="511">
      <c r="A1890" s="277" t="n"/>
      <c r="B1890" s="285" t="n"/>
      <c r="C1890" s="579" t="n"/>
      <c r="D1890" s="580" t="n"/>
      <c r="E1890" s="581" t="n"/>
      <c r="F1890" s="577" t="n"/>
      <c r="G1890" s="582" t="n"/>
      <c r="H1890" s="583" t="n"/>
      <c r="I1890" s="510" t="n"/>
    </row>
    <row r="1891" ht="19.95" customFormat="1" customHeight="1" s="511">
      <c r="A1891" s="277" t="n"/>
      <c r="B1891" s="285" t="n"/>
      <c r="C1891" s="579" t="n"/>
      <c r="D1891" s="580" t="n"/>
      <c r="E1891" s="581" t="n"/>
      <c r="F1891" s="577" t="n"/>
      <c r="G1891" s="582" t="n"/>
      <c r="H1891" s="583" t="n"/>
      <c r="I1891" s="510" t="n"/>
    </row>
    <row r="1892" ht="19.95" customFormat="1" customHeight="1" s="511">
      <c r="A1892" s="277" t="n"/>
      <c r="B1892" s="285" t="n"/>
      <c r="C1892" s="579" t="n"/>
      <c r="D1892" s="580" t="n"/>
      <c r="E1892" s="581" t="n"/>
      <c r="F1892" s="577" t="n"/>
      <c r="G1892" s="582" t="n"/>
      <c r="H1892" s="583" t="n"/>
      <c r="I1892" s="510" t="n"/>
    </row>
    <row r="1893" ht="19.95" customFormat="1" customHeight="1" s="511">
      <c r="A1893" s="277" t="n"/>
      <c r="B1893" s="285" t="n"/>
      <c r="C1893" s="579" t="n"/>
      <c r="D1893" s="580" t="n"/>
      <c r="E1893" s="581" t="n"/>
      <c r="F1893" s="577" t="n"/>
      <c r="G1893" s="582" t="n"/>
      <c r="H1893" s="583" t="n"/>
      <c r="I1893" s="510" t="n"/>
    </row>
    <row r="1894" ht="19.95" customFormat="1" customHeight="1" s="511">
      <c r="A1894" s="277" t="n"/>
      <c r="B1894" s="285" t="n"/>
      <c r="C1894" s="579" t="n"/>
      <c r="D1894" s="580" t="n"/>
      <c r="E1894" s="581" t="n"/>
      <c r="F1894" s="577" t="n"/>
      <c r="G1894" s="582" t="n"/>
      <c r="H1894" s="583" t="n"/>
      <c r="I1894" s="510" t="n"/>
    </row>
    <row r="1895" ht="19.95" customFormat="1" customHeight="1" s="511">
      <c r="A1895" s="277" t="n"/>
      <c r="B1895" s="285" t="n"/>
      <c r="C1895" s="579" t="n"/>
      <c r="D1895" s="580" t="n"/>
      <c r="E1895" s="581" t="n"/>
      <c r="F1895" s="577" t="n"/>
      <c r="G1895" s="582" t="n"/>
      <c r="H1895" s="583" t="n"/>
      <c r="I1895" s="510" t="n"/>
    </row>
    <row r="1896" ht="19.95" customFormat="1" customHeight="1" s="511">
      <c r="A1896" s="277" t="n"/>
      <c r="B1896" s="285" t="n"/>
      <c r="C1896" s="579" t="n"/>
      <c r="D1896" s="580" t="n"/>
      <c r="E1896" s="581" t="n"/>
      <c r="F1896" s="577" t="n"/>
      <c r="G1896" s="582" t="n"/>
      <c r="H1896" s="583" t="n"/>
      <c r="I1896" s="510" t="n"/>
    </row>
    <row r="1897" ht="19.95" customFormat="1" customHeight="1" s="511">
      <c r="A1897" s="277" t="n"/>
      <c r="B1897" s="285" t="n"/>
      <c r="C1897" s="579" t="n"/>
      <c r="D1897" s="580" t="n"/>
      <c r="E1897" s="581" t="n"/>
      <c r="F1897" s="577" t="n"/>
      <c r="G1897" s="582" t="n"/>
      <c r="H1897" s="583" t="n"/>
      <c r="I1897" s="510" t="n"/>
    </row>
    <row r="1898" ht="19.95" customFormat="1" customHeight="1" s="511">
      <c r="A1898" s="277" t="n"/>
      <c r="B1898" s="285" t="n"/>
      <c r="C1898" s="579" t="n"/>
      <c r="D1898" s="580" t="n"/>
      <c r="E1898" s="581" t="n"/>
      <c r="F1898" s="577" t="n"/>
      <c r="G1898" s="582" t="n"/>
      <c r="H1898" s="583" t="n"/>
      <c r="I1898" s="510" t="n"/>
    </row>
    <row r="1899" ht="19.95" customFormat="1" customHeight="1" s="511">
      <c r="A1899" s="277" t="n"/>
      <c r="B1899" s="285" t="n"/>
      <c r="C1899" s="579" t="n"/>
      <c r="D1899" s="580" t="n"/>
      <c r="E1899" s="581" t="n"/>
      <c r="F1899" s="577" t="n"/>
      <c r="G1899" s="582" t="n"/>
      <c r="H1899" s="583" t="n"/>
      <c r="I1899" s="510" t="n"/>
    </row>
    <row r="1900" ht="19.95" customFormat="1" customHeight="1" s="511">
      <c r="A1900" s="277" t="n"/>
      <c r="B1900" s="285" t="n"/>
      <c r="C1900" s="579" t="n"/>
      <c r="D1900" s="580" t="n"/>
      <c r="E1900" s="581" t="n"/>
      <c r="F1900" s="577" t="n"/>
      <c r="G1900" s="582" t="n"/>
      <c r="H1900" s="583" t="n"/>
      <c r="I1900" s="510" t="n"/>
    </row>
    <row r="1901" ht="19.95" customFormat="1" customHeight="1" s="511">
      <c r="A1901" s="277" t="n"/>
      <c r="B1901" s="285" t="n"/>
      <c r="C1901" s="579" t="n"/>
      <c r="D1901" s="580" t="n"/>
      <c r="E1901" s="581" t="n"/>
      <c r="F1901" s="577" t="n"/>
      <c r="G1901" s="582" t="n"/>
      <c r="H1901" s="583" t="n"/>
      <c r="I1901" s="510" t="n"/>
    </row>
    <row r="1902" ht="19.95" customFormat="1" customHeight="1" s="511">
      <c r="A1902" s="277" t="n"/>
      <c r="B1902" s="285" t="n"/>
      <c r="C1902" s="579" t="n"/>
      <c r="D1902" s="580" t="n"/>
      <c r="E1902" s="581" t="n"/>
      <c r="F1902" s="577" t="n"/>
      <c r="G1902" s="582" t="n"/>
      <c r="H1902" s="583" t="n"/>
      <c r="I1902" s="510" t="n"/>
    </row>
    <row r="1903" ht="19.95" customFormat="1" customHeight="1" s="511">
      <c r="A1903" s="277" t="n"/>
      <c r="B1903" s="285" t="n"/>
      <c r="C1903" s="579" t="n"/>
      <c r="D1903" s="580" t="n"/>
      <c r="E1903" s="581" t="n"/>
      <c r="F1903" s="577" t="n"/>
      <c r="G1903" s="582" t="n"/>
      <c r="H1903" s="583" t="n"/>
      <c r="I1903" s="510" t="n"/>
    </row>
    <row r="1904" ht="19.95" customFormat="1" customHeight="1" s="511">
      <c r="A1904" s="277" t="n"/>
      <c r="B1904" s="285" t="n"/>
      <c r="C1904" s="579" t="n"/>
      <c r="D1904" s="580" t="n"/>
      <c r="E1904" s="581" t="n"/>
      <c r="F1904" s="577" t="n"/>
      <c r="G1904" s="582" t="n"/>
      <c r="H1904" s="583" t="n"/>
      <c r="I1904" s="510" t="n"/>
    </row>
    <row r="1905" ht="19.95" customFormat="1" customHeight="1" s="511">
      <c r="A1905" s="277" t="n"/>
      <c r="B1905" s="285" t="n"/>
      <c r="C1905" s="579" t="n"/>
      <c r="D1905" s="580" t="n"/>
      <c r="E1905" s="581" t="n"/>
      <c r="F1905" s="577" t="n"/>
      <c r="G1905" s="582" t="n"/>
      <c r="H1905" s="583" t="n"/>
      <c r="I1905" s="510" t="n"/>
    </row>
    <row r="1906" ht="19.95" customFormat="1" customHeight="1" s="511">
      <c r="A1906" s="277" t="n"/>
      <c r="B1906" s="285" t="n"/>
      <c r="C1906" s="579" t="n"/>
      <c r="D1906" s="580" t="n"/>
      <c r="E1906" s="581" t="n"/>
      <c r="F1906" s="577" t="n"/>
      <c r="G1906" s="582" t="n"/>
      <c r="H1906" s="583" t="n"/>
      <c r="I1906" s="510" t="n"/>
    </row>
    <row r="1907" ht="19.95" customFormat="1" customHeight="1" s="511">
      <c r="A1907" s="277" t="n"/>
      <c r="B1907" s="285" t="n"/>
      <c r="C1907" s="579" t="n"/>
      <c r="D1907" s="580" t="n"/>
      <c r="E1907" s="581" t="n"/>
      <c r="F1907" s="577" t="n"/>
      <c r="G1907" s="582" t="n"/>
      <c r="H1907" s="583" t="n"/>
      <c r="I1907" s="510" t="n"/>
    </row>
    <row r="1908" ht="19.95" customFormat="1" customHeight="1" s="511">
      <c r="A1908" s="277" t="n"/>
      <c r="B1908" s="285" t="n"/>
      <c r="C1908" s="579" t="n"/>
      <c r="D1908" s="580" t="n"/>
      <c r="E1908" s="581" t="n"/>
      <c r="F1908" s="577" t="n"/>
      <c r="G1908" s="582" t="n"/>
      <c r="H1908" s="583" t="n"/>
      <c r="I1908" s="510" t="n"/>
    </row>
    <row r="1909" ht="19.95" customFormat="1" customHeight="1" s="511">
      <c r="A1909" s="277" t="n"/>
      <c r="B1909" s="285" t="n"/>
      <c r="C1909" s="579" t="n"/>
      <c r="D1909" s="580" t="n"/>
      <c r="E1909" s="581" t="n"/>
      <c r="F1909" s="577" t="n"/>
      <c r="G1909" s="582" t="n"/>
      <c r="H1909" s="583" t="n"/>
      <c r="I1909" s="510" t="n"/>
    </row>
    <row r="1910" ht="19.95" customFormat="1" customHeight="1" s="511">
      <c r="A1910" s="277" t="n"/>
      <c r="B1910" s="285" t="n"/>
      <c r="C1910" s="579" t="n"/>
      <c r="D1910" s="580" t="n"/>
      <c r="E1910" s="581" t="n"/>
      <c r="F1910" s="577" t="n"/>
      <c r="G1910" s="582" t="n"/>
      <c r="H1910" s="583" t="n"/>
      <c r="I1910" s="510" t="n"/>
    </row>
    <row r="1911" ht="19.95" customFormat="1" customHeight="1" s="511">
      <c r="A1911" s="277" t="n"/>
      <c r="B1911" s="285" t="n"/>
      <c r="C1911" s="579" t="n"/>
      <c r="D1911" s="580" t="n"/>
      <c r="E1911" s="581" t="n"/>
      <c r="F1911" s="577" t="n"/>
      <c r="G1911" s="582" t="n"/>
      <c r="H1911" s="583" t="n"/>
      <c r="I1911" s="510" t="n"/>
    </row>
    <row r="1912" ht="19.95" customFormat="1" customHeight="1" s="511">
      <c r="A1912" s="277" t="n"/>
      <c r="B1912" s="285" t="n"/>
      <c r="C1912" s="579" t="n"/>
      <c r="D1912" s="580" t="n"/>
      <c r="E1912" s="581" t="n"/>
      <c r="F1912" s="577" t="n"/>
      <c r="G1912" s="582" t="n"/>
      <c r="H1912" s="583" t="n"/>
      <c r="I1912" s="510" t="n"/>
    </row>
    <row r="1913" ht="19.95" customFormat="1" customHeight="1" s="511">
      <c r="A1913" s="277" t="n"/>
      <c r="B1913" s="285" t="n"/>
      <c r="C1913" s="579" t="n"/>
      <c r="D1913" s="580" t="n"/>
      <c r="E1913" s="581" t="n"/>
      <c r="F1913" s="577" t="n"/>
      <c r="G1913" s="582" t="n"/>
      <c r="H1913" s="583" t="n"/>
      <c r="I1913" s="510" t="n"/>
    </row>
    <row r="1914" ht="19.95" customFormat="1" customHeight="1" s="511">
      <c r="A1914" s="277" t="n"/>
      <c r="B1914" s="285" t="n"/>
      <c r="C1914" s="579" t="n"/>
      <c r="D1914" s="580" t="n"/>
      <c r="E1914" s="581" t="n"/>
      <c r="F1914" s="577" t="n"/>
      <c r="G1914" s="582" t="n"/>
      <c r="H1914" s="583" t="n"/>
      <c r="I1914" s="510" t="n"/>
    </row>
    <row r="1915" ht="19.95" customFormat="1" customHeight="1" s="511">
      <c r="A1915" s="277" t="n"/>
      <c r="B1915" s="285" t="n"/>
      <c r="C1915" s="579" t="n"/>
      <c r="D1915" s="580" t="n"/>
      <c r="E1915" s="581" t="n"/>
      <c r="F1915" s="577" t="n"/>
      <c r="G1915" s="582" t="n"/>
      <c r="H1915" s="583" t="n"/>
      <c r="I1915" s="510" t="n"/>
    </row>
    <row r="1916" ht="19.95" customFormat="1" customHeight="1" s="511">
      <c r="A1916" s="277" t="n"/>
      <c r="B1916" s="285" t="n"/>
      <c r="C1916" s="579" t="n"/>
      <c r="D1916" s="580" t="n"/>
      <c r="E1916" s="581" t="n"/>
      <c r="F1916" s="577" t="n"/>
      <c r="G1916" s="582" t="n"/>
      <c r="H1916" s="583" t="n"/>
      <c r="I1916" s="510" t="n"/>
    </row>
    <row r="1917" ht="19.95" customFormat="1" customHeight="1" s="511">
      <c r="A1917" s="277" t="n"/>
      <c r="B1917" s="285" t="n"/>
      <c r="C1917" s="579" t="n"/>
      <c r="D1917" s="580" t="n"/>
      <c r="E1917" s="581" t="n"/>
      <c r="F1917" s="577" t="n"/>
      <c r="G1917" s="582" t="n"/>
      <c r="H1917" s="583" t="n"/>
      <c r="I1917" s="510" t="n"/>
    </row>
    <row r="1918" ht="19.95" customFormat="1" customHeight="1" s="511">
      <c r="A1918" s="277" t="n"/>
      <c r="B1918" s="285" t="n"/>
      <c r="C1918" s="579" t="n"/>
      <c r="D1918" s="580" t="n"/>
      <c r="E1918" s="581" t="n"/>
      <c r="F1918" s="577" t="n"/>
      <c r="G1918" s="582" t="n"/>
      <c r="H1918" s="583" t="n"/>
      <c r="I1918" s="510" t="n"/>
    </row>
    <row r="1919" ht="19.95" customFormat="1" customHeight="1" s="511">
      <c r="A1919" s="277" t="n"/>
      <c r="B1919" s="285" t="n"/>
      <c r="C1919" s="579" t="n"/>
      <c r="D1919" s="580" t="n"/>
      <c r="E1919" s="581" t="n"/>
      <c r="F1919" s="577" t="n"/>
      <c r="G1919" s="582" t="n"/>
      <c r="H1919" s="583" t="n"/>
      <c r="I1919" s="510" t="n"/>
    </row>
    <row r="1920" ht="19.95" customFormat="1" customHeight="1" s="511">
      <c r="A1920" s="277" t="n"/>
      <c r="B1920" s="285" t="n"/>
      <c r="C1920" s="579" t="n"/>
      <c r="D1920" s="580" t="n"/>
      <c r="E1920" s="581" t="n"/>
      <c r="F1920" s="577" t="n"/>
      <c r="G1920" s="582" t="n"/>
      <c r="H1920" s="583" t="n"/>
      <c r="I1920" s="510" t="n"/>
    </row>
    <row r="1921" ht="19.95" customFormat="1" customHeight="1" s="511">
      <c r="A1921" s="277" t="n"/>
      <c r="B1921" s="285" t="n"/>
      <c r="C1921" s="579" t="n"/>
      <c r="D1921" s="580" t="n"/>
      <c r="E1921" s="581" t="n"/>
      <c r="F1921" s="577" t="n"/>
      <c r="G1921" s="582" t="n"/>
      <c r="H1921" s="583" t="n"/>
      <c r="I1921" s="510" t="n"/>
    </row>
    <row r="1922" ht="19.95" customFormat="1" customHeight="1" s="511">
      <c r="A1922" s="277" t="n"/>
      <c r="B1922" s="285" t="n"/>
      <c r="C1922" s="579" t="n"/>
      <c r="D1922" s="580" t="n"/>
      <c r="E1922" s="581" t="n"/>
      <c r="F1922" s="577" t="n"/>
      <c r="G1922" s="582" t="n"/>
      <c r="H1922" s="583" t="n"/>
      <c r="I1922" s="510" t="n"/>
    </row>
    <row r="1923" ht="19.95" customFormat="1" customHeight="1" s="511">
      <c r="A1923" s="277" t="n"/>
      <c r="B1923" s="285" t="n"/>
      <c r="C1923" s="579" t="n"/>
      <c r="D1923" s="580" t="n"/>
      <c r="E1923" s="581" t="n"/>
      <c r="F1923" s="577" t="n"/>
      <c r="G1923" s="582" t="n"/>
      <c r="H1923" s="583" t="n"/>
      <c r="I1923" s="510" t="n"/>
    </row>
    <row r="1924" ht="19.95" customFormat="1" customHeight="1" s="511">
      <c r="A1924" s="277" t="n"/>
      <c r="B1924" s="285" t="n"/>
      <c r="C1924" s="579" t="n"/>
      <c r="D1924" s="580" t="n"/>
      <c r="E1924" s="581" t="n"/>
      <c r="F1924" s="577" t="n"/>
      <c r="G1924" s="582" t="n"/>
      <c r="H1924" s="583" t="n"/>
      <c r="I1924" s="510" t="n"/>
    </row>
    <row r="1925" ht="19.95" customFormat="1" customHeight="1" s="511">
      <c r="A1925" s="277" t="n"/>
      <c r="B1925" s="285" t="n"/>
      <c r="C1925" s="579" t="n"/>
      <c r="D1925" s="580" t="n"/>
      <c r="E1925" s="581" t="n"/>
      <c r="F1925" s="577" t="n"/>
      <c r="G1925" s="582" t="n"/>
      <c r="H1925" s="583" t="n"/>
      <c r="I1925" s="510" t="n"/>
    </row>
    <row r="1926" ht="19.95" customFormat="1" customHeight="1" s="511">
      <c r="A1926" s="277" t="n"/>
      <c r="B1926" s="285" t="n"/>
      <c r="C1926" s="579" t="n"/>
      <c r="D1926" s="580" t="n"/>
      <c r="E1926" s="581" t="n"/>
      <c r="F1926" s="577" t="n"/>
      <c r="G1926" s="582" t="n"/>
      <c r="H1926" s="583" t="n"/>
      <c r="I1926" s="510" t="n"/>
    </row>
    <row r="1927" ht="19.95" customFormat="1" customHeight="1" s="511">
      <c r="A1927" s="277" t="n"/>
      <c r="B1927" s="285" t="n"/>
      <c r="C1927" s="579" t="n"/>
      <c r="D1927" s="580" t="n"/>
      <c r="E1927" s="581" t="n"/>
      <c r="F1927" s="577" t="n"/>
      <c r="G1927" s="582" t="n"/>
      <c r="H1927" s="583" t="n"/>
      <c r="I1927" s="510" t="n"/>
    </row>
    <row r="1928" ht="19.95" customFormat="1" customHeight="1" s="511">
      <c r="A1928" s="277" t="n"/>
      <c r="B1928" s="285" t="n"/>
      <c r="C1928" s="579" t="n"/>
      <c r="D1928" s="580" t="n"/>
      <c r="E1928" s="581" t="n"/>
      <c r="F1928" s="577" t="n"/>
      <c r="G1928" s="582" t="n"/>
      <c r="H1928" s="583" t="n"/>
      <c r="I1928" s="510" t="n"/>
    </row>
    <row r="1929" ht="19.95" customFormat="1" customHeight="1" s="511">
      <c r="A1929" s="277" t="n"/>
      <c r="B1929" s="285" t="n"/>
      <c r="C1929" s="579" t="n"/>
      <c r="D1929" s="580" t="n"/>
      <c r="E1929" s="581" t="n"/>
      <c r="F1929" s="577" t="n"/>
      <c r="G1929" s="582" t="n"/>
      <c r="H1929" s="583" t="n"/>
      <c r="I1929" s="510" t="n"/>
    </row>
    <row r="1930" ht="19.95" customFormat="1" customHeight="1" s="511">
      <c r="A1930" s="277" t="n"/>
      <c r="B1930" s="285" t="n"/>
      <c r="C1930" s="579" t="n"/>
      <c r="D1930" s="580" t="n"/>
      <c r="E1930" s="581" t="n"/>
      <c r="F1930" s="577" t="n"/>
      <c r="G1930" s="582" t="n"/>
      <c r="H1930" s="583" t="n"/>
      <c r="I1930" s="510" t="n"/>
    </row>
    <row r="1931" ht="19.95" customFormat="1" customHeight="1" s="511">
      <c r="A1931" s="277" t="n"/>
      <c r="B1931" s="285" t="n"/>
      <c r="C1931" s="579" t="n"/>
      <c r="D1931" s="580" t="n"/>
      <c r="E1931" s="581" t="n"/>
      <c r="F1931" s="577" t="n"/>
      <c r="G1931" s="582" t="n"/>
      <c r="H1931" s="583" t="n"/>
      <c r="I1931" s="510" t="n"/>
    </row>
    <row r="1932" ht="19.95" customFormat="1" customHeight="1" s="511">
      <c r="A1932" s="277" t="n"/>
      <c r="B1932" s="285" t="n"/>
      <c r="C1932" s="579" t="n"/>
      <c r="D1932" s="580" t="n"/>
      <c r="E1932" s="581" t="n"/>
      <c r="F1932" s="577" t="n"/>
      <c r="G1932" s="582" t="n"/>
      <c r="H1932" s="583" t="n"/>
      <c r="I1932" s="510" t="n"/>
    </row>
    <row r="1933" ht="19.95" customFormat="1" customHeight="1" s="511">
      <c r="A1933" s="277" t="n"/>
      <c r="B1933" s="285" t="n"/>
      <c r="C1933" s="579" t="n"/>
      <c r="D1933" s="580" t="n"/>
      <c r="E1933" s="581" t="n"/>
      <c r="F1933" s="577" t="n"/>
      <c r="G1933" s="582" t="n"/>
      <c r="H1933" s="583" t="n"/>
      <c r="I1933" s="510" t="n"/>
    </row>
    <row r="1934" ht="19.95" customFormat="1" customHeight="1" s="511">
      <c r="A1934" s="277" t="n"/>
      <c r="B1934" s="285" t="n"/>
      <c r="C1934" s="579" t="n"/>
      <c r="D1934" s="580" t="n"/>
      <c r="E1934" s="581" t="n"/>
      <c r="F1934" s="577" t="n"/>
      <c r="G1934" s="582" t="n"/>
      <c r="H1934" s="583" t="n"/>
      <c r="I1934" s="510" t="n"/>
    </row>
    <row r="1935" ht="19.95" customFormat="1" customHeight="1" s="511">
      <c r="A1935" s="277" t="n"/>
      <c r="B1935" s="285" t="n"/>
      <c r="C1935" s="579" t="n"/>
      <c r="D1935" s="580" t="n"/>
      <c r="E1935" s="581" t="n"/>
      <c r="F1935" s="577" t="n"/>
      <c r="G1935" s="582" t="n"/>
      <c r="H1935" s="583" t="n"/>
      <c r="I1935" s="510" t="n"/>
    </row>
    <row r="1936" ht="19.95" customFormat="1" customHeight="1" s="511">
      <c r="A1936" s="277" t="n"/>
      <c r="B1936" s="285" t="n"/>
      <c r="C1936" s="579" t="n"/>
      <c r="D1936" s="580" t="n"/>
      <c r="E1936" s="581" t="n"/>
      <c r="F1936" s="577" t="n"/>
      <c r="G1936" s="582" t="n"/>
      <c r="H1936" s="583" t="n"/>
      <c r="I1936" s="510" t="n"/>
    </row>
    <row r="1937" ht="19.95" customFormat="1" customHeight="1" s="511">
      <c r="A1937" s="277" t="n"/>
      <c r="B1937" s="285" t="n"/>
      <c r="C1937" s="579" t="n"/>
      <c r="D1937" s="580" t="n"/>
      <c r="E1937" s="581" t="n"/>
      <c r="F1937" s="577" t="n"/>
      <c r="G1937" s="582" t="n"/>
      <c r="H1937" s="583" t="n"/>
      <c r="I1937" s="510" t="n"/>
    </row>
    <row r="1938" ht="19.95" customFormat="1" customHeight="1" s="511">
      <c r="A1938" s="277" t="n"/>
      <c r="B1938" s="285" t="n"/>
      <c r="C1938" s="579" t="n"/>
      <c r="D1938" s="580" t="n"/>
      <c r="E1938" s="581" t="n"/>
      <c r="F1938" s="577" t="n"/>
      <c r="G1938" s="582" t="n"/>
      <c r="H1938" s="583" t="n"/>
      <c r="I1938" s="510" t="n"/>
    </row>
    <row r="1939" ht="19.95" customFormat="1" customHeight="1" s="511">
      <c r="A1939" s="277" t="n"/>
      <c r="B1939" s="285" t="n"/>
      <c r="C1939" s="579" t="n"/>
      <c r="D1939" s="580" t="n"/>
      <c r="E1939" s="581" t="n"/>
      <c r="F1939" s="577" t="n"/>
      <c r="G1939" s="582" t="n"/>
      <c r="H1939" s="583" t="n"/>
      <c r="I1939" s="510" t="n"/>
    </row>
    <row r="1940" ht="19.95" customFormat="1" customHeight="1" s="511">
      <c r="A1940" s="277" t="n"/>
      <c r="B1940" s="285" t="n"/>
      <c r="C1940" s="579" t="n"/>
      <c r="D1940" s="580" t="n"/>
      <c r="E1940" s="581" t="n"/>
      <c r="F1940" s="577" t="n"/>
      <c r="G1940" s="582" t="n"/>
      <c r="H1940" s="583" t="n"/>
      <c r="I1940" s="510" t="n"/>
    </row>
    <row r="1941" ht="19.95" customFormat="1" customHeight="1" s="511">
      <c r="A1941" s="277" t="n"/>
      <c r="B1941" s="285" t="n"/>
      <c r="C1941" s="579" t="n"/>
      <c r="D1941" s="580" t="n"/>
      <c r="E1941" s="581" t="n"/>
      <c r="F1941" s="577" t="n"/>
      <c r="G1941" s="582" t="n"/>
      <c r="H1941" s="583" t="n"/>
      <c r="I1941" s="510" t="n"/>
    </row>
    <row r="1942" ht="19.95" customFormat="1" customHeight="1" s="511">
      <c r="A1942" s="277" t="n"/>
      <c r="B1942" s="285" t="n"/>
      <c r="C1942" s="579" t="n"/>
      <c r="D1942" s="580" t="n"/>
      <c r="E1942" s="581" t="n"/>
      <c r="F1942" s="577" t="n"/>
      <c r="G1942" s="582" t="n"/>
      <c r="H1942" s="583" t="n"/>
      <c r="I1942" s="510" t="n"/>
    </row>
    <row r="1943" ht="19.95" customFormat="1" customHeight="1" s="511">
      <c r="A1943" s="277" t="n"/>
      <c r="B1943" s="285" t="n"/>
      <c r="C1943" s="579" t="n"/>
      <c r="D1943" s="580" t="n"/>
      <c r="E1943" s="581" t="n"/>
      <c r="F1943" s="577" t="n"/>
      <c r="G1943" s="582" t="n"/>
      <c r="H1943" s="583" t="n"/>
      <c r="I1943" s="510" t="n"/>
    </row>
    <row r="1944" ht="19.95" customFormat="1" customHeight="1" s="511">
      <c r="A1944" s="277" t="n"/>
      <c r="B1944" s="285" t="n"/>
      <c r="C1944" s="579" t="n"/>
      <c r="D1944" s="580" t="n"/>
      <c r="E1944" s="581" t="n"/>
      <c r="F1944" s="577" t="n"/>
      <c r="G1944" s="582" t="n"/>
      <c r="H1944" s="583" t="n"/>
      <c r="I1944" s="510" t="n"/>
    </row>
    <row r="1945" ht="19.95" customFormat="1" customHeight="1" s="511">
      <c r="A1945" s="277" t="n"/>
      <c r="B1945" s="285" t="n"/>
      <c r="C1945" s="579" t="n"/>
      <c r="D1945" s="580" t="n"/>
      <c r="E1945" s="581" t="n"/>
      <c r="F1945" s="577" t="n"/>
      <c r="G1945" s="582" t="n"/>
      <c r="H1945" s="583" t="n"/>
      <c r="I1945" s="510" t="n"/>
    </row>
    <row r="1946" ht="19.95" customFormat="1" customHeight="1" s="511">
      <c r="A1946" s="277" t="n"/>
      <c r="B1946" s="285" t="n"/>
      <c r="C1946" s="579" t="n"/>
      <c r="D1946" s="580" t="n"/>
      <c r="E1946" s="581" t="n"/>
      <c r="F1946" s="577" t="n"/>
      <c r="G1946" s="582" t="n"/>
      <c r="H1946" s="583" t="n"/>
      <c r="I1946" s="510" t="n"/>
    </row>
    <row r="1947" ht="19.95" customFormat="1" customHeight="1" s="511">
      <c r="A1947" s="277" t="n"/>
      <c r="B1947" s="285" t="n"/>
      <c r="C1947" s="579" t="n"/>
      <c r="D1947" s="580" t="n"/>
      <c r="E1947" s="581" t="n"/>
      <c r="F1947" s="577" t="n"/>
      <c r="G1947" s="582" t="n"/>
      <c r="H1947" s="583" t="n"/>
      <c r="I1947" s="510" t="n"/>
    </row>
    <row r="1948" ht="19.95" customFormat="1" customHeight="1" s="511">
      <c r="A1948" s="277" t="n"/>
      <c r="B1948" s="285" t="n"/>
      <c r="C1948" s="579" t="n"/>
      <c r="D1948" s="580" t="n"/>
      <c r="E1948" s="581" t="n"/>
      <c r="F1948" s="577" t="n"/>
      <c r="G1948" s="582" t="n"/>
      <c r="H1948" s="583" t="n"/>
      <c r="I1948" s="510" t="n"/>
    </row>
    <row r="1949" ht="19.95" customFormat="1" customHeight="1" s="511">
      <c r="A1949" s="277" t="n"/>
      <c r="B1949" s="285" t="n"/>
      <c r="C1949" s="579" t="n"/>
      <c r="D1949" s="580" t="n"/>
      <c r="E1949" s="581" t="n"/>
      <c r="F1949" s="577" t="n"/>
      <c r="G1949" s="582" t="n"/>
      <c r="H1949" s="583" t="n"/>
      <c r="I1949" s="510" t="n"/>
    </row>
    <row r="1950" ht="19.95" customFormat="1" customHeight="1" s="511">
      <c r="A1950" s="277" t="n"/>
      <c r="B1950" s="285" t="n"/>
      <c r="C1950" s="579" t="n"/>
      <c r="D1950" s="580" t="n"/>
      <c r="E1950" s="581" t="n"/>
      <c r="F1950" s="577" t="n"/>
      <c r="G1950" s="582" t="n"/>
      <c r="H1950" s="583" t="n"/>
      <c r="I1950" s="510" t="n"/>
    </row>
    <row r="1951" ht="19.95" customFormat="1" customHeight="1" s="511">
      <c r="A1951" s="277" t="n"/>
      <c r="B1951" s="285" t="n"/>
      <c r="C1951" s="579" t="n"/>
      <c r="D1951" s="580" t="n"/>
      <c r="E1951" s="581" t="n"/>
      <c r="F1951" s="577" t="n"/>
      <c r="G1951" s="582" t="n"/>
      <c r="H1951" s="583" t="n"/>
      <c r="I1951" s="510" t="n"/>
    </row>
    <row r="1952" ht="19.95" customFormat="1" customHeight="1" s="511">
      <c r="A1952" s="277" t="n"/>
      <c r="B1952" s="285" t="n"/>
      <c r="C1952" s="579" t="n"/>
      <c r="D1952" s="580" t="n"/>
      <c r="E1952" s="581" t="n"/>
      <c r="F1952" s="577" t="n"/>
      <c r="G1952" s="582" t="n"/>
      <c r="H1952" s="583" t="n"/>
      <c r="I1952" s="510" t="n"/>
    </row>
    <row r="1953" ht="19.95" customFormat="1" customHeight="1" s="511">
      <c r="A1953" s="277" t="n"/>
      <c r="B1953" s="285" t="n"/>
      <c r="C1953" s="579" t="n"/>
      <c r="D1953" s="580" t="n"/>
      <c r="E1953" s="581" t="n"/>
      <c r="F1953" s="577" t="n"/>
      <c r="G1953" s="582" t="n"/>
      <c r="H1953" s="583" t="n"/>
      <c r="I1953" s="510" t="n"/>
    </row>
    <row r="1954" ht="19.95" customFormat="1" customHeight="1" s="511">
      <c r="A1954" s="277" t="n"/>
      <c r="B1954" s="285" t="n"/>
      <c r="C1954" s="579" t="n"/>
      <c r="D1954" s="580" t="n"/>
      <c r="E1954" s="581" t="n"/>
      <c r="F1954" s="577" t="n"/>
      <c r="G1954" s="582" t="n"/>
      <c r="H1954" s="583" t="n"/>
      <c r="I1954" s="510" t="n"/>
    </row>
    <row r="1955" ht="19.95" customFormat="1" customHeight="1" s="511">
      <c r="A1955" s="277" t="n"/>
      <c r="B1955" s="285" t="n"/>
      <c r="C1955" s="579" t="n"/>
      <c r="D1955" s="580" t="n"/>
      <c r="E1955" s="581" t="n"/>
      <c r="F1955" s="577" t="n"/>
      <c r="G1955" s="582" t="n"/>
      <c r="H1955" s="583" t="n"/>
      <c r="I1955" s="510" t="n"/>
    </row>
    <row r="1956" ht="19.95" customFormat="1" customHeight="1" s="511">
      <c r="A1956" s="277" t="n"/>
      <c r="B1956" s="285" t="n"/>
      <c r="C1956" s="579" t="n"/>
      <c r="D1956" s="580" t="n"/>
      <c r="E1956" s="581" t="n"/>
      <c r="F1956" s="577" t="n"/>
      <c r="G1956" s="582" t="n"/>
      <c r="H1956" s="583" t="n"/>
      <c r="I1956" s="510" t="n"/>
    </row>
    <row r="1957" ht="19.95" customFormat="1" customHeight="1" s="511">
      <c r="A1957" s="277" t="n"/>
      <c r="B1957" s="285" t="n"/>
      <c r="C1957" s="579" t="n"/>
      <c r="D1957" s="580" t="n"/>
      <c r="E1957" s="581" t="n"/>
      <c r="F1957" s="577" t="n"/>
      <c r="G1957" s="582" t="n"/>
      <c r="H1957" s="583" t="n"/>
      <c r="I1957" s="510" t="n"/>
    </row>
    <row r="1958" ht="19.95" customFormat="1" customHeight="1" s="511">
      <c r="A1958" s="277" t="n"/>
      <c r="B1958" s="285" t="n"/>
      <c r="C1958" s="579" t="n"/>
      <c r="D1958" s="580" t="n"/>
      <c r="E1958" s="581" t="n"/>
      <c r="F1958" s="577" t="n"/>
      <c r="G1958" s="582" t="n"/>
      <c r="H1958" s="583" t="n"/>
      <c r="I1958" s="510" t="n"/>
    </row>
    <row r="1959" ht="19.95" customFormat="1" customHeight="1" s="511">
      <c r="A1959" s="277" t="n"/>
      <c r="B1959" s="285" t="n"/>
      <c r="C1959" s="579" t="n"/>
      <c r="D1959" s="580" t="n"/>
      <c r="E1959" s="581" t="n"/>
      <c r="F1959" s="577" t="n"/>
      <c r="G1959" s="582" t="n"/>
      <c r="H1959" s="583" t="n"/>
      <c r="I1959" s="510" t="n"/>
    </row>
    <row r="1960" ht="19.95" customFormat="1" customHeight="1" s="511">
      <c r="A1960" s="277" t="n"/>
      <c r="B1960" s="285" t="n"/>
      <c r="C1960" s="579" t="n"/>
      <c r="D1960" s="580" t="n"/>
      <c r="E1960" s="581" t="n"/>
      <c r="F1960" s="577" t="n"/>
      <c r="G1960" s="582" t="n"/>
      <c r="H1960" s="583" t="n"/>
      <c r="I1960" s="510" t="n"/>
    </row>
    <row r="1961" ht="19.95" customFormat="1" customHeight="1" s="511">
      <c r="A1961" s="277" t="n"/>
      <c r="B1961" s="285" t="n"/>
      <c r="C1961" s="579" t="n"/>
      <c r="D1961" s="580" t="n"/>
      <c r="E1961" s="581" t="n"/>
      <c r="F1961" s="577" t="n"/>
      <c r="G1961" s="582" t="n"/>
      <c r="H1961" s="583" t="n"/>
      <c r="I1961" s="510" t="n"/>
    </row>
    <row r="1962" ht="19.95" customFormat="1" customHeight="1" s="511">
      <c r="A1962" s="277" t="n"/>
      <c r="B1962" s="285" t="n"/>
      <c r="C1962" s="579" t="n"/>
      <c r="D1962" s="580" t="n"/>
      <c r="E1962" s="581" t="n"/>
      <c r="F1962" s="577" t="n"/>
      <c r="G1962" s="582" t="n"/>
      <c r="H1962" s="583" t="n"/>
      <c r="I1962" s="510" t="n"/>
    </row>
    <row r="1963" ht="19.95" customFormat="1" customHeight="1" s="511">
      <c r="A1963" s="277" t="n"/>
      <c r="B1963" s="285" t="n"/>
      <c r="C1963" s="579" t="n"/>
      <c r="D1963" s="580" t="n"/>
      <c r="E1963" s="581" t="n"/>
      <c r="F1963" s="577" t="n"/>
      <c r="G1963" s="582" t="n"/>
      <c r="H1963" s="583" t="n"/>
      <c r="I1963" s="510" t="n"/>
    </row>
    <row r="1964" ht="19.95" customFormat="1" customHeight="1" s="511">
      <c r="A1964" s="277" t="n"/>
      <c r="B1964" s="285" t="n"/>
      <c r="C1964" s="579" t="n"/>
      <c r="D1964" s="580" t="n"/>
      <c r="E1964" s="581" t="n"/>
      <c r="F1964" s="577" t="n"/>
      <c r="G1964" s="582" t="n"/>
      <c r="H1964" s="583" t="n"/>
      <c r="I1964" s="510" t="n"/>
    </row>
    <row r="1965" ht="19.95" customFormat="1" customHeight="1" s="511">
      <c r="A1965" s="277" t="n"/>
      <c r="B1965" s="285" t="n"/>
      <c r="C1965" s="579" t="n"/>
      <c r="D1965" s="580" t="n"/>
      <c r="E1965" s="581" t="n"/>
      <c r="F1965" s="577" t="n"/>
      <c r="G1965" s="582" t="n"/>
      <c r="H1965" s="583" t="n"/>
      <c r="I1965" s="510" t="n"/>
    </row>
    <row r="1966" ht="19.95" customFormat="1" customHeight="1" s="511">
      <c r="A1966" s="277" t="n"/>
      <c r="B1966" s="285" t="n"/>
      <c r="C1966" s="579" t="n"/>
      <c r="D1966" s="580" t="n"/>
      <c r="E1966" s="581" t="n"/>
      <c r="F1966" s="577" t="n"/>
      <c r="G1966" s="582" t="n"/>
      <c r="H1966" s="583" t="n"/>
      <c r="I1966" s="510" t="n"/>
    </row>
    <row r="1967" ht="19.95" customFormat="1" customHeight="1" s="511">
      <c r="A1967" s="277" t="n"/>
      <c r="B1967" s="285" t="n"/>
      <c r="C1967" s="579" t="n"/>
      <c r="D1967" s="580" t="n"/>
      <c r="E1967" s="581" t="n"/>
      <c r="F1967" s="577" t="n"/>
      <c r="G1967" s="582" t="n"/>
      <c r="H1967" s="583" t="n"/>
      <c r="I1967" s="510" t="n"/>
    </row>
    <row r="1968" ht="19.95" customFormat="1" customHeight="1" s="511">
      <c r="A1968" s="277" t="n"/>
      <c r="B1968" s="285" t="n"/>
      <c r="C1968" s="579" t="n"/>
      <c r="D1968" s="580" t="n"/>
      <c r="E1968" s="581" t="n"/>
      <c r="F1968" s="577" t="n"/>
      <c r="G1968" s="582" t="n"/>
      <c r="H1968" s="583" t="n"/>
      <c r="I1968" s="510" t="n"/>
    </row>
    <row r="1969" ht="19.95" customFormat="1" customHeight="1" s="511">
      <c r="A1969" s="277" t="n"/>
      <c r="B1969" s="285" t="n"/>
      <c r="C1969" s="579" t="n"/>
      <c r="D1969" s="580" t="n"/>
      <c r="E1969" s="581" t="n"/>
      <c r="F1969" s="577" t="n"/>
      <c r="G1969" s="582" t="n"/>
      <c r="H1969" s="583" t="n"/>
      <c r="I1969" s="510" t="n"/>
    </row>
    <row r="1970" ht="19.95" customFormat="1" customHeight="1" s="511">
      <c r="A1970" s="277" t="n"/>
      <c r="B1970" s="285" t="n"/>
      <c r="C1970" s="579" t="n"/>
      <c r="D1970" s="580" t="n"/>
      <c r="E1970" s="581" t="n"/>
      <c r="F1970" s="577" t="n"/>
      <c r="G1970" s="582" t="n"/>
      <c r="H1970" s="583" t="n"/>
      <c r="I1970" s="510" t="n"/>
    </row>
    <row r="1971" ht="19.95" customFormat="1" customHeight="1" s="511">
      <c r="A1971" s="277" t="n"/>
      <c r="B1971" s="285" t="n"/>
      <c r="C1971" s="579" t="n"/>
      <c r="D1971" s="580" t="n"/>
      <c r="E1971" s="581" t="n"/>
      <c r="F1971" s="577" t="n"/>
      <c r="G1971" s="582" t="n"/>
      <c r="H1971" s="583" t="n"/>
      <c r="I1971" s="510" t="n"/>
    </row>
    <row r="1972" ht="19.95" customFormat="1" customHeight="1" s="511">
      <c r="A1972" s="277" t="n"/>
      <c r="B1972" s="285" t="n"/>
      <c r="C1972" s="579" t="n"/>
      <c r="D1972" s="580" t="n"/>
      <c r="E1972" s="581" t="n"/>
      <c r="F1972" s="577" t="n"/>
      <c r="G1972" s="582" t="n"/>
      <c r="H1972" s="583" t="n"/>
      <c r="I1972" s="510" t="n"/>
    </row>
    <row r="1973" ht="19.95" customFormat="1" customHeight="1" s="511">
      <c r="A1973" s="277" t="n"/>
      <c r="B1973" s="285" t="n"/>
      <c r="C1973" s="579" t="n"/>
      <c r="D1973" s="580" t="n"/>
      <c r="E1973" s="581" t="n"/>
      <c r="F1973" s="577" t="n"/>
      <c r="G1973" s="582" t="n"/>
      <c r="H1973" s="583" t="n"/>
      <c r="I1973" s="510" t="n"/>
    </row>
    <row r="1974" ht="19.95" customFormat="1" customHeight="1" s="511">
      <c r="A1974" s="277" t="n"/>
      <c r="B1974" s="285" t="n"/>
      <c r="C1974" s="579" t="n"/>
      <c r="D1974" s="580" t="n"/>
      <c r="E1974" s="581" t="n"/>
      <c r="F1974" s="577" t="n"/>
      <c r="G1974" s="582" t="n"/>
      <c r="H1974" s="583" t="n"/>
      <c r="I1974" s="510" t="n"/>
    </row>
    <row r="1975" ht="19.95" customFormat="1" customHeight="1" s="511">
      <c r="A1975" s="277" t="n"/>
      <c r="B1975" s="285" t="n"/>
      <c r="C1975" s="579" t="n"/>
      <c r="D1975" s="580" t="n"/>
      <c r="E1975" s="581" t="n"/>
      <c r="F1975" s="577" t="n"/>
      <c r="G1975" s="582" t="n"/>
      <c r="H1975" s="583" t="n"/>
      <c r="I1975" s="510" t="n"/>
    </row>
    <row r="1976" ht="19.95" customFormat="1" customHeight="1" s="511">
      <c r="A1976" s="277" t="n"/>
      <c r="B1976" s="285" t="n"/>
      <c r="C1976" s="579" t="n"/>
      <c r="D1976" s="580" t="n"/>
      <c r="E1976" s="581" t="n"/>
      <c r="F1976" s="577" t="n"/>
      <c r="G1976" s="582" t="n"/>
      <c r="H1976" s="583" t="n"/>
      <c r="I1976" s="510" t="n"/>
    </row>
    <row r="1977" ht="19.95" customFormat="1" customHeight="1" s="511">
      <c r="A1977" s="277" t="n"/>
      <c r="B1977" s="285" t="n"/>
      <c r="C1977" s="579" t="n"/>
      <c r="D1977" s="580" t="n"/>
      <c r="E1977" s="581" t="n"/>
      <c r="F1977" s="577" t="n"/>
      <c r="G1977" s="582" t="n"/>
      <c r="H1977" s="583" t="n"/>
      <c r="I1977" s="510" t="n"/>
    </row>
    <row r="1978" ht="19.95" customFormat="1" customHeight="1" s="511">
      <c r="A1978" s="277" t="n"/>
      <c r="B1978" s="285" t="n"/>
      <c r="C1978" s="579" t="n"/>
      <c r="D1978" s="580" t="n"/>
      <c r="E1978" s="581" t="n"/>
      <c r="F1978" s="577" t="n"/>
      <c r="G1978" s="582" t="n"/>
      <c r="H1978" s="583" t="n"/>
      <c r="I1978" s="510" t="n"/>
    </row>
    <row r="1979" ht="19.95" customFormat="1" customHeight="1" s="511">
      <c r="A1979" s="277" t="n"/>
      <c r="B1979" s="285" t="n"/>
      <c r="C1979" s="579" t="n"/>
      <c r="D1979" s="580" t="n"/>
      <c r="E1979" s="581" t="n"/>
      <c r="F1979" s="577" t="n"/>
      <c r="G1979" s="582" t="n"/>
      <c r="H1979" s="583" t="n"/>
      <c r="I1979" s="510" t="n"/>
    </row>
    <row r="1980" ht="19.95" customFormat="1" customHeight="1" s="511">
      <c r="A1980" s="277" t="n"/>
      <c r="B1980" s="285" t="n"/>
      <c r="C1980" s="579" t="n"/>
      <c r="D1980" s="580" t="n"/>
      <c r="E1980" s="581" t="n"/>
      <c r="F1980" s="577" t="n"/>
      <c r="G1980" s="582" t="n"/>
      <c r="H1980" s="583" t="n"/>
      <c r="I1980" s="510" t="n"/>
    </row>
    <row r="1981" ht="19.95" customFormat="1" customHeight="1" s="511">
      <c r="A1981" s="277" t="n"/>
      <c r="B1981" s="285" t="n"/>
      <c r="C1981" s="579" t="n"/>
      <c r="D1981" s="580" t="n"/>
      <c r="E1981" s="581" t="n"/>
      <c r="F1981" s="577" t="n"/>
      <c r="G1981" s="582" t="n"/>
      <c r="H1981" s="583" t="n"/>
      <c r="I1981" s="510" t="n"/>
    </row>
    <row r="1982" ht="19.95" customFormat="1" customHeight="1" s="511">
      <c r="A1982" s="277" t="n"/>
      <c r="B1982" s="285" t="n"/>
      <c r="C1982" s="579" t="n"/>
      <c r="D1982" s="580" t="n"/>
      <c r="E1982" s="581" t="n"/>
      <c r="F1982" s="577" t="n"/>
      <c r="G1982" s="582" t="n"/>
      <c r="H1982" s="583" t="n"/>
      <c r="I1982" s="510" t="n"/>
    </row>
    <row r="1983" ht="19.95" customFormat="1" customHeight="1" s="511">
      <c r="A1983" s="277" t="n"/>
      <c r="B1983" s="285" t="n"/>
      <c r="C1983" s="579" t="n"/>
      <c r="D1983" s="580" t="n"/>
      <c r="E1983" s="581" t="n"/>
      <c r="F1983" s="577" t="n"/>
      <c r="G1983" s="582" t="n"/>
      <c r="H1983" s="583" t="n"/>
      <c r="I1983" s="510" t="n"/>
    </row>
    <row r="1984" ht="19.95" customFormat="1" customHeight="1" s="511">
      <c r="A1984" s="277" t="n"/>
      <c r="B1984" s="285" t="n"/>
      <c r="C1984" s="579" t="n"/>
      <c r="D1984" s="580" t="n"/>
      <c r="E1984" s="581" t="n"/>
      <c r="F1984" s="577" t="n"/>
      <c r="G1984" s="582" t="n"/>
      <c r="H1984" s="583" t="n"/>
      <c r="I1984" s="510" t="n"/>
    </row>
    <row r="1985" ht="19.95" customFormat="1" customHeight="1" s="511">
      <c r="A1985" s="277" t="n"/>
      <c r="B1985" s="285" t="n"/>
      <c r="C1985" s="579" t="n"/>
      <c r="D1985" s="580" t="n"/>
      <c r="E1985" s="581" t="n"/>
      <c r="F1985" s="577" t="n"/>
      <c r="G1985" s="582" t="n"/>
      <c r="H1985" s="583" t="n"/>
      <c r="I1985" s="510" t="n"/>
    </row>
    <row r="1986" ht="19.95" customFormat="1" customHeight="1" s="511">
      <c r="A1986" s="277" t="n"/>
      <c r="B1986" s="285" t="n"/>
      <c r="C1986" s="579" t="n"/>
      <c r="D1986" s="580" t="n"/>
      <c r="E1986" s="581" t="n"/>
      <c r="F1986" s="577" t="n"/>
      <c r="G1986" s="582" t="n"/>
      <c r="H1986" s="583" t="n"/>
      <c r="I1986" s="510" t="n"/>
    </row>
    <row r="1987" ht="19.95" customFormat="1" customHeight="1" s="511">
      <c r="A1987" s="277" t="n"/>
      <c r="B1987" s="285" t="n"/>
      <c r="C1987" s="579" t="n"/>
      <c r="D1987" s="580" t="n"/>
      <c r="E1987" s="581" t="n"/>
      <c r="F1987" s="577" t="n"/>
      <c r="G1987" s="582" t="n"/>
      <c r="H1987" s="583" t="n"/>
      <c r="I1987" s="510" t="n"/>
    </row>
    <row r="1988" ht="19.95" customFormat="1" customHeight="1" s="511">
      <c r="A1988" s="277" t="n"/>
      <c r="B1988" s="285" t="n"/>
      <c r="C1988" s="579" t="n"/>
      <c r="D1988" s="580" t="n"/>
      <c r="E1988" s="581" t="n"/>
      <c r="F1988" s="577" t="n"/>
      <c r="G1988" s="582" t="n"/>
      <c r="H1988" s="583" t="n"/>
      <c r="I1988" s="510" t="n"/>
    </row>
    <row r="1989" ht="19.95" customFormat="1" customHeight="1" s="511">
      <c r="A1989" s="277" t="n"/>
      <c r="B1989" s="285" t="n"/>
      <c r="C1989" s="579" t="n"/>
      <c r="D1989" s="580" t="n"/>
      <c r="E1989" s="581" t="n"/>
      <c r="F1989" s="577" t="n"/>
      <c r="G1989" s="582" t="n"/>
      <c r="H1989" s="583" t="n"/>
      <c r="I1989" s="510" t="n"/>
    </row>
    <row r="1990" ht="19.95" customFormat="1" customHeight="1" s="511">
      <c r="A1990" s="277" t="n"/>
      <c r="B1990" s="285" t="n"/>
      <c r="C1990" s="579" t="n"/>
      <c r="D1990" s="580" t="n"/>
      <c r="E1990" s="581" t="n"/>
      <c r="F1990" s="577" t="n"/>
      <c r="G1990" s="582" t="n"/>
      <c r="H1990" s="583" t="n"/>
      <c r="I1990" s="510" t="n"/>
    </row>
    <row r="1991" ht="19.95" customFormat="1" customHeight="1" s="511">
      <c r="A1991" s="277" t="n"/>
      <c r="B1991" s="285" t="n"/>
      <c r="C1991" s="579" t="n"/>
      <c r="D1991" s="580" t="n"/>
      <c r="E1991" s="581" t="n"/>
      <c r="F1991" s="577" t="n"/>
      <c r="G1991" s="582" t="n"/>
      <c r="H1991" s="583" t="n"/>
      <c r="I1991" s="510" t="n"/>
    </row>
    <row r="1992" ht="19.95" customFormat="1" customHeight="1" s="511">
      <c r="A1992" s="277" t="n"/>
      <c r="B1992" s="285" t="n"/>
      <c r="C1992" s="579" t="n"/>
      <c r="D1992" s="580" t="n"/>
      <c r="E1992" s="581" t="n"/>
      <c r="F1992" s="577" t="n"/>
      <c r="G1992" s="582" t="n"/>
      <c r="H1992" s="583" t="n"/>
      <c r="I1992" s="510" t="n"/>
    </row>
    <row r="1993" ht="19.95" customFormat="1" customHeight="1" s="511">
      <c r="A1993" s="277" t="n"/>
      <c r="B1993" s="285" t="n"/>
      <c r="C1993" s="579" t="n"/>
      <c r="D1993" s="580" t="n"/>
      <c r="E1993" s="581" t="n"/>
      <c r="F1993" s="577" t="n"/>
      <c r="G1993" s="582" t="n"/>
      <c r="H1993" s="583" t="n"/>
      <c r="I1993" s="510" t="n"/>
    </row>
    <row r="1994" ht="19.95" customFormat="1" customHeight="1" s="511">
      <c r="A1994" s="277" t="n"/>
      <c r="B1994" s="285" t="n"/>
      <c r="C1994" s="579" t="n"/>
      <c r="D1994" s="580" t="n"/>
      <c r="E1994" s="581" t="n"/>
      <c r="F1994" s="577" t="n"/>
      <c r="G1994" s="582" t="n"/>
      <c r="H1994" s="583" t="n"/>
      <c r="I1994" s="510" t="n"/>
    </row>
    <row r="1995" ht="19.95" customFormat="1" customHeight="1" s="511">
      <c r="A1995" s="277" t="n"/>
      <c r="B1995" s="285" t="n"/>
      <c r="C1995" s="579" t="n"/>
      <c r="D1995" s="580" t="n"/>
      <c r="E1995" s="581" t="n"/>
      <c r="F1995" s="577" t="n"/>
      <c r="G1995" s="582" t="n"/>
      <c r="H1995" s="583" t="n"/>
      <c r="I1995" s="510" t="n"/>
    </row>
    <row r="1996" ht="19.95" customFormat="1" customHeight="1" s="511">
      <c r="A1996" s="277" t="n"/>
      <c r="B1996" s="285" t="n"/>
      <c r="C1996" s="579" t="n"/>
      <c r="D1996" s="580" t="n"/>
      <c r="E1996" s="581" t="n"/>
      <c r="F1996" s="577" t="n"/>
      <c r="G1996" s="582" t="n"/>
      <c r="H1996" s="583" t="n"/>
      <c r="I1996" s="510" t="n"/>
    </row>
    <row r="1997" ht="19.95" customFormat="1" customHeight="1" s="511">
      <c r="A1997" s="277" t="n"/>
      <c r="B1997" s="285" t="n"/>
      <c r="C1997" s="579" t="n"/>
      <c r="D1997" s="580" t="n"/>
      <c r="E1997" s="581" t="n"/>
      <c r="F1997" s="577" t="n"/>
      <c r="G1997" s="582" t="n"/>
      <c r="H1997" s="583" t="n"/>
      <c r="I1997" s="510" t="n"/>
    </row>
    <row r="1998" ht="19.95" customFormat="1" customHeight="1" s="511">
      <c r="A1998" s="277" t="n"/>
      <c r="B1998" s="285" t="n"/>
      <c r="C1998" s="579" t="n"/>
      <c r="D1998" s="580" t="n"/>
      <c r="E1998" s="581" t="n"/>
      <c r="F1998" s="577" t="n"/>
      <c r="G1998" s="582" t="n"/>
      <c r="H1998" s="583" t="n"/>
      <c r="I1998" s="510" t="n"/>
    </row>
    <row r="1999" ht="19.95" customFormat="1" customHeight="1" s="511">
      <c r="A1999" s="277" t="n"/>
      <c r="B1999" s="285" t="n"/>
      <c r="C1999" s="579" t="n"/>
      <c r="D1999" s="580" t="n"/>
      <c r="E1999" s="581" t="n"/>
      <c r="F1999" s="577" t="n"/>
      <c r="G1999" s="582" t="n"/>
      <c r="H1999" s="583" t="n"/>
      <c r="I1999" s="510" t="n"/>
    </row>
    <row r="2000" ht="19.95" customFormat="1" customHeight="1" s="511">
      <c r="A2000" s="277" t="n"/>
      <c r="B2000" s="285" t="n"/>
      <c r="C2000" s="579" t="n"/>
      <c r="D2000" s="580" t="n"/>
      <c r="E2000" s="581" t="n"/>
      <c r="F2000" s="577" t="n"/>
      <c r="G2000" s="582" t="n"/>
      <c r="H2000" s="583" t="n"/>
      <c r="I2000" s="510" t="n"/>
    </row>
    <row r="2001" ht="19.95" customFormat="1" customHeight="1" s="511">
      <c r="A2001" s="277" t="n"/>
      <c r="B2001" s="285" t="n"/>
      <c r="C2001" s="579" t="n"/>
      <c r="D2001" s="580" t="n"/>
      <c r="E2001" s="581" t="n"/>
      <c r="F2001" s="577" t="n"/>
      <c r="G2001" s="582" t="n"/>
      <c r="H2001" s="583" t="n"/>
      <c r="I2001" s="510" t="n"/>
    </row>
    <row r="2002" ht="19.95" customFormat="1" customHeight="1" s="511">
      <c r="A2002" s="277" t="n"/>
      <c r="B2002" s="285" t="n"/>
      <c r="C2002" s="579" t="n"/>
      <c r="D2002" s="580" t="n"/>
      <c r="E2002" s="581" t="n"/>
      <c r="F2002" s="577" t="n"/>
      <c r="G2002" s="582" t="n"/>
      <c r="H2002" s="583" t="n"/>
      <c r="I2002" s="510" t="n"/>
    </row>
    <row r="2003" ht="19.95" customFormat="1" customHeight="1" s="511">
      <c r="A2003" s="277" t="n"/>
      <c r="B2003" s="285" t="n"/>
      <c r="C2003" s="579" t="n"/>
      <c r="D2003" s="580" t="n"/>
      <c r="E2003" s="581" t="n"/>
      <c r="F2003" s="577" t="n"/>
      <c r="G2003" s="582" t="n"/>
      <c r="H2003" s="583" t="n"/>
      <c r="I2003" s="510" t="n"/>
    </row>
    <row r="2004" ht="19.95" customFormat="1" customHeight="1" s="511">
      <c r="A2004" s="277" t="n"/>
      <c r="B2004" s="285" t="n"/>
      <c r="C2004" s="579" t="n"/>
      <c r="D2004" s="580" t="n"/>
      <c r="E2004" s="581" t="n"/>
      <c r="F2004" s="577" t="n"/>
      <c r="G2004" s="582" t="n"/>
      <c r="H2004" s="583" t="n"/>
      <c r="I2004" s="510" t="n"/>
    </row>
    <row r="2005" ht="19.95" customFormat="1" customHeight="1" s="511">
      <c r="A2005" s="277" t="n"/>
      <c r="B2005" s="285" t="n"/>
      <c r="C2005" s="579" t="n"/>
      <c r="D2005" s="580" t="n"/>
      <c r="E2005" s="581" t="n"/>
      <c r="F2005" s="577" t="n"/>
      <c r="G2005" s="582" t="n"/>
      <c r="H2005" s="583" t="n"/>
      <c r="I2005" s="510" t="n"/>
    </row>
    <row r="2006" ht="19.95" customFormat="1" customHeight="1" s="511">
      <c r="A2006" s="277" t="n"/>
      <c r="B2006" s="285" t="n"/>
      <c r="C2006" s="579" t="n"/>
      <c r="D2006" s="580" t="n"/>
      <c r="E2006" s="581" t="n"/>
      <c r="F2006" s="577" t="n"/>
      <c r="G2006" s="582" t="n"/>
      <c r="H2006" s="583" t="n"/>
      <c r="I2006" s="510" t="n"/>
    </row>
    <row r="2007" ht="19.95" customFormat="1" customHeight="1" s="511">
      <c r="A2007" s="277" t="n"/>
      <c r="B2007" s="285" t="n"/>
      <c r="C2007" s="579" t="n"/>
      <c r="D2007" s="580" t="n"/>
      <c r="E2007" s="581" t="n"/>
      <c r="F2007" s="577" t="n"/>
      <c r="G2007" s="582" t="n"/>
      <c r="H2007" s="583" t="n"/>
      <c r="I2007" s="510" t="n"/>
    </row>
    <row r="2008" ht="19.95" customFormat="1" customHeight="1" s="511">
      <c r="A2008" s="277" t="n"/>
      <c r="B2008" s="285" t="n"/>
      <c r="C2008" s="579" t="n"/>
      <c r="D2008" s="580" t="n"/>
      <c r="E2008" s="581" t="n"/>
      <c r="F2008" s="577" t="n"/>
      <c r="G2008" s="582" t="n"/>
      <c r="H2008" s="583" t="n"/>
      <c r="I2008" s="510" t="n"/>
    </row>
    <row r="2009" ht="19.95" customFormat="1" customHeight="1" s="511">
      <c r="A2009" s="277" t="n"/>
      <c r="B2009" s="285" t="n"/>
      <c r="C2009" s="579" t="n"/>
      <c r="D2009" s="580" t="n"/>
      <c r="E2009" s="581" t="n"/>
      <c r="F2009" s="577" t="n"/>
      <c r="G2009" s="582" t="n"/>
      <c r="H2009" s="583" t="n"/>
      <c r="I2009" s="510" t="n"/>
    </row>
    <row r="2010" ht="19.95" customFormat="1" customHeight="1" s="511">
      <c r="A2010" s="277" t="n"/>
      <c r="B2010" s="285" t="n"/>
      <c r="C2010" s="579" t="n"/>
      <c r="D2010" s="580" t="n"/>
      <c r="E2010" s="581" t="n"/>
      <c r="F2010" s="577" t="n"/>
      <c r="G2010" s="582" t="n"/>
      <c r="H2010" s="583" t="n"/>
      <c r="I2010" s="510" t="n"/>
    </row>
    <row r="2011" ht="19.95" customFormat="1" customHeight="1" s="511">
      <c r="A2011" s="277" t="n"/>
      <c r="B2011" s="285" t="n"/>
      <c r="C2011" s="579" t="n"/>
      <c r="D2011" s="580" t="n"/>
      <c r="E2011" s="581" t="n"/>
      <c r="F2011" s="577" t="n"/>
      <c r="G2011" s="582" t="n"/>
      <c r="H2011" s="583" t="n"/>
      <c r="I2011" s="510" t="n"/>
    </row>
    <row r="2012" ht="19.95" customFormat="1" customHeight="1" s="511">
      <c r="A2012" s="277" t="n"/>
      <c r="B2012" s="285" t="n"/>
      <c r="C2012" s="579" t="n"/>
      <c r="D2012" s="580" t="n"/>
      <c r="E2012" s="581" t="n"/>
      <c r="F2012" s="577" t="n"/>
      <c r="G2012" s="582" t="n"/>
      <c r="H2012" s="583" t="n"/>
      <c r="I2012" s="510" t="n"/>
    </row>
    <row r="2013" ht="19.95" customFormat="1" customHeight="1" s="511">
      <c r="A2013" s="277" t="n"/>
      <c r="B2013" s="285" t="n"/>
      <c r="C2013" s="579" t="n"/>
      <c r="D2013" s="580" t="n"/>
      <c r="E2013" s="581" t="n"/>
      <c r="F2013" s="577" t="n"/>
      <c r="G2013" s="582" t="n"/>
      <c r="H2013" s="583" t="n"/>
      <c r="I2013" s="510" t="n"/>
    </row>
    <row r="2014" ht="19.95" customFormat="1" customHeight="1" s="511">
      <c r="A2014" s="277" t="n"/>
      <c r="B2014" s="285" t="n"/>
      <c r="C2014" s="579" t="n"/>
      <c r="D2014" s="580" t="n"/>
      <c r="E2014" s="581" t="n"/>
      <c r="F2014" s="577" t="n"/>
      <c r="G2014" s="582" t="n"/>
      <c r="H2014" s="583" t="n"/>
      <c r="I2014" s="510" t="n"/>
    </row>
    <row r="2015" ht="19.95" customFormat="1" customHeight="1" s="511">
      <c r="A2015" s="277" t="n"/>
      <c r="B2015" s="285" t="n"/>
      <c r="C2015" s="579" t="n"/>
      <c r="D2015" s="580" t="n"/>
      <c r="E2015" s="581" t="n"/>
      <c r="F2015" s="577" t="n"/>
      <c r="G2015" s="582" t="n"/>
      <c r="H2015" s="583" t="n"/>
      <c r="I2015" s="510" t="n"/>
    </row>
    <row r="2016" ht="19.95" customFormat="1" customHeight="1" s="511">
      <c r="A2016" s="277" t="n"/>
      <c r="B2016" s="285" t="n"/>
      <c r="C2016" s="579" t="n"/>
      <c r="D2016" s="580" t="n"/>
      <c r="E2016" s="581" t="n"/>
      <c r="F2016" s="577" t="n"/>
      <c r="G2016" s="582" t="n"/>
      <c r="H2016" s="583" t="n"/>
      <c r="I2016" s="510" t="n"/>
    </row>
    <row r="2017" ht="19.95" customFormat="1" customHeight="1" s="511">
      <c r="A2017" s="277" t="n"/>
      <c r="B2017" s="285" t="n"/>
      <c r="C2017" s="579" t="n"/>
      <c r="D2017" s="580" t="n"/>
      <c r="E2017" s="581" t="n"/>
      <c r="F2017" s="577" t="n"/>
      <c r="G2017" s="582" t="n"/>
      <c r="H2017" s="583" t="n"/>
      <c r="I2017" s="510" t="n"/>
    </row>
    <row r="2018" ht="19.95" customFormat="1" customHeight="1" s="511">
      <c r="A2018" s="277" t="n"/>
      <c r="B2018" s="285" t="n"/>
      <c r="C2018" s="579" t="n"/>
      <c r="D2018" s="580" t="n"/>
      <c r="E2018" s="581" t="n"/>
      <c r="F2018" s="577" t="n"/>
      <c r="G2018" s="582" t="n"/>
      <c r="H2018" s="583" t="n"/>
      <c r="I2018" s="510" t="n"/>
    </row>
    <row r="2019" ht="19.95" customFormat="1" customHeight="1" s="511">
      <c r="A2019" s="277" t="n"/>
      <c r="B2019" s="285" t="n"/>
      <c r="C2019" s="579" t="n"/>
      <c r="D2019" s="580" t="n"/>
      <c r="E2019" s="581" t="n"/>
      <c r="F2019" s="577" t="n"/>
      <c r="G2019" s="582" t="n"/>
      <c r="H2019" s="583" t="n"/>
      <c r="I2019" s="510" t="n"/>
    </row>
    <row r="2020" ht="19.95" customFormat="1" customHeight="1" s="511">
      <c r="A2020" s="277" t="n"/>
      <c r="B2020" s="285" t="n"/>
      <c r="C2020" s="579" t="n"/>
      <c r="D2020" s="580" t="n"/>
      <c r="E2020" s="581" t="n"/>
      <c r="F2020" s="577" t="n"/>
      <c r="G2020" s="582" t="n"/>
      <c r="H2020" s="583" t="n"/>
      <c r="I2020" s="510" t="n"/>
    </row>
    <row r="2021" ht="19.95" customFormat="1" customHeight="1" s="511">
      <c r="A2021" s="277" t="n"/>
      <c r="B2021" s="285" t="n"/>
      <c r="C2021" s="579" t="n"/>
      <c r="D2021" s="580" t="n"/>
      <c r="E2021" s="581" t="n"/>
      <c r="F2021" s="577" t="n"/>
      <c r="G2021" s="582" t="n"/>
      <c r="H2021" s="583" t="n"/>
      <c r="I2021" s="510" t="n"/>
    </row>
    <row r="2022" ht="19.95" customFormat="1" customHeight="1" s="511">
      <c r="A2022" s="277" t="n"/>
      <c r="B2022" s="285" t="n"/>
      <c r="C2022" s="579" t="n"/>
      <c r="D2022" s="580" t="n"/>
      <c r="E2022" s="581" t="n"/>
      <c r="F2022" s="577" t="n"/>
      <c r="G2022" s="582" t="n"/>
      <c r="H2022" s="583" t="n"/>
      <c r="I2022" s="510" t="n"/>
    </row>
    <row r="2023" ht="19.95" customFormat="1" customHeight="1" s="511">
      <c r="A2023" s="277" t="n"/>
      <c r="B2023" s="285" t="n"/>
      <c r="C2023" s="579" t="n"/>
      <c r="D2023" s="580" t="n"/>
      <c r="E2023" s="581" t="n"/>
      <c r="F2023" s="577" t="n"/>
      <c r="G2023" s="582" t="n"/>
      <c r="H2023" s="583" t="n"/>
      <c r="I2023" s="510" t="n"/>
    </row>
    <row r="2024" ht="19.95" customFormat="1" customHeight="1" s="511">
      <c r="A2024" s="277" t="n"/>
      <c r="B2024" s="285" t="n"/>
      <c r="C2024" s="579" t="n"/>
      <c r="D2024" s="580" t="n"/>
      <c r="E2024" s="581" t="n"/>
      <c r="F2024" s="577" t="n"/>
      <c r="G2024" s="582" t="n"/>
      <c r="H2024" s="583" t="n"/>
      <c r="I2024" s="510" t="n"/>
    </row>
    <row r="2025" ht="19.95" customFormat="1" customHeight="1" s="511">
      <c r="A2025" s="277" t="n"/>
      <c r="B2025" s="285" t="n"/>
      <c r="C2025" s="579" t="n"/>
      <c r="D2025" s="580" t="n"/>
      <c r="E2025" s="581" t="n"/>
      <c r="F2025" s="577" t="n"/>
      <c r="G2025" s="582" t="n"/>
      <c r="H2025" s="583" t="n"/>
      <c r="I2025" s="510" t="n"/>
    </row>
    <row r="2026" ht="19.95" customFormat="1" customHeight="1" s="511">
      <c r="A2026" s="277" t="n"/>
      <c r="B2026" s="285" t="n"/>
      <c r="C2026" s="579" t="n"/>
      <c r="D2026" s="580" t="n"/>
      <c r="E2026" s="581" t="n"/>
      <c r="F2026" s="577" t="n"/>
      <c r="G2026" s="582" t="n"/>
      <c r="H2026" s="583" t="n"/>
      <c r="I2026" s="510" t="n"/>
    </row>
    <row r="2027" ht="19.95" customFormat="1" customHeight="1" s="511">
      <c r="A2027" s="277" t="n"/>
      <c r="B2027" s="285" t="n"/>
      <c r="C2027" s="579" t="n"/>
      <c r="D2027" s="580" t="n"/>
      <c r="E2027" s="581" t="n"/>
      <c r="F2027" s="577" t="n"/>
      <c r="G2027" s="582" t="n"/>
      <c r="H2027" s="583" t="n"/>
      <c r="I2027" s="510" t="n"/>
    </row>
    <row r="2028" ht="19.95" customFormat="1" customHeight="1" s="511">
      <c r="A2028" s="277" t="n"/>
      <c r="B2028" s="285" t="n"/>
      <c r="C2028" s="579" t="n"/>
      <c r="D2028" s="580" t="n"/>
      <c r="E2028" s="581" t="n"/>
      <c r="F2028" s="577" t="n"/>
      <c r="G2028" s="582" t="n"/>
      <c r="H2028" s="583" t="n"/>
      <c r="I2028" s="510" t="n"/>
    </row>
    <row r="2029" ht="19.95" customFormat="1" customHeight="1" s="511">
      <c r="A2029" s="277" t="n"/>
      <c r="B2029" s="285" t="n"/>
      <c r="C2029" s="579" t="n"/>
      <c r="D2029" s="580" t="n"/>
      <c r="E2029" s="581" t="n"/>
      <c r="F2029" s="577" t="n"/>
      <c r="G2029" s="582" t="n"/>
      <c r="H2029" s="583" t="n"/>
      <c r="I2029" s="510" t="n"/>
    </row>
    <row r="2030" ht="19.95" customFormat="1" customHeight="1" s="511">
      <c r="A2030" s="277" t="n"/>
      <c r="B2030" s="285" t="n"/>
      <c r="C2030" s="579" t="n"/>
      <c r="D2030" s="580" t="n"/>
      <c r="E2030" s="581" t="n"/>
      <c r="F2030" s="577" t="n"/>
      <c r="G2030" s="582" t="n"/>
      <c r="H2030" s="583" t="n"/>
      <c r="I2030" s="510" t="n"/>
    </row>
    <row r="2031" ht="19.95" customFormat="1" customHeight="1" s="511">
      <c r="A2031" s="277" t="n"/>
      <c r="B2031" s="285" t="n"/>
      <c r="C2031" s="579" t="n"/>
      <c r="D2031" s="580" t="n"/>
      <c r="E2031" s="581" t="n"/>
      <c r="F2031" s="577" t="n"/>
      <c r="G2031" s="582" t="n"/>
      <c r="H2031" s="583" t="n"/>
      <c r="I2031" s="510" t="n"/>
    </row>
    <row r="2032" ht="19.95" customFormat="1" customHeight="1" s="511">
      <c r="A2032" s="277" t="n"/>
      <c r="B2032" s="285" t="n"/>
      <c r="C2032" s="579" t="n"/>
      <c r="D2032" s="580" t="n"/>
      <c r="E2032" s="581" t="n"/>
      <c r="F2032" s="577" t="n"/>
      <c r="G2032" s="582" t="n"/>
      <c r="H2032" s="583" t="n"/>
      <c r="I2032" s="510" t="n"/>
    </row>
    <row r="2033" ht="19.95" customFormat="1" customHeight="1" s="511">
      <c r="A2033" s="277" t="n"/>
      <c r="B2033" s="285" t="n"/>
      <c r="C2033" s="579" t="n"/>
      <c r="D2033" s="580" t="n"/>
      <c r="E2033" s="581" t="n"/>
      <c r="F2033" s="577" t="n"/>
      <c r="G2033" s="582" t="n"/>
      <c r="H2033" s="583" t="n"/>
      <c r="I2033" s="510" t="n"/>
    </row>
    <row r="2034" ht="19.95" customFormat="1" customHeight="1" s="511">
      <c r="A2034" s="277" t="n"/>
      <c r="B2034" s="285" t="n"/>
      <c r="C2034" s="579" t="n"/>
      <c r="D2034" s="580" t="n"/>
      <c r="E2034" s="581" t="n"/>
      <c r="F2034" s="577" t="n"/>
      <c r="G2034" s="582" t="n"/>
      <c r="H2034" s="583" t="n"/>
      <c r="I2034" s="510" t="n"/>
    </row>
    <row r="2035" ht="19.95" customFormat="1" customHeight="1" s="511">
      <c r="A2035" s="277" t="n"/>
      <c r="B2035" s="285" t="n"/>
      <c r="C2035" s="579" t="n"/>
      <c r="D2035" s="580" t="n"/>
      <c r="E2035" s="581" t="n"/>
      <c r="F2035" s="577" t="n"/>
      <c r="G2035" s="582" t="n"/>
      <c r="H2035" s="583" t="n"/>
      <c r="I2035" s="510" t="n"/>
    </row>
    <row r="2036" ht="19.95" customFormat="1" customHeight="1" s="511">
      <c r="A2036" s="277" t="n"/>
      <c r="B2036" s="285" t="n"/>
      <c r="C2036" s="579" t="n"/>
      <c r="D2036" s="580" t="n"/>
      <c r="E2036" s="581" t="n"/>
      <c r="F2036" s="577" t="n"/>
      <c r="G2036" s="582" t="n"/>
      <c r="H2036" s="583" t="n"/>
      <c r="I2036" s="510" t="n"/>
    </row>
    <row r="2037" ht="19.95" customFormat="1" customHeight="1" s="511">
      <c r="A2037" s="277" t="n"/>
      <c r="B2037" s="285" t="n"/>
      <c r="C2037" s="579" t="n"/>
      <c r="D2037" s="580" t="n"/>
      <c r="E2037" s="581" t="n"/>
      <c r="F2037" s="577" t="n"/>
      <c r="G2037" s="582" t="n"/>
      <c r="H2037" s="583" t="n"/>
      <c r="I2037" s="510" t="n"/>
    </row>
    <row r="2038" ht="19.95" customFormat="1" customHeight="1" s="511">
      <c r="A2038" s="277" t="n"/>
      <c r="B2038" s="285" t="n"/>
      <c r="C2038" s="579" t="n"/>
      <c r="D2038" s="580" t="n"/>
      <c r="E2038" s="581" t="n"/>
      <c r="F2038" s="577" t="n"/>
      <c r="G2038" s="582" t="n"/>
      <c r="H2038" s="583" t="n"/>
      <c r="I2038" s="510" t="n"/>
    </row>
    <row r="2039" ht="19.95" customFormat="1" customHeight="1" s="511">
      <c r="A2039" s="277" t="n"/>
      <c r="B2039" s="285" t="n"/>
      <c r="C2039" s="579" t="n"/>
      <c r="D2039" s="580" t="n"/>
      <c r="E2039" s="581" t="n"/>
      <c r="F2039" s="577" t="n"/>
      <c r="G2039" s="582" t="n"/>
      <c r="H2039" s="583" t="n"/>
      <c r="I2039" s="510" t="n"/>
    </row>
    <row r="2040" ht="19.95" customFormat="1" customHeight="1" s="511">
      <c r="A2040" s="277" t="n"/>
      <c r="B2040" s="285" t="n"/>
      <c r="C2040" s="579" t="n"/>
      <c r="D2040" s="580" t="n"/>
      <c r="E2040" s="581" t="n"/>
      <c r="F2040" s="577" t="n"/>
      <c r="G2040" s="582" t="n"/>
      <c r="H2040" s="583" t="n"/>
      <c r="I2040" s="510" t="n"/>
    </row>
    <row r="2041" ht="19.95" customFormat="1" customHeight="1" s="511">
      <c r="A2041" s="277" t="n"/>
      <c r="B2041" s="285" t="n"/>
      <c r="C2041" s="579" t="n"/>
      <c r="D2041" s="580" t="n"/>
      <c r="E2041" s="581" t="n"/>
      <c r="F2041" s="577" t="n"/>
      <c r="G2041" s="582" t="n"/>
      <c r="H2041" s="583" t="n"/>
      <c r="I2041" s="510" t="n"/>
    </row>
    <row r="2042" ht="19.95" customFormat="1" customHeight="1" s="511">
      <c r="A2042" s="277" t="n"/>
      <c r="B2042" s="285" t="n"/>
      <c r="C2042" s="579" t="n"/>
      <c r="D2042" s="580" t="n"/>
      <c r="E2042" s="581" t="n"/>
      <c r="F2042" s="577" t="n"/>
      <c r="G2042" s="582" t="n"/>
      <c r="H2042" s="583" t="n"/>
      <c r="I2042" s="510" t="n"/>
    </row>
    <row r="2043" ht="19.95" customFormat="1" customHeight="1" s="511">
      <c r="A2043" s="277" t="n"/>
      <c r="B2043" s="285" t="n"/>
      <c r="C2043" s="579" t="n"/>
      <c r="D2043" s="580" t="n"/>
      <c r="E2043" s="581" t="n"/>
      <c r="F2043" s="577" t="n"/>
      <c r="G2043" s="582" t="n"/>
      <c r="H2043" s="583" t="n"/>
      <c r="I2043" s="510" t="n"/>
    </row>
    <row r="2044" ht="19.95" customFormat="1" customHeight="1" s="511">
      <c r="A2044" s="277" t="n"/>
      <c r="B2044" s="285" t="n"/>
      <c r="C2044" s="579" t="n"/>
      <c r="D2044" s="580" t="n"/>
      <c r="E2044" s="581" t="n"/>
      <c r="F2044" s="577" t="n"/>
      <c r="G2044" s="582" t="n"/>
      <c r="H2044" s="583" t="n"/>
      <c r="I2044" s="510" t="n"/>
    </row>
    <row r="2045" ht="19.95" customFormat="1" customHeight="1" s="511">
      <c r="A2045" s="277" t="n"/>
      <c r="B2045" s="285" t="n"/>
      <c r="C2045" s="579" t="n"/>
      <c r="D2045" s="580" t="n"/>
      <c r="E2045" s="581" t="n"/>
      <c r="F2045" s="577" t="n"/>
      <c r="G2045" s="582" t="n"/>
      <c r="H2045" s="583" t="n"/>
      <c r="I2045" s="510" t="n"/>
    </row>
    <row r="2046" ht="19.95" customFormat="1" customHeight="1" s="511">
      <c r="A2046" s="277" t="n"/>
      <c r="B2046" s="285" t="n"/>
      <c r="C2046" s="579" t="n"/>
      <c r="D2046" s="580" t="n"/>
      <c r="E2046" s="581" t="n"/>
      <c r="F2046" s="577" t="n"/>
      <c r="G2046" s="582" t="n"/>
      <c r="H2046" s="583" t="n"/>
      <c r="I2046" s="510" t="n"/>
    </row>
    <row r="2047" ht="19.95" customFormat="1" customHeight="1" s="511">
      <c r="A2047" s="277" t="n"/>
      <c r="B2047" s="285" t="n"/>
      <c r="C2047" s="579" t="n"/>
      <c r="D2047" s="580" t="n"/>
      <c r="E2047" s="581" t="n"/>
      <c r="F2047" s="577" t="n"/>
      <c r="G2047" s="582" t="n"/>
      <c r="H2047" s="583" t="n"/>
      <c r="I2047" s="510" t="n"/>
    </row>
    <row r="2048" ht="19.95" customFormat="1" customHeight="1" s="511">
      <c r="A2048" s="277" t="n"/>
      <c r="B2048" s="285" t="n"/>
      <c r="C2048" s="579" t="n"/>
      <c r="D2048" s="580" t="n"/>
      <c r="E2048" s="581" t="n"/>
      <c r="F2048" s="577" t="n"/>
      <c r="G2048" s="582" t="n"/>
      <c r="H2048" s="583" t="n"/>
      <c r="I2048" s="510" t="n"/>
    </row>
    <row r="2049" ht="19.95" customFormat="1" customHeight="1" s="511">
      <c r="A2049" s="277" t="n"/>
      <c r="B2049" s="285" t="n"/>
      <c r="C2049" s="579" t="n"/>
      <c r="D2049" s="580" t="n"/>
      <c r="E2049" s="581" t="n"/>
      <c r="F2049" s="577" t="n"/>
      <c r="G2049" s="582" t="n"/>
      <c r="H2049" s="583" t="n"/>
      <c r="I2049" s="510" t="n"/>
    </row>
    <row r="2050" ht="19.95" customFormat="1" customHeight="1" s="511">
      <c r="A2050" s="277" t="n"/>
      <c r="B2050" s="285" t="n"/>
      <c r="C2050" s="579" t="n"/>
      <c r="D2050" s="580" t="n"/>
      <c r="E2050" s="581" t="n"/>
      <c r="F2050" s="577" t="n"/>
      <c r="G2050" s="582" t="n"/>
      <c r="H2050" s="583" t="n"/>
      <c r="I2050" s="510" t="n"/>
    </row>
    <row r="2051" ht="19.95" customFormat="1" customHeight="1" s="511">
      <c r="A2051" s="277" t="n"/>
      <c r="B2051" s="285" t="n"/>
      <c r="C2051" s="579" t="n"/>
      <c r="D2051" s="580" t="n"/>
      <c r="E2051" s="581" t="n"/>
      <c r="F2051" s="577" t="n"/>
      <c r="G2051" s="582" t="n"/>
      <c r="H2051" s="583" t="n"/>
      <c r="I2051" s="510" t="n"/>
    </row>
    <row r="2052" ht="19.95" customFormat="1" customHeight="1" s="511">
      <c r="A2052" s="277" t="n"/>
      <c r="B2052" s="285" t="n"/>
      <c r="C2052" s="579" t="n"/>
      <c r="D2052" s="580" t="n"/>
      <c r="E2052" s="581" t="n"/>
      <c r="F2052" s="577" t="n"/>
      <c r="G2052" s="582" t="n"/>
      <c r="H2052" s="583" t="n"/>
      <c r="I2052" s="510" t="n"/>
    </row>
    <row r="2053" ht="19.95" customFormat="1" customHeight="1" s="511">
      <c r="A2053" s="277" t="n"/>
      <c r="B2053" s="285" t="n"/>
      <c r="C2053" s="579" t="n"/>
      <c r="D2053" s="580" t="n"/>
      <c r="E2053" s="581" t="n"/>
      <c r="F2053" s="577" t="n"/>
      <c r="G2053" s="582" t="n"/>
      <c r="H2053" s="583" t="n"/>
      <c r="I2053" s="510" t="n"/>
    </row>
    <row r="2054" ht="19.95" customFormat="1" customHeight="1" s="511">
      <c r="A2054" s="277" t="n"/>
      <c r="B2054" s="285" t="n"/>
      <c r="C2054" s="579" t="n"/>
      <c r="D2054" s="580" t="n"/>
      <c r="E2054" s="581" t="n"/>
      <c r="F2054" s="577" t="n"/>
      <c r="G2054" s="582" t="n"/>
      <c r="H2054" s="583" t="n"/>
      <c r="I2054" s="510" t="n"/>
    </row>
    <row r="2055" ht="19.95" customFormat="1" customHeight="1" s="511">
      <c r="A2055" s="277" t="n"/>
      <c r="B2055" s="285" t="n"/>
      <c r="C2055" s="579" t="n"/>
      <c r="D2055" s="580" t="n"/>
      <c r="E2055" s="581" t="n"/>
      <c r="F2055" s="577" t="n"/>
      <c r="G2055" s="582" t="n"/>
      <c r="H2055" s="583" t="n"/>
      <c r="I2055" s="510" t="n"/>
    </row>
    <row r="2056" ht="19.95" customFormat="1" customHeight="1" s="511">
      <c r="A2056" s="277" t="n"/>
      <c r="B2056" s="285" t="n"/>
      <c r="C2056" s="579" t="n"/>
      <c r="D2056" s="580" t="n"/>
      <c r="E2056" s="581" t="n"/>
      <c r="F2056" s="577" t="n"/>
      <c r="G2056" s="582" t="n"/>
      <c r="H2056" s="583" t="n"/>
      <c r="I2056" s="510" t="n"/>
    </row>
    <row r="2057" ht="19.95" customFormat="1" customHeight="1" s="511">
      <c r="A2057" s="277" t="n"/>
      <c r="B2057" s="285" t="n"/>
      <c r="C2057" s="579" t="n"/>
      <c r="D2057" s="580" t="n"/>
      <c r="E2057" s="581" t="n"/>
      <c r="F2057" s="577" t="n"/>
      <c r="G2057" s="582" t="n"/>
      <c r="H2057" s="583" t="n"/>
      <c r="I2057" s="510" t="n"/>
    </row>
    <row r="2058" ht="19.95" customFormat="1" customHeight="1" s="511">
      <c r="A2058" s="277" t="n"/>
      <c r="B2058" s="285" t="n"/>
      <c r="C2058" s="579" t="n"/>
      <c r="D2058" s="580" t="n"/>
      <c r="E2058" s="581" t="n"/>
      <c r="F2058" s="577" t="n"/>
      <c r="G2058" s="582" t="n"/>
      <c r="H2058" s="583" t="n"/>
      <c r="I2058" s="510" t="n"/>
    </row>
    <row r="2059" ht="19.95" customFormat="1" customHeight="1" s="511">
      <c r="A2059" s="277" t="n"/>
      <c r="B2059" s="285" t="n"/>
      <c r="C2059" s="579" t="n"/>
      <c r="D2059" s="580" t="n"/>
      <c r="E2059" s="581" t="n"/>
      <c r="F2059" s="577" t="n"/>
      <c r="G2059" s="582" t="n"/>
      <c r="H2059" s="583" t="n"/>
      <c r="I2059" s="510" t="n"/>
    </row>
    <row r="2060" ht="19.95" customFormat="1" customHeight="1" s="511">
      <c r="A2060" s="277" t="n"/>
      <c r="B2060" s="285" t="n"/>
      <c r="C2060" s="579" t="n"/>
      <c r="D2060" s="580" t="n"/>
      <c r="E2060" s="581" t="n"/>
      <c r="F2060" s="577" t="n"/>
      <c r="G2060" s="582" t="n"/>
      <c r="H2060" s="583" t="n"/>
      <c r="I2060" s="510" t="n"/>
    </row>
    <row r="2061" ht="19.95" customFormat="1" customHeight="1" s="511">
      <c r="A2061" s="277" t="n"/>
      <c r="B2061" s="285" t="n"/>
      <c r="C2061" s="579" t="n"/>
      <c r="D2061" s="580" t="n"/>
      <c r="E2061" s="581" t="n"/>
      <c r="F2061" s="577" t="n"/>
      <c r="G2061" s="582" t="n"/>
      <c r="H2061" s="583" t="n"/>
      <c r="I2061" s="510" t="n"/>
    </row>
    <row r="2062" ht="19.95" customFormat="1" customHeight="1" s="511">
      <c r="A2062" s="277" t="n"/>
      <c r="B2062" s="285" t="n"/>
      <c r="C2062" s="579" t="n"/>
      <c r="D2062" s="580" t="n"/>
      <c r="E2062" s="581" t="n"/>
      <c r="F2062" s="577" t="n"/>
      <c r="G2062" s="582" t="n"/>
      <c r="H2062" s="583" t="n"/>
      <c r="I2062" s="510" t="n"/>
    </row>
    <row r="2063" ht="19.95" customFormat="1" customHeight="1" s="511">
      <c r="A2063" s="277" t="n"/>
      <c r="B2063" s="285" t="n"/>
      <c r="C2063" s="579" t="n"/>
      <c r="D2063" s="580" t="n"/>
      <c r="E2063" s="581" t="n"/>
      <c r="F2063" s="577" t="n"/>
      <c r="G2063" s="582" t="n"/>
      <c r="H2063" s="583" t="n"/>
      <c r="I2063" s="510" t="n"/>
    </row>
    <row r="2064" ht="19.95" customFormat="1" customHeight="1" s="511">
      <c r="A2064" s="277" t="n"/>
      <c r="B2064" s="285" t="n"/>
      <c r="C2064" s="579" t="n"/>
      <c r="D2064" s="580" t="n"/>
      <c r="E2064" s="581" t="n"/>
      <c r="F2064" s="577" t="n"/>
      <c r="G2064" s="582" t="n"/>
      <c r="H2064" s="583" t="n"/>
      <c r="I2064" s="510" t="n"/>
    </row>
    <row r="2065" ht="19.95" customFormat="1" customHeight="1" s="511">
      <c r="A2065" s="277" t="n"/>
      <c r="B2065" s="285" t="n"/>
      <c r="C2065" s="579" t="n"/>
      <c r="D2065" s="580" t="n"/>
      <c r="E2065" s="581" t="n"/>
      <c r="F2065" s="577" t="n"/>
      <c r="G2065" s="582" t="n"/>
      <c r="H2065" s="583" t="n"/>
      <c r="I2065" s="510" t="n"/>
    </row>
    <row r="2066" ht="19.95" customFormat="1" customHeight="1" s="511">
      <c r="A2066" s="277" t="n"/>
      <c r="B2066" s="285" t="n"/>
      <c r="C2066" s="579" t="n"/>
      <c r="D2066" s="580" t="n"/>
      <c r="E2066" s="581" t="n"/>
      <c r="F2066" s="577" t="n"/>
      <c r="G2066" s="582" t="n"/>
      <c r="H2066" s="583" t="n"/>
      <c r="I2066" s="510" t="n"/>
    </row>
    <row r="2067" ht="19.95" customFormat="1" customHeight="1" s="511">
      <c r="A2067" s="277" t="n"/>
      <c r="B2067" s="285" t="n"/>
      <c r="C2067" s="579" t="n"/>
      <c r="D2067" s="580" t="n"/>
      <c r="E2067" s="581" t="n"/>
      <c r="F2067" s="577" t="n"/>
      <c r="G2067" s="582" t="n"/>
      <c r="H2067" s="583" t="n"/>
      <c r="I2067" s="510" t="n"/>
    </row>
    <row r="2068" ht="19.95" customFormat="1" customHeight="1" s="511">
      <c r="A2068" s="277" t="n"/>
      <c r="B2068" s="285" t="n"/>
      <c r="C2068" s="579" t="n"/>
      <c r="D2068" s="580" t="n"/>
      <c r="E2068" s="581" t="n"/>
      <c r="F2068" s="577" t="n"/>
      <c r="G2068" s="582" t="n"/>
      <c r="H2068" s="583" t="n"/>
      <c r="I2068" s="510" t="n"/>
    </row>
    <row r="2069" ht="19.95" customFormat="1" customHeight="1" s="511">
      <c r="A2069" s="277" t="n"/>
      <c r="B2069" s="285" t="n"/>
      <c r="C2069" s="579" t="n"/>
      <c r="D2069" s="580" t="n"/>
      <c r="E2069" s="581" t="n"/>
      <c r="F2069" s="577" t="n"/>
      <c r="G2069" s="582" t="n"/>
      <c r="H2069" s="583" t="n"/>
      <c r="I2069" s="510" t="n"/>
    </row>
    <row r="2070" ht="19.95" customFormat="1" customHeight="1" s="511">
      <c r="A2070" s="277" t="n"/>
      <c r="B2070" s="285" t="n"/>
      <c r="C2070" s="579" t="n"/>
      <c r="D2070" s="580" t="n"/>
      <c r="E2070" s="581" t="n"/>
      <c r="F2070" s="577" t="n"/>
      <c r="G2070" s="582" t="n"/>
      <c r="H2070" s="583" t="n"/>
      <c r="I2070" s="510" t="n"/>
    </row>
    <row r="2071" ht="19.95" customFormat="1" customHeight="1" s="511">
      <c r="A2071" s="277" t="n"/>
      <c r="B2071" s="285" t="n"/>
      <c r="C2071" s="579" t="n"/>
      <c r="D2071" s="580" t="n"/>
      <c r="E2071" s="581" t="n"/>
      <c r="F2071" s="577" t="n"/>
      <c r="G2071" s="582" t="n"/>
      <c r="H2071" s="583" t="n"/>
      <c r="I2071" s="510" t="n"/>
    </row>
    <row r="2072" ht="19.95" customFormat="1" customHeight="1" s="511">
      <c r="A2072" s="277" t="n"/>
      <c r="B2072" s="285" t="n"/>
      <c r="C2072" s="579" t="n"/>
      <c r="D2072" s="580" t="n"/>
      <c r="E2072" s="581" t="n"/>
      <c r="F2072" s="577" t="n"/>
      <c r="G2072" s="582" t="n"/>
      <c r="H2072" s="583" t="n"/>
      <c r="I2072" s="510" t="n"/>
    </row>
    <row r="2073" ht="19.95" customFormat="1" customHeight="1" s="511">
      <c r="A2073" s="277" t="n"/>
      <c r="B2073" s="285" t="n"/>
      <c r="C2073" s="579" t="n"/>
      <c r="D2073" s="580" t="n"/>
      <c r="E2073" s="581" t="n"/>
      <c r="F2073" s="577" t="n"/>
      <c r="G2073" s="582" t="n"/>
      <c r="H2073" s="583" t="n"/>
      <c r="I2073" s="510" t="n"/>
    </row>
    <row r="2074" ht="19.95" customFormat="1" customHeight="1" s="511">
      <c r="A2074" s="277" t="n"/>
      <c r="B2074" s="285" t="n"/>
      <c r="C2074" s="579" t="n"/>
      <c r="D2074" s="580" t="n"/>
      <c r="E2074" s="581" t="n"/>
      <c r="F2074" s="577" t="n"/>
      <c r="G2074" s="582" t="n"/>
      <c r="H2074" s="583" t="n"/>
      <c r="I2074" s="510" t="n"/>
    </row>
    <row r="2075" ht="19.95" customFormat="1" customHeight="1" s="511">
      <c r="A2075" s="277" t="n"/>
      <c r="B2075" s="285" t="n"/>
      <c r="C2075" s="579" t="n"/>
      <c r="D2075" s="580" t="n"/>
      <c r="E2075" s="581" t="n"/>
      <c r="F2075" s="577" t="n"/>
      <c r="G2075" s="582" t="n"/>
      <c r="H2075" s="583" t="n"/>
      <c r="I2075" s="510" t="n"/>
    </row>
    <row r="2076" ht="19.95" customFormat="1" customHeight="1" s="511">
      <c r="A2076" s="277" t="n"/>
      <c r="B2076" s="285" t="n"/>
      <c r="C2076" s="579" t="n"/>
      <c r="D2076" s="580" t="n"/>
      <c r="E2076" s="581" t="n"/>
      <c r="F2076" s="577" t="n"/>
      <c r="G2076" s="582" t="n"/>
      <c r="H2076" s="583" t="n"/>
      <c r="I2076" s="510" t="n"/>
    </row>
    <row r="2077" ht="19.95" customFormat="1" customHeight="1" s="511">
      <c r="A2077" s="277" t="n"/>
      <c r="B2077" s="285" t="n"/>
      <c r="C2077" s="579" t="n"/>
      <c r="D2077" s="580" t="n"/>
      <c r="E2077" s="581" t="n"/>
      <c r="F2077" s="577" t="n"/>
      <c r="G2077" s="582" t="n"/>
      <c r="H2077" s="583" t="n"/>
      <c r="I2077" s="510" t="n"/>
    </row>
    <row r="2078" ht="19.95" customFormat="1" customHeight="1" s="511">
      <c r="A2078" s="277" t="n"/>
      <c r="B2078" s="285" t="n"/>
      <c r="C2078" s="579" t="n"/>
      <c r="D2078" s="580" t="n"/>
      <c r="E2078" s="581" t="n"/>
      <c r="F2078" s="577" t="n"/>
      <c r="G2078" s="582" t="n"/>
      <c r="H2078" s="583" t="n"/>
      <c r="I2078" s="510" t="n"/>
    </row>
    <row r="2079" ht="19.95" customFormat="1" customHeight="1" s="511">
      <c r="A2079" s="277" t="n"/>
      <c r="B2079" s="285" t="n"/>
      <c r="C2079" s="579" t="n"/>
      <c r="D2079" s="580" t="n"/>
      <c r="E2079" s="581" t="n"/>
      <c r="F2079" s="577" t="n"/>
      <c r="G2079" s="582" t="n"/>
      <c r="H2079" s="583" t="n"/>
      <c r="I2079" s="510" t="n"/>
    </row>
    <row r="2080" ht="19.95" customFormat="1" customHeight="1" s="511">
      <c r="A2080" s="277" t="n"/>
      <c r="B2080" s="285" t="n"/>
      <c r="C2080" s="579" t="n"/>
      <c r="D2080" s="580" t="n"/>
      <c r="E2080" s="581" t="n"/>
      <c r="F2080" s="577" t="n"/>
      <c r="G2080" s="582" t="n"/>
      <c r="H2080" s="583" t="n"/>
      <c r="I2080" s="510" t="n"/>
    </row>
    <row r="2081" ht="19.95" customFormat="1" customHeight="1" s="511">
      <c r="A2081" s="277" t="n"/>
      <c r="B2081" s="285" t="n"/>
      <c r="C2081" s="579" t="n"/>
      <c r="D2081" s="580" t="n"/>
      <c r="E2081" s="581" t="n"/>
      <c r="F2081" s="577" t="n"/>
      <c r="G2081" s="582" t="n"/>
      <c r="H2081" s="583" t="n"/>
      <c r="I2081" s="510" t="n"/>
    </row>
    <row r="2082" ht="19.95" customFormat="1" customHeight="1" s="511">
      <c r="A2082" s="277" t="n"/>
      <c r="B2082" s="285" t="n"/>
      <c r="C2082" s="579" t="n"/>
      <c r="D2082" s="580" t="n"/>
      <c r="E2082" s="581" t="n"/>
      <c r="F2082" s="577" t="n"/>
      <c r="G2082" s="582" t="n"/>
      <c r="H2082" s="583" t="n"/>
      <c r="I2082" s="510" t="n"/>
    </row>
    <row r="2083" ht="19.95" customFormat="1" customHeight="1" s="511">
      <c r="A2083" s="277" t="n"/>
      <c r="B2083" s="285" t="n"/>
      <c r="C2083" s="579" t="n"/>
      <c r="D2083" s="580" t="n"/>
      <c r="E2083" s="581" t="n"/>
      <c r="F2083" s="577" t="n"/>
      <c r="G2083" s="582" t="n"/>
      <c r="H2083" s="583" t="n"/>
      <c r="I2083" s="510" t="n"/>
    </row>
    <row r="2084" ht="19.95" customFormat="1" customHeight="1" s="511">
      <c r="A2084" s="277" t="n"/>
      <c r="B2084" s="285" t="n"/>
      <c r="C2084" s="579" t="n"/>
      <c r="D2084" s="580" t="n"/>
      <c r="E2084" s="581" t="n"/>
      <c r="F2084" s="577" t="n"/>
      <c r="G2084" s="582" t="n"/>
      <c r="H2084" s="583" t="n"/>
      <c r="I2084" s="510" t="n"/>
    </row>
    <row r="2085" ht="19.95" customFormat="1" customHeight="1" s="511">
      <c r="A2085" s="277" t="n"/>
      <c r="B2085" s="285" t="n"/>
      <c r="C2085" s="579" t="n"/>
      <c r="D2085" s="580" t="n"/>
      <c r="E2085" s="581" t="n"/>
      <c r="F2085" s="577" t="n"/>
      <c r="G2085" s="582" t="n"/>
      <c r="H2085" s="583" t="n"/>
      <c r="I2085" s="510" t="n"/>
    </row>
    <row r="2086" ht="19.95" customFormat="1" customHeight="1" s="511">
      <c r="A2086" s="277" t="n"/>
      <c r="B2086" s="285" t="n"/>
      <c r="C2086" s="579" t="n"/>
      <c r="D2086" s="580" t="n"/>
      <c r="E2086" s="581" t="n"/>
      <c r="F2086" s="577" t="n"/>
      <c r="G2086" s="582" t="n"/>
      <c r="H2086" s="583" t="n"/>
      <c r="I2086" s="510" t="n"/>
    </row>
    <row r="2087" ht="19.95" customFormat="1" customHeight="1" s="511">
      <c r="A2087" s="277" t="n"/>
      <c r="B2087" s="285" t="n"/>
      <c r="C2087" s="579" t="n"/>
      <c r="D2087" s="580" t="n"/>
      <c r="E2087" s="581" t="n"/>
      <c r="F2087" s="577" t="n"/>
      <c r="G2087" s="582" t="n"/>
      <c r="H2087" s="583" t="n"/>
      <c r="I2087" s="510" t="n"/>
    </row>
    <row r="2088" ht="19.95" customFormat="1" customHeight="1" s="511">
      <c r="A2088" s="277" t="n"/>
      <c r="B2088" s="285" t="n"/>
      <c r="C2088" s="579" t="n"/>
      <c r="D2088" s="580" t="n"/>
      <c r="E2088" s="581" t="n"/>
      <c r="F2088" s="577" t="n"/>
      <c r="G2088" s="582" t="n"/>
      <c r="H2088" s="583" t="n"/>
      <c r="I2088" s="510" t="n"/>
    </row>
    <row r="2089" ht="19.95" customFormat="1" customHeight="1" s="511">
      <c r="A2089" s="277" t="n"/>
      <c r="B2089" s="285" t="n"/>
      <c r="C2089" s="579" t="n"/>
      <c r="D2089" s="580" t="n"/>
      <c r="E2089" s="581" t="n"/>
      <c r="F2089" s="577" t="n"/>
      <c r="G2089" s="582" t="n"/>
      <c r="H2089" s="583" t="n"/>
      <c r="I2089" s="510" t="n"/>
    </row>
    <row r="2090" ht="19.95" customFormat="1" customHeight="1" s="511">
      <c r="A2090" s="277" t="n"/>
      <c r="B2090" s="285" t="n"/>
      <c r="C2090" s="579" t="n"/>
      <c r="D2090" s="580" t="n"/>
      <c r="E2090" s="581" t="n"/>
      <c r="F2090" s="577" t="n"/>
      <c r="G2090" s="582" t="n"/>
      <c r="H2090" s="583" t="n"/>
      <c r="I2090" s="510" t="n"/>
    </row>
    <row r="2091" ht="19.95" customFormat="1" customHeight="1" s="511">
      <c r="A2091" s="277" t="n"/>
      <c r="B2091" s="285" t="n"/>
      <c r="C2091" s="579" t="n"/>
      <c r="D2091" s="580" t="n"/>
      <c r="E2091" s="581" t="n"/>
      <c r="F2091" s="577" t="n"/>
      <c r="G2091" s="582" t="n"/>
      <c r="H2091" s="583" t="n"/>
      <c r="I2091" s="510" t="n"/>
    </row>
    <row r="2092" ht="19.95" customFormat="1" customHeight="1" s="511">
      <c r="A2092" s="277" t="n"/>
      <c r="B2092" s="285" t="n"/>
      <c r="C2092" s="579" t="n"/>
      <c r="D2092" s="580" t="n"/>
      <c r="E2092" s="581" t="n"/>
      <c r="F2092" s="577" t="n"/>
      <c r="G2092" s="582" t="n"/>
      <c r="H2092" s="583" t="n"/>
      <c r="I2092" s="510" t="n"/>
    </row>
    <row r="2093" ht="19.95" customFormat="1" customHeight="1" s="511">
      <c r="A2093" s="277" t="n"/>
      <c r="B2093" s="285" t="n"/>
      <c r="C2093" s="579" t="n"/>
      <c r="D2093" s="580" t="n"/>
      <c r="E2093" s="581" t="n"/>
      <c r="F2093" s="577" t="n"/>
      <c r="G2093" s="582" t="n"/>
      <c r="H2093" s="583" t="n"/>
      <c r="I2093" s="510" t="n"/>
    </row>
    <row r="2094" ht="19.95" customFormat="1" customHeight="1" s="511">
      <c r="A2094" s="277" t="n"/>
      <c r="B2094" s="285" t="n"/>
      <c r="C2094" s="579" t="n"/>
      <c r="D2094" s="580" t="n"/>
      <c r="E2094" s="581" t="n"/>
      <c r="F2094" s="577" t="n"/>
      <c r="G2094" s="582" t="n"/>
      <c r="H2094" s="583" t="n"/>
      <c r="I2094" s="510" t="n"/>
    </row>
    <row r="2095" ht="19.95" customFormat="1" customHeight="1" s="511">
      <c r="A2095" s="277" t="n"/>
      <c r="B2095" s="285" t="n"/>
      <c r="C2095" s="579" t="n"/>
      <c r="D2095" s="580" t="n"/>
      <c r="E2095" s="581" t="n"/>
      <c r="F2095" s="577" t="n"/>
      <c r="G2095" s="582" t="n"/>
      <c r="H2095" s="583" t="n"/>
      <c r="I2095" s="510" t="n"/>
    </row>
    <row r="2096" ht="19.95" customFormat="1" customHeight="1" s="511">
      <c r="A2096" s="277" t="n"/>
      <c r="B2096" s="285" t="n"/>
      <c r="C2096" s="579" t="n"/>
      <c r="D2096" s="580" t="n"/>
      <c r="E2096" s="581" t="n"/>
      <c r="F2096" s="577" t="n"/>
      <c r="G2096" s="582" t="n"/>
      <c r="H2096" s="583" t="n"/>
      <c r="I2096" s="510" t="n"/>
    </row>
    <row r="2097" ht="19.95" customFormat="1" customHeight="1" s="511">
      <c r="A2097" s="277" t="n"/>
      <c r="B2097" s="285" t="n"/>
      <c r="C2097" s="579" t="n"/>
      <c r="D2097" s="580" t="n"/>
      <c r="E2097" s="581" t="n"/>
      <c r="F2097" s="577" t="n"/>
      <c r="G2097" s="582" t="n"/>
      <c r="H2097" s="583" t="n"/>
      <c r="I2097" s="510" t="n"/>
    </row>
    <row r="2098" ht="19.95" customFormat="1" customHeight="1" s="511">
      <c r="A2098" s="277" t="n"/>
      <c r="B2098" s="285" t="n"/>
      <c r="C2098" s="579" t="n"/>
      <c r="D2098" s="580" t="n"/>
      <c r="E2098" s="581" t="n"/>
      <c r="F2098" s="577" t="n"/>
      <c r="G2098" s="582" t="n"/>
      <c r="H2098" s="583" t="n"/>
      <c r="I2098" s="510" t="n"/>
    </row>
    <row r="2099" ht="19.95" customFormat="1" customHeight="1" s="511">
      <c r="A2099" s="277" t="n"/>
      <c r="B2099" s="285" t="n"/>
      <c r="C2099" s="579" t="n"/>
      <c r="D2099" s="580" t="n"/>
      <c r="E2099" s="581" t="n"/>
      <c r="F2099" s="577" t="n"/>
      <c r="G2099" s="582" t="n"/>
      <c r="H2099" s="583" t="n"/>
      <c r="I2099" s="510" t="n"/>
    </row>
    <row r="2100" ht="19.95" customFormat="1" customHeight="1" s="511">
      <c r="A2100" s="277" t="n"/>
      <c r="B2100" s="285" t="n"/>
      <c r="C2100" s="579" t="n"/>
      <c r="D2100" s="580" t="n"/>
      <c r="E2100" s="581" t="n"/>
      <c r="F2100" s="577" t="n"/>
      <c r="G2100" s="582" t="n"/>
      <c r="H2100" s="583" t="n"/>
      <c r="I2100" s="510" t="n"/>
    </row>
    <row r="2101" ht="19.95" customFormat="1" customHeight="1" s="511">
      <c r="A2101" s="277" t="n"/>
      <c r="B2101" s="285" t="n"/>
      <c r="C2101" s="579" t="n"/>
      <c r="D2101" s="580" t="n"/>
      <c r="E2101" s="581" t="n"/>
      <c r="F2101" s="577" t="n"/>
      <c r="G2101" s="582" t="n"/>
      <c r="H2101" s="583" t="n"/>
      <c r="I2101" s="510" t="n"/>
    </row>
    <row r="2102" ht="19.95" customFormat="1" customHeight="1" s="511">
      <c r="A2102" s="277" t="n"/>
      <c r="B2102" s="285" t="n"/>
      <c r="C2102" s="579" t="n"/>
      <c r="D2102" s="580" t="n"/>
      <c r="E2102" s="581" t="n"/>
      <c r="F2102" s="577" t="n"/>
      <c r="G2102" s="582" t="n"/>
      <c r="H2102" s="583" t="n"/>
      <c r="I2102" s="510" t="n"/>
    </row>
    <row r="2103" ht="19.95" customFormat="1" customHeight="1" s="511">
      <c r="A2103" s="277" t="n"/>
      <c r="B2103" s="285" t="n"/>
      <c r="C2103" s="579" t="n"/>
      <c r="D2103" s="580" t="n"/>
      <c r="E2103" s="581" t="n"/>
      <c r="F2103" s="577" t="n"/>
      <c r="G2103" s="582" t="n"/>
      <c r="H2103" s="583" t="n"/>
      <c r="I2103" s="510" t="n"/>
    </row>
    <row r="2104" ht="19.95" customFormat="1" customHeight="1" s="511">
      <c r="A2104" s="277" t="n"/>
      <c r="B2104" s="285" t="n"/>
      <c r="C2104" s="579" t="n"/>
      <c r="D2104" s="580" t="n"/>
      <c r="E2104" s="581" t="n"/>
      <c r="F2104" s="577" t="n"/>
      <c r="G2104" s="582" t="n"/>
      <c r="H2104" s="583" t="n"/>
      <c r="I2104" s="510" t="n"/>
    </row>
    <row r="2105" ht="19.95" customFormat="1" customHeight="1" s="511">
      <c r="A2105" s="277" t="n"/>
      <c r="B2105" s="285" t="n"/>
      <c r="C2105" s="579" t="n"/>
      <c r="D2105" s="580" t="n"/>
      <c r="E2105" s="581" t="n"/>
      <c r="F2105" s="577" t="n"/>
      <c r="G2105" s="582" t="n"/>
      <c r="H2105" s="583" t="n"/>
      <c r="I2105" s="510" t="n"/>
    </row>
    <row r="2106" ht="19.95" customFormat="1" customHeight="1" s="511">
      <c r="A2106" s="277" t="n"/>
      <c r="B2106" s="285" t="n"/>
      <c r="C2106" s="579" t="n"/>
      <c r="D2106" s="580" t="n"/>
      <c r="E2106" s="581" t="n"/>
      <c r="F2106" s="577" t="n"/>
      <c r="G2106" s="582" t="n"/>
      <c r="H2106" s="583" t="n"/>
      <c r="I2106" s="510" t="n"/>
    </row>
    <row r="2107" ht="19.95" customFormat="1" customHeight="1" s="511">
      <c r="A2107" s="277" t="n"/>
      <c r="B2107" s="285" t="n"/>
      <c r="C2107" s="579" t="n"/>
      <c r="D2107" s="580" t="n"/>
      <c r="E2107" s="581" t="n"/>
      <c r="F2107" s="577" t="n"/>
      <c r="G2107" s="582" t="n"/>
      <c r="H2107" s="583" t="n"/>
      <c r="I2107" s="510" t="n"/>
    </row>
    <row r="2108" ht="19.95" customFormat="1" customHeight="1" s="511">
      <c r="A2108" s="277" t="n"/>
      <c r="B2108" s="285" t="n"/>
      <c r="C2108" s="579" t="n"/>
      <c r="D2108" s="580" t="n"/>
      <c r="E2108" s="581" t="n"/>
      <c r="F2108" s="577" t="n"/>
      <c r="G2108" s="582" t="n"/>
      <c r="H2108" s="583" t="n"/>
      <c r="I2108" s="510" t="n"/>
    </row>
    <row r="2109" ht="19.95" customFormat="1" customHeight="1" s="511">
      <c r="A2109" s="277" t="n"/>
      <c r="B2109" s="285" t="n"/>
      <c r="C2109" s="579" t="n"/>
      <c r="D2109" s="580" t="n"/>
      <c r="E2109" s="581" t="n"/>
      <c r="F2109" s="577" t="n"/>
      <c r="G2109" s="582" t="n"/>
      <c r="H2109" s="583" t="n"/>
      <c r="I2109" s="510" t="n"/>
    </row>
    <row r="2110" ht="19.95" customFormat="1" customHeight="1" s="511">
      <c r="A2110" s="277" t="n"/>
      <c r="B2110" s="285" t="n"/>
      <c r="C2110" s="579" t="n"/>
      <c r="D2110" s="580" t="n"/>
      <c r="E2110" s="581" t="n"/>
      <c r="F2110" s="577" t="n"/>
      <c r="G2110" s="582" t="n"/>
      <c r="H2110" s="583" t="n"/>
      <c r="I2110" s="510" t="n"/>
    </row>
    <row r="2111" ht="19.95" customFormat="1" customHeight="1" s="511">
      <c r="A2111" s="277" t="n"/>
      <c r="B2111" s="285" t="n"/>
      <c r="C2111" s="579" t="n"/>
      <c r="D2111" s="580" t="n"/>
      <c r="E2111" s="581" t="n"/>
      <c r="F2111" s="577" t="n"/>
      <c r="G2111" s="582" t="n"/>
      <c r="H2111" s="583" t="n"/>
      <c r="I2111" s="510" t="n"/>
    </row>
    <row r="2112" ht="19.95" customFormat="1" customHeight="1" s="511">
      <c r="A2112" s="277" t="n"/>
      <c r="B2112" s="285" t="n"/>
      <c r="C2112" s="579" t="n"/>
      <c r="D2112" s="580" t="n"/>
      <c r="E2112" s="581" t="n"/>
      <c r="F2112" s="577" t="n"/>
      <c r="G2112" s="582" t="n"/>
      <c r="H2112" s="583" t="n"/>
      <c r="I2112" s="510" t="n"/>
    </row>
    <row r="2113" ht="19.95" customFormat="1" customHeight="1" s="511">
      <c r="A2113" s="277" t="n"/>
      <c r="B2113" s="285" t="n"/>
      <c r="C2113" s="579" t="n"/>
      <c r="D2113" s="580" t="n"/>
      <c r="E2113" s="581" t="n"/>
      <c r="F2113" s="577" t="n"/>
      <c r="G2113" s="582" t="n"/>
      <c r="H2113" s="583" t="n"/>
      <c r="I2113" s="510" t="n"/>
    </row>
    <row r="2114" ht="19.95" customFormat="1" customHeight="1" s="511">
      <c r="A2114" s="277" t="n"/>
      <c r="B2114" s="285" t="n"/>
      <c r="C2114" s="579" t="n"/>
      <c r="D2114" s="580" t="n"/>
      <c r="E2114" s="581" t="n"/>
      <c r="F2114" s="577" t="n"/>
      <c r="G2114" s="582" t="n"/>
      <c r="H2114" s="583" t="n"/>
      <c r="I2114" s="510" t="n"/>
    </row>
    <row r="2115" ht="19.95" customFormat="1" customHeight="1" s="511">
      <c r="A2115" s="277" t="n"/>
      <c r="B2115" s="285" t="n"/>
      <c r="C2115" s="579" t="n"/>
      <c r="D2115" s="580" t="n"/>
      <c r="E2115" s="581" t="n"/>
      <c r="F2115" s="577" t="n"/>
      <c r="G2115" s="582" t="n"/>
      <c r="H2115" s="583" t="n"/>
      <c r="I2115" s="510" t="n"/>
    </row>
    <row r="2116" ht="19.95" customFormat="1" customHeight="1" s="511">
      <c r="A2116" s="277" t="n"/>
      <c r="B2116" s="285" t="n"/>
      <c r="C2116" s="579" t="n"/>
      <c r="D2116" s="580" t="n"/>
      <c r="E2116" s="581" t="n"/>
      <c r="F2116" s="577" t="n"/>
      <c r="G2116" s="582" t="n"/>
      <c r="H2116" s="583" t="n"/>
      <c r="I2116" s="510" t="n"/>
    </row>
    <row r="2117" ht="19.95" customFormat="1" customHeight="1" s="511">
      <c r="A2117" s="277" t="n"/>
      <c r="B2117" s="285" t="n"/>
      <c r="C2117" s="579" t="n"/>
      <c r="D2117" s="580" t="n"/>
      <c r="E2117" s="581" t="n"/>
      <c r="F2117" s="577" t="n"/>
      <c r="G2117" s="582" t="n"/>
      <c r="H2117" s="583" t="n"/>
      <c r="I2117" s="510" t="n"/>
    </row>
    <row r="2118" ht="19.95" customFormat="1" customHeight="1" s="511">
      <c r="A2118" s="277" t="n"/>
      <c r="B2118" s="285" t="n"/>
      <c r="C2118" s="579" t="n"/>
      <c r="D2118" s="580" t="n"/>
      <c r="E2118" s="581" t="n"/>
      <c r="F2118" s="577" t="n"/>
      <c r="G2118" s="582" t="n"/>
      <c r="H2118" s="583" t="n"/>
      <c r="I2118" s="510" t="n"/>
    </row>
    <row r="2119" ht="19.95" customFormat="1" customHeight="1" s="511">
      <c r="A2119" s="277" t="n"/>
      <c r="B2119" s="285" t="n"/>
      <c r="C2119" s="579" t="n"/>
      <c r="D2119" s="580" t="n"/>
      <c r="E2119" s="581" t="n"/>
      <c r="F2119" s="577" t="n"/>
      <c r="G2119" s="582" t="n"/>
      <c r="H2119" s="583" t="n"/>
      <c r="I2119" s="510" t="n"/>
    </row>
    <row r="2120" ht="19.95" customFormat="1" customHeight="1" s="511">
      <c r="A2120" s="277" t="n"/>
      <c r="B2120" s="285" t="n"/>
      <c r="C2120" s="579" t="n"/>
      <c r="D2120" s="580" t="n"/>
      <c r="E2120" s="581" t="n"/>
      <c r="F2120" s="577" t="n"/>
      <c r="G2120" s="582" t="n"/>
      <c r="H2120" s="583" t="n"/>
      <c r="I2120" s="510" t="n"/>
    </row>
    <row r="2121" ht="19.95" customFormat="1" customHeight="1" s="511">
      <c r="A2121" s="277" t="n"/>
      <c r="B2121" s="285" t="n"/>
      <c r="C2121" s="579" t="n"/>
      <c r="D2121" s="580" t="n"/>
      <c r="E2121" s="581" t="n"/>
      <c r="F2121" s="577" t="n"/>
      <c r="G2121" s="582" t="n"/>
      <c r="H2121" s="583" t="n"/>
      <c r="I2121" s="510" t="n"/>
    </row>
    <row r="2122" ht="19.95" customFormat="1" customHeight="1" s="511">
      <c r="A2122" s="277" t="n"/>
      <c r="B2122" s="285" t="n"/>
      <c r="C2122" s="579" t="n"/>
      <c r="D2122" s="580" t="n"/>
      <c r="E2122" s="581" t="n"/>
      <c r="F2122" s="577" t="n"/>
      <c r="G2122" s="582" t="n"/>
      <c r="H2122" s="583" t="n"/>
      <c r="I2122" s="510" t="n"/>
    </row>
    <row r="2123" ht="19.95" customFormat="1" customHeight="1" s="511">
      <c r="A2123" s="277" t="n"/>
      <c r="B2123" s="285" t="n"/>
      <c r="C2123" s="579" t="n"/>
      <c r="D2123" s="580" t="n"/>
      <c r="E2123" s="581" t="n"/>
      <c r="F2123" s="577" t="n"/>
      <c r="G2123" s="582" t="n"/>
      <c r="H2123" s="583" t="n"/>
      <c r="I2123" s="510" t="n"/>
    </row>
    <row r="2124" ht="19.95" customFormat="1" customHeight="1" s="511">
      <c r="A2124" s="277" t="n"/>
      <c r="B2124" s="285" t="n"/>
      <c r="C2124" s="579" t="n"/>
      <c r="D2124" s="580" t="n"/>
      <c r="E2124" s="581" t="n"/>
      <c r="F2124" s="577" t="n"/>
      <c r="G2124" s="582" t="n"/>
      <c r="H2124" s="583" t="n"/>
      <c r="I2124" s="510" t="n"/>
    </row>
    <row r="2125" ht="19.95" customFormat="1" customHeight="1" s="511">
      <c r="A2125" s="277" t="n"/>
      <c r="B2125" s="285" t="n"/>
      <c r="C2125" s="579" t="n"/>
      <c r="D2125" s="580" t="n"/>
      <c r="E2125" s="581" t="n"/>
      <c r="F2125" s="577" t="n"/>
      <c r="G2125" s="582" t="n"/>
      <c r="H2125" s="583" t="n"/>
      <c r="I2125" s="510" t="n"/>
    </row>
    <row r="2126" ht="19.95" customFormat="1" customHeight="1" s="511">
      <c r="A2126" s="277" t="n"/>
      <c r="B2126" s="285" t="n"/>
      <c r="C2126" s="579" t="n"/>
      <c r="D2126" s="580" t="n"/>
      <c r="E2126" s="581" t="n"/>
      <c r="F2126" s="577" t="n"/>
      <c r="G2126" s="582" t="n"/>
      <c r="H2126" s="583" t="n"/>
      <c r="I2126" s="510" t="n"/>
    </row>
    <row r="2127" ht="19.95" customFormat="1" customHeight="1" s="511">
      <c r="A2127" s="277" t="n"/>
      <c r="B2127" s="285" t="n"/>
      <c r="C2127" s="579" t="n"/>
      <c r="D2127" s="580" t="n"/>
      <c r="E2127" s="581" t="n"/>
      <c r="F2127" s="577" t="n"/>
      <c r="G2127" s="582" t="n"/>
      <c r="H2127" s="583" t="n"/>
      <c r="I2127" s="510" t="n"/>
    </row>
    <row r="2128" ht="19.95" customFormat="1" customHeight="1" s="511">
      <c r="A2128" s="277" t="n"/>
      <c r="B2128" s="285" t="n"/>
      <c r="C2128" s="579" t="n"/>
      <c r="D2128" s="580" t="n"/>
      <c r="E2128" s="581" t="n"/>
      <c r="F2128" s="577" t="n"/>
      <c r="G2128" s="582" t="n"/>
      <c r="H2128" s="583" t="n"/>
      <c r="I2128" s="510" t="n"/>
    </row>
    <row r="2129" ht="19.95" customFormat="1" customHeight="1" s="511">
      <c r="A2129" s="277" t="n"/>
      <c r="B2129" s="285" t="n"/>
      <c r="C2129" s="579" t="n"/>
      <c r="D2129" s="580" t="n"/>
      <c r="E2129" s="581" t="n"/>
      <c r="F2129" s="577" t="n"/>
      <c r="G2129" s="582" t="n"/>
      <c r="H2129" s="583" t="n"/>
      <c r="I2129" s="510" t="n"/>
    </row>
    <row r="2130" ht="19.95" customFormat="1" customHeight="1" s="511">
      <c r="A2130" s="277" t="n"/>
      <c r="B2130" s="285" t="n"/>
      <c r="C2130" s="579" t="n"/>
      <c r="D2130" s="580" t="n"/>
      <c r="E2130" s="581" t="n"/>
      <c r="F2130" s="577" t="n"/>
      <c r="G2130" s="582" t="n"/>
      <c r="H2130" s="583" t="n"/>
      <c r="I2130" s="510" t="n"/>
    </row>
    <row r="2131" ht="19.95" customFormat="1" customHeight="1" s="511">
      <c r="A2131" s="277" t="n"/>
      <c r="B2131" s="285" t="n"/>
      <c r="C2131" s="579" t="n"/>
      <c r="D2131" s="580" t="n"/>
      <c r="E2131" s="581" t="n"/>
      <c r="F2131" s="577" t="n"/>
      <c r="G2131" s="582" t="n"/>
      <c r="H2131" s="583" t="n"/>
      <c r="I2131" s="510" t="n"/>
    </row>
    <row r="2132" ht="19.95" customFormat="1" customHeight="1" s="511">
      <c r="A2132" s="277" t="n"/>
      <c r="B2132" s="285" t="n"/>
      <c r="C2132" s="579" t="n"/>
      <c r="D2132" s="580" t="n"/>
      <c r="E2132" s="581" t="n"/>
      <c r="F2132" s="577" t="n"/>
      <c r="G2132" s="582" t="n"/>
      <c r="H2132" s="583" t="n"/>
      <c r="I2132" s="510" t="n"/>
    </row>
    <row r="2133" ht="19.95" customFormat="1" customHeight="1" s="511">
      <c r="A2133" s="277" t="n"/>
      <c r="B2133" s="285" t="n"/>
      <c r="C2133" s="579" t="n"/>
      <c r="D2133" s="580" t="n"/>
      <c r="E2133" s="581" t="n"/>
      <c r="F2133" s="577" t="n"/>
      <c r="G2133" s="582" t="n"/>
      <c r="H2133" s="583" t="n"/>
      <c r="I2133" s="510" t="n"/>
    </row>
    <row r="2134" ht="19.95" customFormat="1" customHeight="1" s="511">
      <c r="A2134" s="277" t="n"/>
      <c r="B2134" s="285" t="n"/>
      <c r="C2134" s="579" t="n"/>
      <c r="D2134" s="580" t="n"/>
      <c r="E2134" s="581" t="n"/>
      <c r="F2134" s="577" t="n"/>
      <c r="G2134" s="582" t="n"/>
      <c r="H2134" s="583" t="n"/>
      <c r="I2134" s="510" t="n"/>
    </row>
    <row r="2135" ht="19.95" customFormat="1" customHeight="1" s="511">
      <c r="A2135" s="277" t="n"/>
      <c r="B2135" s="285" t="n"/>
      <c r="C2135" s="579" t="n"/>
      <c r="D2135" s="580" t="n"/>
      <c r="E2135" s="581" t="n"/>
      <c r="F2135" s="577" t="n"/>
      <c r="G2135" s="582" t="n"/>
      <c r="H2135" s="583" t="n"/>
      <c r="I2135" s="510" t="n"/>
    </row>
    <row r="2136" ht="19.95" customFormat="1" customHeight="1" s="511">
      <c r="A2136" s="277" t="n"/>
      <c r="B2136" s="285" t="n"/>
      <c r="C2136" s="579" t="n"/>
      <c r="D2136" s="580" t="n"/>
      <c r="E2136" s="581" t="n"/>
      <c r="F2136" s="577" t="n"/>
      <c r="G2136" s="582" t="n"/>
      <c r="H2136" s="583" t="n"/>
      <c r="I2136" s="510" t="n"/>
    </row>
    <row r="2137" ht="19.95" customFormat="1" customHeight="1" s="511">
      <c r="A2137" s="277" t="n"/>
      <c r="B2137" s="285" t="n"/>
      <c r="C2137" s="579" t="n"/>
      <c r="D2137" s="580" t="n"/>
      <c r="E2137" s="581" t="n"/>
      <c r="F2137" s="577" t="n"/>
      <c r="G2137" s="582" t="n"/>
      <c r="H2137" s="583" t="n"/>
      <c r="I2137" s="510" t="n"/>
    </row>
    <row r="2138" ht="19.95" customFormat="1" customHeight="1" s="511">
      <c r="A2138" s="277" t="n"/>
      <c r="B2138" s="285" t="n"/>
      <c r="C2138" s="579" t="n"/>
      <c r="D2138" s="580" t="n"/>
      <c r="E2138" s="581" t="n"/>
      <c r="F2138" s="577" t="n"/>
      <c r="G2138" s="582" t="n"/>
      <c r="H2138" s="583" t="n"/>
      <c r="I2138" s="510" t="n"/>
    </row>
    <row r="2139" ht="19.95" customFormat="1" customHeight="1" s="511">
      <c r="A2139" s="277" t="n"/>
      <c r="B2139" s="285" t="n"/>
      <c r="C2139" s="579" t="n"/>
      <c r="D2139" s="580" t="n"/>
      <c r="E2139" s="581" t="n"/>
      <c r="F2139" s="577" t="n"/>
      <c r="G2139" s="582" t="n"/>
      <c r="H2139" s="583" t="n"/>
      <c r="I2139" s="510" t="n"/>
    </row>
    <row r="2140" ht="19.95" customFormat="1" customHeight="1" s="511">
      <c r="A2140" s="277" t="n"/>
      <c r="B2140" s="285" t="n"/>
      <c r="C2140" s="579" t="n"/>
      <c r="D2140" s="580" t="n"/>
      <c r="E2140" s="581" t="n"/>
      <c r="F2140" s="577" t="n"/>
      <c r="G2140" s="582" t="n"/>
      <c r="H2140" s="583" t="n"/>
      <c r="I2140" s="510" t="n"/>
    </row>
    <row r="2141" ht="19.95" customFormat="1" customHeight="1" s="511">
      <c r="A2141" s="277" t="n"/>
      <c r="B2141" s="285" t="n"/>
      <c r="C2141" s="579" t="n"/>
      <c r="D2141" s="580" t="n"/>
      <c r="E2141" s="581" t="n"/>
      <c r="F2141" s="577" t="n"/>
      <c r="G2141" s="582" t="n"/>
      <c r="H2141" s="583" t="n"/>
      <c r="I2141" s="510" t="n"/>
    </row>
    <row r="2142" ht="19.95" customFormat="1" customHeight="1" s="511">
      <c r="A2142" s="277" t="n"/>
      <c r="B2142" s="285" t="n"/>
      <c r="C2142" s="579" t="n"/>
      <c r="D2142" s="580" t="n"/>
      <c r="E2142" s="581" t="n"/>
      <c r="F2142" s="577" t="n"/>
      <c r="G2142" s="582" t="n"/>
      <c r="H2142" s="583" t="n"/>
      <c r="I2142" s="510" t="n"/>
    </row>
    <row r="2143" ht="19.95" customFormat="1" customHeight="1" s="511">
      <c r="A2143" s="277" t="n"/>
      <c r="B2143" s="285" t="n"/>
      <c r="C2143" s="579" t="n"/>
      <c r="D2143" s="580" t="n"/>
      <c r="E2143" s="581" t="n"/>
      <c r="F2143" s="577" t="n"/>
      <c r="G2143" s="582" t="n"/>
      <c r="H2143" s="583" t="n"/>
      <c r="I2143" s="510" t="n"/>
    </row>
    <row r="2144" ht="19.95" customFormat="1" customHeight="1" s="511">
      <c r="A2144" s="277" t="n"/>
      <c r="B2144" s="285" t="n"/>
      <c r="C2144" s="579" t="n"/>
      <c r="D2144" s="580" t="n"/>
      <c r="E2144" s="581" t="n"/>
      <c r="F2144" s="577" t="n"/>
      <c r="G2144" s="582" t="n"/>
      <c r="H2144" s="583" t="n"/>
      <c r="I2144" s="510" t="n"/>
    </row>
    <row r="2145" ht="19.95" customFormat="1" customHeight="1" s="511">
      <c r="A2145" s="277" t="n"/>
      <c r="B2145" s="285" t="n"/>
      <c r="C2145" s="579" t="n"/>
      <c r="D2145" s="580" t="n"/>
      <c r="E2145" s="581" t="n"/>
      <c r="F2145" s="577" t="n"/>
      <c r="G2145" s="582" t="n"/>
      <c r="H2145" s="583" t="n"/>
      <c r="I2145" s="510" t="n"/>
    </row>
    <row r="2146" ht="19.95" customFormat="1" customHeight="1" s="511">
      <c r="A2146" s="277" t="n"/>
      <c r="B2146" s="285" t="n"/>
      <c r="C2146" s="579" t="n"/>
      <c r="D2146" s="580" t="n"/>
      <c r="E2146" s="581" t="n"/>
      <c r="F2146" s="577" t="n"/>
      <c r="G2146" s="582" t="n"/>
      <c r="H2146" s="583" t="n"/>
      <c r="I2146" s="510" t="n"/>
    </row>
    <row r="2147" ht="19.95" customFormat="1" customHeight="1" s="511">
      <c r="A2147" s="277" t="n"/>
      <c r="B2147" s="285" t="n"/>
      <c r="C2147" s="579" t="n"/>
      <c r="D2147" s="580" t="n"/>
      <c r="E2147" s="581" t="n"/>
      <c r="F2147" s="577" t="n"/>
      <c r="G2147" s="582" t="n"/>
      <c r="H2147" s="583" t="n"/>
      <c r="I2147" s="510" t="n"/>
    </row>
    <row r="2148" ht="19.95" customFormat="1" customHeight="1" s="511">
      <c r="A2148" s="277" t="n"/>
      <c r="B2148" s="285" t="n"/>
      <c r="C2148" s="579" t="n"/>
      <c r="D2148" s="580" t="n"/>
      <c r="E2148" s="581" t="n"/>
      <c r="F2148" s="577" t="n"/>
      <c r="G2148" s="582" t="n"/>
      <c r="H2148" s="583" t="n"/>
      <c r="I2148" s="510" t="n"/>
    </row>
    <row r="2149" ht="19.95" customFormat="1" customHeight="1" s="511">
      <c r="A2149" s="277" t="n"/>
      <c r="B2149" s="285" t="n"/>
      <c r="C2149" s="579" t="n"/>
      <c r="D2149" s="580" t="n"/>
      <c r="E2149" s="581" t="n"/>
      <c r="F2149" s="577" t="n"/>
      <c r="G2149" s="582" t="n"/>
      <c r="H2149" s="583" t="n"/>
      <c r="I2149" s="510" t="n"/>
    </row>
    <row r="2150" ht="19.95" customFormat="1" customHeight="1" s="511">
      <c r="A2150" s="277" t="n"/>
      <c r="B2150" s="285" t="n"/>
      <c r="C2150" s="579" t="n"/>
      <c r="D2150" s="580" t="n"/>
      <c r="E2150" s="581" t="n"/>
      <c r="F2150" s="577" t="n"/>
      <c r="G2150" s="582" t="n"/>
      <c r="H2150" s="583" t="n"/>
      <c r="I2150" s="510" t="n"/>
    </row>
    <row r="2151" ht="19.95" customFormat="1" customHeight="1" s="511">
      <c r="A2151" s="277" t="n"/>
      <c r="B2151" s="285" t="n"/>
      <c r="C2151" s="579" t="n"/>
      <c r="D2151" s="580" t="n"/>
      <c r="E2151" s="581" t="n"/>
      <c r="F2151" s="577" t="n"/>
      <c r="G2151" s="582" t="n"/>
      <c r="H2151" s="583" t="n"/>
      <c r="I2151" s="510" t="n"/>
    </row>
    <row r="2152" ht="19.95" customFormat="1" customHeight="1" s="511">
      <c r="A2152" s="277" t="n"/>
      <c r="B2152" s="285" t="n"/>
      <c r="C2152" s="579" t="n"/>
      <c r="D2152" s="580" t="n"/>
      <c r="E2152" s="581" t="n"/>
      <c r="F2152" s="577" t="n"/>
      <c r="G2152" s="582" t="n"/>
      <c r="H2152" s="583" t="n"/>
      <c r="I2152" s="510" t="n"/>
    </row>
    <row r="2153" ht="19.95" customFormat="1" customHeight="1" s="511">
      <c r="A2153" s="277" t="n"/>
      <c r="B2153" s="285" t="n"/>
      <c r="C2153" s="579" t="n"/>
      <c r="D2153" s="580" t="n"/>
      <c r="E2153" s="581" t="n"/>
      <c r="F2153" s="577" t="n"/>
      <c r="G2153" s="582" t="n"/>
      <c r="H2153" s="583" t="n"/>
      <c r="I2153" s="510" t="n"/>
    </row>
    <row r="2154" ht="19.95" customFormat="1" customHeight="1" s="511">
      <c r="A2154" s="277" t="n"/>
      <c r="B2154" s="285" t="n"/>
      <c r="C2154" s="579" t="n"/>
      <c r="D2154" s="580" t="n"/>
      <c r="E2154" s="581" t="n"/>
      <c r="F2154" s="577" t="n"/>
      <c r="G2154" s="582" t="n"/>
      <c r="H2154" s="583" t="n"/>
      <c r="I2154" s="510" t="n"/>
    </row>
    <row r="2155" ht="19.95" customFormat="1" customHeight="1" s="511">
      <c r="A2155" s="277" t="n"/>
      <c r="B2155" s="285" t="n"/>
      <c r="C2155" s="579" t="n"/>
      <c r="D2155" s="580" t="n"/>
      <c r="E2155" s="581" t="n"/>
      <c r="F2155" s="577" t="n"/>
      <c r="G2155" s="582" t="n"/>
      <c r="H2155" s="583" t="n"/>
      <c r="I2155" s="510" t="n"/>
    </row>
    <row r="2156" ht="19.95" customFormat="1" customHeight="1" s="511">
      <c r="A2156" s="277" t="n"/>
      <c r="B2156" s="285" t="n"/>
      <c r="C2156" s="579" t="n"/>
      <c r="D2156" s="580" t="n"/>
      <c r="E2156" s="581" t="n"/>
      <c r="F2156" s="577" t="n"/>
      <c r="G2156" s="582" t="n"/>
      <c r="H2156" s="583" t="n"/>
      <c r="I2156" s="510" t="n"/>
    </row>
    <row r="2157" ht="19.95" customFormat="1" customHeight="1" s="511">
      <c r="A2157" s="277" t="n"/>
      <c r="B2157" s="285" t="n"/>
      <c r="C2157" s="579" t="n"/>
      <c r="D2157" s="580" t="n"/>
      <c r="E2157" s="581" t="n"/>
      <c r="F2157" s="577" t="n"/>
      <c r="G2157" s="582" t="n"/>
      <c r="H2157" s="583" t="n"/>
      <c r="I2157" s="510" t="n"/>
    </row>
    <row r="2158" ht="19.95" customFormat="1" customHeight="1" s="511">
      <c r="A2158" s="277" t="n"/>
      <c r="B2158" s="285" t="n"/>
      <c r="C2158" s="579" t="n"/>
      <c r="D2158" s="580" t="n"/>
      <c r="E2158" s="581" t="n"/>
      <c r="F2158" s="577" t="n"/>
      <c r="G2158" s="582" t="n"/>
      <c r="H2158" s="583" t="n"/>
      <c r="I2158" s="510" t="n"/>
    </row>
    <row r="2159" ht="19.95" customFormat="1" customHeight="1" s="511">
      <c r="A2159" s="277" t="n"/>
      <c r="B2159" s="285" t="n"/>
      <c r="C2159" s="579" t="n"/>
      <c r="D2159" s="580" t="n"/>
      <c r="E2159" s="581" t="n"/>
      <c r="F2159" s="577" t="n"/>
      <c r="G2159" s="582" t="n"/>
      <c r="H2159" s="583" t="n"/>
      <c r="I2159" s="510" t="n"/>
    </row>
    <row r="2160" ht="19.95" customFormat="1" customHeight="1" s="511">
      <c r="A2160" s="277" t="n"/>
      <c r="B2160" s="285" t="n"/>
      <c r="C2160" s="579" t="n"/>
      <c r="D2160" s="580" t="n"/>
      <c r="E2160" s="581" t="n"/>
      <c r="F2160" s="577" t="n"/>
      <c r="G2160" s="582" t="n"/>
      <c r="H2160" s="583" t="n"/>
      <c r="I2160" s="510" t="n"/>
    </row>
    <row r="2161" ht="19.95" customFormat="1" customHeight="1" s="511">
      <c r="A2161" s="277" t="n"/>
      <c r="B2161" s="285" t="n"/>
      <c r="C2161" s="579" t="n"/>
      <c r="D2161" s="580" t="n"/>
      <c r="E2161" s="581" t="n"/>
      <c r="F2161" s="577" t="n"/>
      <c r="G2161" s="582" t="n"/>
      <c r="H2161" s="583" t="n"/>
      <c r="I2161" s="510" t="n"/>
    </row>
    <row r="2162" ht="19.95" customFormat="1" customHeight="1" s="511">
      <c r="A2162" s="277" t="n"/>
      <c r="B2162" s="285" t="n"/>
      <c r="C2162" s="579" t="n"/>
      <c r="D2162" s="580" t="n"/>
      <c r="E2162" s="581" t="n"/>
      <c r="F2162" s="577" t="n"/>
      <c r="G2162" s="582" t="n"/>
      <c r="H2162" s="583" t="n"/>
      <c r="I2162" s="510" t="n"/>
    </row>
    <row r="2163" ht="19.95" customFormat="1" customHeight="1" s="511">
      <c r="A2163" s="277" t="n"/>
      <c r="B2163" s="285" t="n"/>
      <c r="C2163" s="579" t="n"/>
      <c r="D2163" s="580" t="n"/>
      <c r="E2163" s="581" t="n"/>
      <c r="F2163" s="577" t="n"/>
      <c r="G2163" s="582" t="n"/>
      <c r="H2163" s="583" t="n"/>
      <c r="I2163" s="510" t="n"/>
    </row>
    <row r="2164" ht="19.95" customFormat="1" customHeight="1" s="511">
      <c r="A2164" s="277" t="n"/>
      <c r="B2164" s="285" t="n"/>
      <c r="C2164" s="579" t="n"/>
      <c r="D2164" s="580" t="n"/>
      <c r="E2164" s="581" t="n"/>
      <c r="F2164" s="577" t="n"/>
      <c r="G2164" s="582" t="n"/>
      <c r="H2164" s="583" t="n"/>
      <c r="I2164" s="510" t="n"/>
    </row>
    <row r="2165" ht="19.95" customFormat="1" customHeight="1" s="511">
      <c r="A2165" s="277" t="n"/>
      <c r="B2165" s="285" t="n"/>
      <c r="C2165" s="579" t="n"/>
      <c r="D2165" s="580" t="n"/>
      <c r="E2165" s="581" t="n"/>
      <c r="F2165" s="577" t="n"/>
      <c r="G2165" s="582" t="n"/>
      <c r="H2165" s="583" t="n"/>
      <c r="I2165" s="510" t="n"/>
    </row>
    <row r="2166" ht="19.95" customFormat="1" customHeight="1" s="511">
      <c r="A2166" s="277" t="n"/>
      <c r="B2166" s="285" t="n"/>
      <c r="C2166" s="579" t="n"/>
      <c r="D2166" s="580" t="n"/>
      <c r="E2166" s="581" t="n"/>
      <c r="F2166" s="577" t="n"/>
      <c r="G2166" s="582" t="n"/>
      <c r="H2166" s="583" t="n"/>
      <c r="I2166" s="510" t="n"/>
    </row>
    <row r="2167" ht="19.95" customFormat="1" customHeight="1" s="511">
      <c r="A2167" s="277" t="n"/>
      <c r="B2167" s="285" t="n"/>
      <c r="C2167" s="579" t="n"/>
      <c r="D2167" s="580" t="n"/>
      <c r="E2167" s="581" t="n"/>
      <c r="F2167" s="577" t="n"/>
      <c r="G2167" s="582" t="n"/>
      <c r="H2167" s="583" t="n"/>
      <c r="I2167" s="510" t="n"/>
    </row>
    <row r="2168" ht="19.95" customFormat="1" customHeight="1" s="511">
      <c r="A2168" s="277" t="n"/>
      <c r="B2168" s="285" t="n"/>
      <c r="C2168" s="579" t="n"/>
      <c r="D2168" s="580" t="n"/>
      <c r="E2168" s="581" t="n"/>
      <c r="F2168" s="577" t="n"/>
      <c r="G2168" s="582" t="n"/>
      <c r="H2168" s="583" t="n"/>
      <c r="I2168" s="510" t="n"/>
    </row>
    <row r="2169" ht="19.95" customFormat="1" customHeight="1" s="511">
      <c r="A2169" s="277" t="n"/>
      <c r="B2169" s="285" t="n"/>
      <c r="C2169" s="579" t="n"/>
      <c r="D2169" s="580" t="n"/>
      <c r="E2169" s="581" t="n"/>
      <c r="F2169" s="577" t="n"/>
      <c r="G2169" s="582" t="n"/>
      <c r="H2169" s="583" t="n"/>
      <c r="I2169" s="510" t="n"/>
    </row>
    <row r="2170" ht="19.95" customFormat="1" customHeight="1" s="511">
      <c r="A2170" s="277" t="n"/>
      <c r="B2170" s="285" t="n"/>
      <c r="C2170" s="579" t="n"/>
      <c r="D2170" s="580" t="n"/>
      <c r="E2170" s="581" t="n"/>
      <c r="F2170" s="577" t="n"/>
      <c r="G2170" s="582" t="n"/>
      <c r="H2170" s="583" t="n"/>
      <c r="I2170" s="510" t="n"/>
    </row>
    <row r="2171" ht="19.95" customFormat="1" customHeight="1" s="511">
      <c r="A2171" s="277" t="n"/>
      <c r="B2171" s="285" t="n"/>
      <c r="C2171" s="579" t="n"/>
      <c r="D2171" s="580" t="n"/>
      <c r="E2171" s="581" t="n"/>
      <c r="F2171" s="577" t="n"/>
      <c r="G2171" s="582" t="n"/>
      <c r="H2171" s="583" t="n"/>
      <c r="I2171" s="510" t="n"/>
    </row>
    <row r="2172" ht="19.95" customFormat="1" customHeight="1" s="511">
      <c r="A2172" s="277" t="n"/>
      <c r="B2172" s="285" t="n"/>
      <c r="C2172" s="579" t="n"/>
      <c r="D2172" s="580" t="n"/>
      <c r="E2172" s="581" t="n"/>
      <c r="F2172" s="577" t="n"/>
      <c r="G2172" s="582" t="n"/>
      <c r="H2172" s="583" t="n"/>
      <c r="I2172" s="510" t="n"/>
    </row>
    <row r="2173" ht="19.95" customFormat="1" customHeight="1" s="511">
      <c r="A2173" s="277" t="n"/>
      <c r="B2173" s="285" t="n"/>
      <c r="C2173" s="579" t="n"/>
      <c r="D2173" s="580" t="n"/>
      <c r="E2173" s="581" t="n"/>
      <c r="F2173" s="577" t="n"/>
      <c r="G2173" s="582" t="n"/>
      <c r="H2173" s="583" t="n"/>
      <c r="I2173" s="510" t="n"/>
    </row>
    <row r="2174" ht="19.95" customFormat="1" customHeight="1" s="511">
      <c r="A2174" s="277" t="n"/>
      <c r="B2174" s="285" t="n"/>
      <c r="C2174" s="579" t="n"/>
      <c r="D2174" s="580" t="n"/>
      <c r="E2174" s="581" t="n"/>
      <c r="F2174" s="577" t="n"/>
      <c r="G2174" s="582" t="n"/>
      <c r="H2174" s="583" t="n"/>
      <c r="I2174" s="510" t="n"/>
    </row>
    <row r="2175" ht="19.95" customFormat="1" customHeight="1" s="511">
      <c r="A2175" s="277" t="n"/>
      <c r="B2175" s="285" t="n"/>
      <c r="C2175" s="579" t="n"/>
      <c r="D2175" s="580" t="n"/>
      <c r="E2175" s="581" t="n"/>
      <c r="F2175" s="577" t="n"/>
      <c r="G2175" s="582" t="n"/>
      <c r="H2175" s="583" t="n"/>
      <c r="I2175" s="510" t="n"/>
    </row>
    <row r="2176" ht="19.95" customFormat="1" customHeight="1" s="511">
      <c r="A2176" s="277" t="n"/>
      <c r="B2176" s="285" t="n"/>
      <c r="C2176" s="579" t="n"/>
      <c r="D2176" s="580" t="n"/>
      <c r="E2176" s="581" t="n"/>
      <c r="F2176" s="577" t="n"/>
      <c r="G2176" s="582" t="n"/>
      <c r="H2176" s="583" t="n"/>
      <c r="I2176" s="510" t="n"/>
    </row>
    <row r="2177" ht="19.95" customFormat="1" customHeight="1" s="511">
      <c r="A2177" s="277" t="n"/>
      <c r="B2177" s="285" t="n"/>
      <c r="C2177" s="579" t="n"/>
      <c r="D2177" s="580" t="n"/>
      <c r="E2177" s="581" t="n"/>
      <c r="F2177" s="577" t="n"/>
      <c r="G2177" s="582" t="n"/>
      <c r="H2177" s="583" t="n"/>
      <c r="I2177" s="510" t="n"/>
    </row>
    <row r="2178" ht="19.95" customFormat="1" customHeight="1" s="511">
      <c r="A2178" s="277" t="n"/>
      <c r="B2178" s="285" t="n"/>
      <c r="C2178" s="579" t="n"/>
      <c r="D2178" s="580" t="n"/>
      <c r="E2178" s="581" t="n"/>
      <c r="F2178" s="577" t="n"/>
      <c r="G2178" s="582" t="n"/>
      <c r="H2178" s="583" t="n"/>
      <c r="I2178" s="510" t="n"/>
    </row>
    <row r="2179" ht="19.95" customFormat="1" customHeight="1" s="511">
      <c r="A2179" s="277" t="n"/>
      <c r="B2179" s="285" t="n"/>
      <c r="C2179" s="579" t="n"/>
      <c r="D2179" s="580" t="n"/>
      <c r="E2179" s="581" t="n"/>
      <c r="F2179" s="577" t="n"/>
      <c r="G2179" s="582" t="n"/>
      <c r="H2179" s="583" t="n"/>
      <c r="I2179" s="510" t="n"/>
    </row>
    <row r="2180" ht="19.95" customFormat="1" customHeight="1" s="511">
      <c r="A2180" s="277" t="n"/>
      <c r="B2180" s="285" t="n"/>
      <c r="C2180" s="579" t="n"/>
      <c r="D2180" s="580" t="n"/>
      <c r="E2180" s="581" t="n"/>
      <c r="F2180" s="577" t="n"/>
      <c r="G2180" s="582" t="n"/>
      <c r="H2180" s="583" t="n"/>
      <c r="I2180" s="510" t="n"/>
    </row>
    <row r="2181" ht="19.95" customFormat="1" customHeight="1" s="511">
      <c r="A2181" s="277" t="n"/>
      <c r="B2181" s="285" t="n"/>
      <c r="C2181" s="579" t="n"/>
      <c r="D2181" s="580" t="n"/>
      <c r="E2181" s="581" t="n"/>
      <c r="F2181" s="577" t="n"/>
      <c r="G2181" s="582" t="n"/>
      <c r="H2181" s="583" t="n"/>
      <c r="I2181" s="510" t="n"/>
    </row>
    <row r="2182" ht="19.95" customFormat="1" customHeight="1" s="511">
      <c r="A2182" s="277" t="n"/>
      <c r="B2182" s="285" t="n"/>
      <c r="C2182" s="579" t="n"/>
      <c r="D2182" s="580" t="n"/>
      <c r="E2182" s="581" t="n"/>
      <c r="F2182" s="577" t="n"/>
      <c r="G2182" s="582" t="n"/>
      <c r="H2182" s="583" t="n"/>
      <c r="I2182" s="510" t="n"/>
    </row>
    <row r="2183" ht="19.95" customFormat="1" customHeight="1" s="511">
      <c r="A2183" s="277" t="n"/>
      <c r="B2183" s="285" t="n"/>
      <c r="C2183" s="579" t="n"/>
      <c r="D2183" s="580" t="n"/>
      <c r="E2183" s="581" t="n"/>
      <c r="F2183" s="577" t="n"/>
      <c r="G2183" s="582" t="n"/>
      <c r="H2183" s="583" t="n"/>
      <c r="I2183" s="510" t="n"/>
    </row>
    <row r="2184" ht="19.95" customFormat="1" customHeight="1" s="511">
      <c r="A2184" s="277" t="n"/>
      <c r="B2184" s="285" t="n"/>
      <c r="C2184" s="579" t="n"/>
      <c r="D2184" s="580" t="n"/>
      <c r="E2184" s="581" t="n"/>
      <c r="F2184" s="577" t="n"/>
      <c r="G2184" s="582" t="n"/>
      <c r="H2184" s="583" t="n"/>
      <c r="I2184" s="510" t="n"/>
    </row>
    <row r="2185" ht="19.95" customFormat="1" customHeight="1" s="511">
      <c r="A2185" s="277" t="n"/>
      <c r="B2185" s="285" t="n"/>
      <c r="C2185" s="579" t="n"/>
      <c r="D2185" s="580" t="n"/>
      <c r="E2185" s="581" t="n"/>
      <c r="F2185" s="577" t="n"/>
      <c r="G2185" s="582" t="n"/>
      <c r="H2185" s="583" t="n"/>
      <c r="I2185" s="510" t="n"/>
    </row>
    <row r="2186" ht="19.95" customFormat="1" customHeight="1" s="511">
      <c r="A2186" s="277" t="n"/>
      <c r="B2186" s="285" t="n"/>
      <c r="C2186" s="579" t="n"/>
      <c r="D2186" s="580" t="n"/>
      <c r="E2186" s="581" t="n"/>
      <c r="F2186" s="577" t="n"/>
      <c r="G2186" s="582" t="n"/>
      <c r="H2186" s="583" t="n"/>
      <c r="I2186" s="510" t="n"/>
    </row>
    <row r="2187" ht="19.95" customFormat="1" customHeight="1" s="511">
      <c r="A2187" s="277" t="n"/>
      <c r="B2187" s="285" t="n"/>
      <c r="C2187" s="579" t="n"/>
      <c r="D2187" s="580" t="n"/>
      <c r="E2187" s="581" t="n"/>
      <c r="F2187" s="577" t="n"/>
      <c r="G2187" s="582" t="n"/>
      <c r="H2187" s="583" t="n"/>
      <c r="I2187" s="510" t="n"/>
    </row>
    <row r="2188" ht="19.95" customFormat="1" customHeight="1" s="511">
      <c r="A2188" s="277" t="n"/>
      <c r="B2188" s="285" t="n"/>
      <c r="C2188" s="579" t="n"/>
      <c r="D2188" s="580" t="n"/>
      <c r="E2188" s="581" t="n"/>
      <c r="F2188" s="577" t="n"/>
      <c r="G2188" s="582" t="n"/>
      <c r="H2188" s="583" t="n"/>
      <c r="I2188" s="510" t="n"/>
    </row>
    <row r="2189" ht="19.95" customFormat="1" customHeight="1" s="511">
      <c r="A2189" s="277" t="n"/>
      <c r="B2189" s="285" t="n"/>
      <c r="C2189" s="579" t="n"/>
      <c r="D2189" s="580" t="n"/>
      <c r="E2189" s="581" t="n"/>
      <c r="F2189" s="577" t="n"/>
      <c r="G2189" s="582" t="n"/>
      <c r="H2189" s="583" t="n"/>
      <c r="I2189" s="510" t="n"/>
    </row>
    <row r="2190" ht="19.95" customFormat="1" customHeight="1" s="511">
      <c r="A2190" s="277" t="n"/>
      <c r="B2190" s="285" t="n"/>
      <c r="C2190" s="579" t="n"/>
      <c r="D2190" s="580" t="n"/>
      <c r="E2190" s="581" t="n"/>
      <c r="F2190" s="577" t="n"/>
      <c r="G2190" s="582" t="n"/>
      <c r="H2190" s="583" t="n"/>
      <c r="I2190" s="510" t="n"/>
    </row>
    <row r="2191" ht="19.95" customFormat="1" customHeight="1" s="511">
      <c r="A2191" s="277" t="n"/>
      <c r="B2191" s="285" t="n"/>
      <c r="C2191" s="579" t="n"/>
      <c r="D2191" s="580" t="n"/>
      <c r="E2191" s="581" t="n"/>
      <c r="F2191" s="577" t="n"/>
      <c r="G2191" s="582" t="n"/>
      <c r="H2191" s="583" t="n"/>
      <c r="I2191" s="510" t="n"/>
    </row>
    <row r="2192" ht="19.95" customFormat="1" customHeight="1" s="511">
      <c r="A2192" s="277" t="n"/>
      <c r="B2192" s="285" t="n"/>
      <c r="C2192" s="579" t="n"/>
      <c r="D2192" s="580" t="n"/>
      <c r="E2192" s="581" t="n"/>
      <c r="F2192" s="577" t="n"/>
      <c r="G2192" s="582" t="n"/>
      <c r="H2192" s="583" t="n"/>
      <c r="I2192" s="510" t="n"/>
    </row>
    <row r="2193" ht="19.95" customFormat="1" customHeight="1" s="511">
      <c r="A2193" s="277" t="n"/>
      <c r="B2193" s="285" t="n"/>
      <c r="C2193" s="579" t="n"/>
      <c r="D2193" s="580" t="n"/>
      <c r="E2193" s="581" t="n"/>
      <c r="F2193" s="577" t="n"/>
      <c r="G2193" s="582" t="n"/>
      <c r="H2193" s="583" t="n"/>
      <c r="I2193" s="510" t="n"/>
    </row>
    <row r="2194" ht="19.95" customFormat="1" customHeight="1" s="511">
      <c r="A2194" s="277" t="n"/>
      <c r="B2194" s="285" t="n"/>
      <c r="C2194" s="579" t="n"/>
      <c r="D2194" s="580" t="n"/>
      <c r="E2194" s="581" t="n"/>
      <c r="F2194" s="577" t="n"/>
      <c r="G2194" s="582" t="n"/>
      <c r="H2194" s="583" t="n"/>
      <c r="I2194" s="510" t="n"/>
    </row>
    <row r="2195" ht="19.95" customFormat="1" customHeight="1" s="511">
      <c r="A2195" s="277" t="n"/>
      <c r="B2195" s="285" t="n"/>
      <c r="C2195" s="579" t="n"/>
      <c r="D2195" s="580" t="n"/>
      <c r="E2195" s="581" t="n"/>
      <c r="F2195" s="577" t="n"/>
      <c r="G2195" s="582" t="n"/>
      <c r="H2195" s="583" t="n"/>
      <c r="I2195" s="510" t="n"/>
    </row>
    <row r="2196" ht="19.95" customFormat="1" customHeight="1" s="511">
      <c r="A2196" s="277" t="n"/>
      <c r="B2196" s="285" t="n"/>
      <c r="C2196" s="579" t="n"/>
      <c r="D2196" s="580" t="n"/>
      <c r="E2196" s="581" t="n"/>
      <c r="F2196" s="577" t="n"/>
      <c r="G2196" s="582" t="n"/>
      <c r="H2196" s="583" t="n"/>
      <c r="I2196" s="510" t="n"/>
    </row>
    <row r="2197" ht="19.95" customFormat="1" customHeight="1" s="511">
      <c r="A2197" s="277" t="n"/>
      <c r="B2197" s="285" t="n"/>
      <c r="C2197" s="579" t="n"/>
      <c r="D2197" s="580" t="n"/>
      <c r="E2197" s="581" t="n"/>
      <c r="F2197" s="577" t="n"/>
      <c r="G2197" s="582" t="n"/>
      <c r="H2197" s="583" t="n"/>
      <c r="I2197" s="510" t="n"/>
    </row>
    <row r="2198" ht="19.95" customFormat="1" customHeight="1" s="511">
      <c r="A2198" s="277" t="n"/>
      <c r="B2198" s="285" t="n"/>
      <c r="C2198" s="579" t="n"/>
      <c r="D2198" s="580" t="n"/>
      <c r="E2198" s="581" t="n"/>
      <c r="F2198" s="577" t="n"/>
      <c r="G2198" s="582" t="n"/>
      <c r="H2198" s="583" t="n"/>
      <c r="I2198" s="510" t="n"/>
    </row>
    <row r="2199" ht="19.95" customFormat="1" customHeight="1" s="511">
      <c r="A2199" s="277" t="n"/>
      <c r="B2199" s="285" t="n"/>
      <c r="C2199" s="579" t="n"/>
      <c r="D2199" s="580" t="n"/>
      <c r="E2199" s="581" t="n"/>
      <c r="F2199" s="577" t="n"/>
      <c r="G2199" s="582" t="n"/>
      <c r="H2199" s="583" t="n"/>
      <c r="I2199" s="510" t="n"/>
    </row>
    <row r="2200" ht="19.95" customFormat="1" customHeight="1" s="511">
      <c r="A2200" s="277" t="n"/>
      <c r="B2200" s="285" t="n"/>
      <c r="C2200" s="579" t="n"/>
      <c r="D2200" s="580" t="n"/>
      <c r="E2200" s="581" t="n"/>
      <c r="F2200" s="577" t="n"/>
      <c r="G2200" s="582" t="n"/>
      <c r="H2200" s="583" t="n"/>
      <c r="I2200" s="510" t="n"/>
    </row>
    <row r="2201" ht="19.95" customFormat="1" customHeight="1" s="511">
      <c r="A2201" s="277" t="n"/>
      <c r="B2201" s="285" t="n"/>
      <c r="C2201" s="579" t="n"/>
      <c r="D2201" s="580" t="n"/>
      <c r="E2201" s="581" t="n"/>
      <c r="F2201" s="577" t="n"/>
      <c r="G2201" s="582" t="n"/>
      <c r="H2201" s="583" t="n"/>
      <c r="I2201" s="510" t="n"/>
    </row>
    <row r="2202" ht="19.95" customFormat="1" customHeight="1" s="511">
      <c r="A2202" s="277" t="n"/>
      <c r="B2202" s="285" t="n"/>
      <c r="C2202" s="579" t="n"/>
      <c r="D2202" s="580" t="n"/>
      <c r="E2202" s="581" t="n"/>
      <c r="F2202" s="577" t="n"/>
      <c r="G2202" s="582" t="n"/>
      <c r="H2202" s="583" t="n"/>
      <c r="I2202" s="510" t="n"/>
    </row>
    <row r="2203" ht="19.95" customFormat="1" customHeight="1" s="511">
      <c r="A2203" s="277" t="n"/>
      <c r="B2203" s="285" t="n"/>
      <c r="C2203" s="579" t="n"/>
      <c r="D2203" s="580" t="n"/>
      <c r="E2203" s="581" t="n"/>
      <c r="F2203" s="577" t="n"/>
      <c r="G2203" s="582" t="n"/>
      <c r="H2203" s="583" t="n"/>
      <c r="I2203" s="510" t="n"/>
    </row>
    <row r="2204" ht="19.95" customFormat="1" customHeight="1" s="511">
      <c r="A2204" s="277" t="n"/>
      <c r="B2204" s="285" t="n"/>
      <c r="C2204" s="579" t="n"/>
      <c r="D2204" s="580" t="n"/>
      <c r="E2204" s="581" t="n"/>
      <c r="F2204" s="577" t="n"/>
      <c r="G2204" s="582" t="n"/>
      <c r="H2204" s="583" t="n"/>
      <c r="I2204" s="510" t="n"/>
    </row>
    <row r="2205" ht="19.95" customFormat="1" customHeight="1" s="511">
      <c r="A2205" s="277" t="n"/>
      <c r="B2205" s="285" t="n"/>
      <c r="C2205" s="579" t="n"/>
      <c r="D2205" s="580" t="n"/>
      <c r="E2205" s="581" t="n"/>
      <c r="F2205" s="577" t="n"/>
      <c r="G2205" s="582" t="n"/>
      <c r="H2205" s="583" t="n"/>
      <c r="I2205" s="510" t="n"/>
    </row>
    <row r="2206" ht="19.95" customFormat="1" customHeight="1" s="511">
      <c r="A2206" s="277" t="n"/>
      <c r="B2206" s="285" t="n"/>
      <c r="C2206" s="579" t="n"/>
      <c r="D2206" s="580" t="n"/>
      <c r="E2206" s="581" t="n"/>
      <c r="F2206" s="577" t="n"/>
      <c r="G2206" s="582" t="n"/>
      <c r="H2206" s="583" t="n"/>
      <c r="I2206" s="510" t="n"/>
    </row>
    <row r="2207" ht="19.95" customFormat="1" customHeight="1" s="511">
      <c r="A2207" s="277" t="n"/>
      <c r="B2207" s="285" t="n"/>
      <c r="C2207" s="579" t="n"/>
      <c r="D2207" s="580" t="n"/>
      <c r="E2207" s="581" t="n"/>
      <c r="F2207" s="577" t="n"/>
      <c r="G2207" s="582" t="n"/>
      <c r="H2207" s="583" t="n"/>
      <c r="I2207" s="510" t="n"/>
    </row>
    <row r="2208" ht="19.95" customFormat="1" customHeight="1" s="511">
      <c r="A2208" s="277" t="n"/>
      <c r="B2208" s="285" t="n"/>
      <c r="C2208" s="579" t="n"/>
      <c r="D2208" s="580" t="n"/>
      <c r="E2208" s="581" t="n"/>
      <c r="F2208" s="577" t="n"/>
      <c r="G2208" s="582" t="n"/>
      <c r="H2208" s="583" t="n"/>
      <c r="I2208" s="510" t="n"/>
    </row>
    <row r="2209" ht="19.95" customFormat="1" customHeight="1" s="511">
      <c r="A2209" s="277" t="n"/>
      <c r="B2209" s="285" t="n"/>
      <c r="C2209" s="579" t="n"/>
      <c r="D2209" s="580" t="n"/>
      <c r="E2209" s="581" t="n"/>
      <c r="F2209" s="577" t="n"/>
      <c r="G2209" s="582" t="n"/>
      <c r="H2209" s="583" t="n"/>
      <c r="I2209" s="510" t="n"/>
    </row>
    <row r="2210" ht="19.95" customFormat="1" customHeight="1" s="511">
      <c r="A2210" s="277" t="n"/>
      <c r="B2210" s="285" t="n"/>
      <c r="C2210" s="579" t="n"/>
      <c r="D2210" s="580" t="n"/>
      <c r="E2210" s="581" t="n"/>
      <c r="F2210" s="577" t="n"/>
      <c r="G2210" s="582" t="n"/>
      <c r="H2210" s="583" t="n"/>
      <c r="I2210" s="510" t="n"/>
    </row>
    <row r="2211" ht="19.95" customFormat="1" customHeight="1" s="511">
      <c r="A2211" s="277" t="n"/>
      <c r="B2211" s="285" t="n"/>
      <c r="C2211" s="579" t="n"/>
      <c r="D2211" s="580" t="n"/>
      <c r="E2211" s="581" t="n"/>
      <c r="F2211" s="577" t="n"/>
      <c r="G2211" s="582" t="n"/>
      <c r="H2211" s="583" t="n"/>
      <c r="I2211" s="510" t="n"/>
    </row>
    <row r="2212" ht="19.95" customFormat="1" customHeight="1" s="511">
      <c r="A2212" s="277" t="n"/>
      <c r="B2212" s="285" t="n"/>
      <c r="C2212" s="579" t="n"/>
      <c r="D2212" s="580" t="n"/>
      <c r="E2212" s="581" t="n"/>
      <c r="F2212" s="577" t="n"/>
      <c r="G2212" s="582" t="n"/>
      <c r="H2212" s="583" t="n"/>
      <c r="I2212" s="510" t="n"/>
    </row>
    <row r="2213" ht="19.95" customFormat="1" customHeight="1" s="511">
      <c r="A2213" s="277" t="n"/>
      <c r="B2213" s="285" t="n"/>
      <c r="C2213" s="579" t="n"/>
      <c r="D2213" s="580" t="n"/>
      <c r="E2213" s="581" t="n"/>
      <c r="F2213" s="577" t="n"/>
      <c r="G2213" s="582" t="n"/>
      <c r="H2213" s="583" t="n"/>
      <c r="I2213" s="510" t="n"/>
    </row>
    <row r="2214" ht="19.95" customFormat="1" customHeight="1" s="511">
      <c r="A2214" s="277" t="n"/>
      <c r="B2214" s="285" t="n"/>
      <c r="C2214" s="579" t="n"/>
      <c r="D2214" s="580" t="n"/>
      <c r="E2214" s="581" t="n"/>
      <c r="F2214" s="577" t="n"/>
      <c r="G2214" s="582" t="n"/>
      <c r="H2214" s="583" t="n"/>
      <c r="I2214" s="510" t="n"/>
    </row>
    <row r="2215" ht="19.95" customFormat="1" customHeight="1" s="511">
      <c r="A2215" s="277" t="n"/>
      <c r="B2215" s="285" t="n"/>
      <c r="C2215" s="579" t="n"/>
      <c r="D2215" s="580" t="n"/>
      <c r="E2215" s="581" t="n"/>
      <c r="F2215" s="577" t="n"/>
      <c r="G2215" s="582" t="n"/>
      <c r="H2215" s="583" t="n"/>
      <c r="I2215" s="510" t="n"/>
    </row>
    <row r="2216" ht="19.95" customFormat="1" customHeight="1" s="511">
      <c r="A2216" s="277" t="n"/>
      <c r="B2216" s="285" t="n"/>
      <c r="C2216" s="579" t="n"/>
      <c r="D2216" s="580" t="n"/>
      <c r="E2216" s="581" t="n"/>
      <c r="F2216" s="577" t="n"/>
      <c r="G2216" s="582" t="n"/>
      <c r="H2216" s="583" t="n"/>
      <c r="I2216" s="510" t="n"/>
    </row>
    <row r="2217" ht="19.95" customFormat="1" customHeight="1" s="511">
      <c r="A2217" s="277" t="n"/>
      <c r="B2217" s="285" t="n"/>
      <c r="C2217" s="579" t="n"/>
      <c r="D2217" s="580" t="n"/>
      <c r="E2217" s="581" t="n"/>
      <c r="F2217" s="577" t="n"/>
      <c r="G2217" s="582" t="n"/>
      <c r="H2217" s="583" t="n"/>
      <c r="I2217" s="510" t="n"/>
    </row>
    <row r="2218" ht="19.95" customFormat="1" customHeight="1" s="511">
      <c r="A2218" s="277" t="n"/>
      <c r="B2218" s="285" t="n"/>
      <c r="C2218" s="579" t="n"/>
      <c r="D2218" s="580" t="n"/>
      <c r="E2218" s="581" t="n"/>
      <c r="F2218" s="577" t="n"/>
      <c r="G2218" s="582" t="n"/>
      <c r="H2218" s="583" t="n"/>
      <c r="I2218" s="510" t="n"/>
    </row>
    <row r="2219" ht="19.95" customFormat="1" customHeight="1" s="511">
      <c r="A2219" s="277" t="n"/>
      <c r="B2219" s="285" t="n"/>
      <c r="C2219" s="579" t="n"/>
      <c r="D2219" s="580" t="n"/>
      <c r="E2219" s="581" t="n"/>
      <c r="F2219" s="577" t="n"/>
      <c r="G2219" s="582" t="n"/>
      <c r="H2219" s="583" t="n"/>
      <c r="I2219" s="510" t="n"/>
    </row>
    <row r="2220" ht="19.95" customFormat="1" customHeight="1" s="511">
      <c r="A2220" s="277" t="n"/>
      <c r="B2220" s="285" t="n"/>
      <c r="C2220" s="579" t="n"/>
      <c r="D2220" s="580" t="n"/>
      <c r="E2220" s="581" t="n"/>
      <c r="F2220" s="577" t="n"/>
      <c r="G2220" s="582" t="n"/>
      <c r="H2220" s="583" t="n"/>
      <c r="I2220" s="510" t="n"/>
    </row>
    <row r="2221" ht="19.95" customFormat="1" customHeight="1" s="511">
      <c r="A2221" s="277" t="n"/>
      <c r="B2221" s="285" t="n"/>
      <c r="C2221" s="579" t="n"/>
      <c r="D2221" s="580" t="n"/>
      <c r="E2221" s="581" t="n"/>
      <c r="F2221" s="577" t="n"/>
      <c r="G2221" s="582" t="n"/>
      <c r="H2221" s="583" t="n"/>
      <c r="I2221" s="510" t="n"/>
    </row>
    <row r="2222" ht="19.95" customFormat="1" customHeight="1" s="511">
      <c r="A2222" s="277" t="n"/>
      <c r="B2222" s="285" t="n"/>
      <c r="C2222" s="579" t="n"/>
      <c r="D2222" s="580" t="n"/>
      <c r="E2222" s="581" t="n"/>
      <c r="F2222" s="577" t="n"/>
      <c r="G2222" s="582" t="n"/>
      <c r="H2222" s="583" t="n"/>
      <c r="I2222" s="510" t="n"/>
    </row>
    <row r="2223" ht="19.95" customFormat="1" customHeight="1" s="511">
      <c r="A2223" s="277" t="n"/>
      <c r="B2223" s="285" t="n"/>
      <c r="C2223" s="579" t="n"/>
      <c r="D2223" s="580" t="n"/>
      <c r="E2223" s="581" t="n"/>
      <c r="F2223" s="577" t="n"/>
      <c r="G2223" s="582" t="n"/>
      <c r="H2223" s="583" t="n"/>
      <c r="I2223" s="510" t="n"/>
    </row>
    <row r="2224" ht="19.95" customFormat="1" customHeight="1" s="511">
      <c r="A2224" s="277" t="n"/>
      <c r="B2224" s="285" t="n"/>
      <c r="C2224" s="579" t="n"/>
      <c r="D2224" s="580" t="n"/>
      <c r="E2224" s="581" t="n"/>
      <c r="F2224" s="577" t="n"/>
      <c r="G2224" s="582" t="n"/>
      <c r="H2224" s="583" t="n"/>
      <c r="I2224" s="510" t="n"/>
    </row>
    <row r="2225" ht="19.95" customFormat="1" customHeight="1" s="511">
      <c r="A2225" s="277" t="n"/>
      <c r="B2225" s="285" t="n"/>
      <c r="C2225" s="579" t="n"/>
      <c r="D2225" s="580" t="n"/>
      <c r="E2225" s="581" t="n"/>
      <c r="F2225" s="577" t="n"/>
      <c r="G2225" s="582" t="n"/>
      <c r="H2225" s="583" t="n"/>
      <c r="I2225" s="510" t="n"/>
    </row>
    <row r="2226" ht="19.95" customFormat="1" customHeight="1" s="511">
      <c r="A2226" s="277" t="n"/>
      <c r="B2226" s="285" t="n"/>
      <c r="C2226" s="579" t="n"/>
      <c r="D2226" s="580" t="n"/>
      <c r="E2226" s="581" t="n"/>
      <c r="F2226" s="577" t="n"/>
      <c r="G2226" s="582" t="n"/>
      <c r="H2226" s="583" t="n"/>
      <c r="I2226" s="510" t="n"/>
    </row>
    <row r="2227" ht="19.95" customFormat="1" customHeight="1" s="511">
      <c r="A2227" s="277" t="n"/>
      <c r="B2227" s="285" t="n"/>
      <c r="C2227" s="579" t="n"/>
      <c r="D2227" s="580" t="n"/>
      <c r="E2227" s="581" t="n"/>
      <c r="F2227" s="577" t="n"/>
      <c r="G2227" s="582" t="n"/>
      <c r="H2227" s="583" t="n"/>
      <c r="I2227" s="510" t="n"/>
    </row>
    <row r="2228" ht="19.95" customFormat="1" customHeight="1" s="511">
      <c r="A2228" s="277" t="n"/>
      <c r="B2228" s="285" t="n"/>
      <c r="C2228" s="579" t="n"/>
      <c r="D2228" s="580" t="n"/>
      <c r="E2228" s="581" t="n"/>
      <c r="F2228" s="577" t="n"/>
      <c r="G2228" s="582" t="n"/>
      <c r="H2228" s="583" t="n"/>
      <c r="I2228" s="510" t="n"/>
    </row>
    <row r="2229" ht="19.95" customFormat="1" customHeight="1" s="511">
      <c r="A2229" s="277" t="n"/>
      <c r="B2229" s="285" t="n"/>
      <c r="C2229" s="579" t="n"/>
      <c r="D2229" s="580" t="n"/>
      <c r="E2229" s="581" t="n"/>
      <c r="F2229" s="577" t="n"/>
      <c r="G2229" s="582" t="n"/>
      <c r="H2229" s="583" t="n"/>
      <c r="I2229" s="510" t="n"/>
    </row>
    <row r="2230" ht="19.95" customFormat="1" customHeight="1" s="511">
      <c r="A2230" s="277" t="n"/>
      <c r="B2230" s="285" t="n"/>
      <c r="C2230" s="579" t="n"/>
      <c r="D2230" s="580" t="n"/>
      <c r="E2230" s="581" t="n"/>
      <c r="F2230" s="577" t="n"/>
      <c r="G2230" s="582" t="n"/>
      <c r="H2230" s="583" t="n"/>
      <c r="I2230" s="510" t="n"/>
    </row>
    <row r="2231" ht="19.95" customFormat="1" customHeight="1" s="511">
      <c r="A2231" s="277" t="n"/>
      <c r="B2231" s="285" t="n"/>
      <c r="C2231" s="579" t="n"/>
      <c r="D2231" s="580" t="n"/>
      <c r="E2231" s="581" t="n"/>
      <c r="F2231" s="577" t="n"/>
      <c r="G2231" s="582" t="n"/>
      <c r="H2231" s="583" t="n"/>
      <c r="I2231" s="510" t="n"/>
    </row>
    <row r="2232" ht="19.95" customFormat="1" customHeight="1" s="511">
      <c r="A2232" s="277" t="n"/>
      <c r="B2232" s="285" t="n"/>
      <c r="C2232" s="579" t="n"/>
      <c r="D2232" s="580" t="n"/>
      <c r="E2232" s="581" t="n"/>
      <c r="F2232" s="577" t="n"/>
      <c r="G2232" s="582" t="n"/>
      <c r="H2232" s="583" t="n"/>
      <c r="I2232" s="510" t="n"/>
    </row>
    <row r="2233" ht="19.95" customFormat="1" customHeight="1" s="511">
      <c r="A2233" s="277" t="n"/>
      <c r="B2233" s="285" t="n"/>
      <c r="C2233" s="579" t="n"/>
      <c r="D2233" s="580" t="n"/>
      <c r="E2233" s="581" t="n"/>
      <c r="F2233" s="577" t="n"/>
      <c r="G2233" s="582" t="n"/>
      <c r="H2233" s="583" t="n"/>
      <c r="I2233" s="510" t="n"/>
    </row>
    <row r="2234" ht="19.95" customFormat="1" customHeight="1" s="511">
      <c r="A2234" s="277" t="n"/>
      <c r="B2234" s="285" t="n"/>
      <c r="C2234" s="579" t="n"/>
      <c r="D2234" s="580" t="n"/>
      <c r="E2234" s="581" t="n"/>
      <c r="F2234" s="577" t="n"/>
      <c r="G2234" s="582" t="n"/>
      <c r="H2234" s="583" t="n"/>
      <c r="I2234" s="510" t="n"/>
    </row>
    <row r="2235" ht="19.95" customFormat="1" customHeight="1" s="511">
      <c r="A2235" s="277" t="n"/>
      <c r="B2235" s="285" t="n"/>
      <c r="C2235" s="579" t="n"/>
      <c r="D2235" s="580" t="n"/>
      <c r="E2235" s="581" t="n"/>
      <c r="F2235" s="577" t="n"/>
      <c r="G2235" s="582" t="n"/>
      <c r="H2235" s="583" t="n"/>
      <c r="I2235" s="510" t="n"/>
    </row>
    <row r="2236" ht="19.95" customFormat="1" customHeight="1" s="511">
      <c r="A2236" s="277" t="n"/>
      <c r="B2236" s="285" t="n"/>
      <c r="C2236" s="579" t="n"/>
      <c r="D2236" s="580" t="n"/>
      <c r="E2236" s="581" t="n"/>
      <c r="F2236" s="577" t="n"/>
      <c r="G2236" s="582" t="n"/>
      <c r="H2236" s="583" t="n"/>
      <c r="I2236" s="510" t="n"/>
    </row>
    <row r="2237" ht="19.95" customFormat="1" customHeight="1" s="511">
      <c r="A2237" s="277" t="n"/>
      <c r="B2237" s="285" t="n"/>
      <c r="C2237" s="579" t="n"/>
      <c r="D2237" s="580" t="n"/>
      <c r="E2237" s="581" t="n"/>
      <c r="F2237" s="577" t="n"/>
      <c r="G2237" s="582" t="n"/>
      <c r="H2237" s="583" t="n"/>
      <c r="I2237" s="510" t="n"/>
    </row>
    <row r="2238" ht="19.95" customFormat="1" customHeight="1" s="511">
      <c r="A2238" s="277" t="n"/>
      <c r="B2238" s="285" t="n"/>
      <c r="C2238" s="579" t="n"/>
      <c r="D2238" s="580" t="n"/>
      <c r="E2238" s="581" t="n"/>
      <c r="F2238" s="577" t="n"/>
      <c r="G2238" s="582" t="n"/>
      <c r="H2238" s="583" t="n"/>
      <c r="I2238" s="510" t="n"/>
    </row>
    <row r="2239" ht="19.95" customFormat="1" customHeight="1" s="511">
      <c r="A2239" s="277" t="n"/>
      <c r="B2239" s="285" t="n"/>
      <c r="C2239" s="579" t="n"/>
      <c r="D2239" s="580" t="n"/>
      <c r="E2239" s="581" t="n"/>
      <c r="F2239" s="577" t="n"/>
      <c r="G2239" s="582" t="n"/>
      <c r="H2239" s="583" t="n"/>
      <c r="I2239" s="510" t="n"/>
    </row>
    <row r="2240" ht="19.95" customFormat="1" customHeight="1" s="511">
      <c r="A2240" s="277" t="n"/>
      <c r="B2240" s="285" t="n"/>
      <c r="C2240" s="579" t="n"/>
      <c r="D2240" s="580" t="n"/>
      <c r="E2240" s="581" t="n"/>
      <c r="F2240" s="577" t="n"/>
      <c r="G2240" s="582" t="n"/>
      <c r="H2240" s="583" t="n"/>
      <c r="I2240" s="510" t="n"/>
    </row>
    <row r="2241" ht="19.95" customFormat="1" customHeight="1" s="511">
      <c r="A2241" s="277" t="n"/>
      <c r="B2241" s="285" t="n"/>
      <c r="C2241" s="579" t="n"/>
      <c r="D2241" s="580" t="n"/>
      <c r="E2241" s="581" t="n"/>
      <c r="F2241" s="577" t="n"/>
      <c r="G2241" s="582" t="n"/>
      <c r="H2241" s="583" t="n"/>
      <c r="I2241" s="510" t="n"/>
    </row>
    <row r="2242" ht="19.95" customFormat="1" customHeight="1" s="511">
      <c r="A2242" s="277" t="n"/>
      <c r="B2242" s="285" t="n"/>
      <c r="C2242" s="579" t="n"/>
      <c r="D2242" s="580" t="n"/>
      <c r="E2242" s="581" t="n"/>
      <c r="F2242" s="577" t="n"/>
      <c r="G2242" s="582" t="n"/>
      <c r="H2242" s="583" t="n"/>
      <c r="I2242" s="510" t="n"/>
    </row>
    <row r="2243" ht="19.95" customFormat="1" customHeight="1" s="511">
      <c r="A2243" s="277" t="n"/>
      <c r="B2243" s="285" t="n"/>
      <c r="C2243" s="579" t="n"/>
      <c r="D2243" s="580" t="n"/>
      <c r="E2243" s="581" t="n"/>
      <c r="F2243" s="577" t="n"/>
      <c r="G2243" s="582" t="n"/>
      <c r="H2243" s="583" t="n"/>
      <c r="I2243" s="510" t="n"/>
    </row>
    <row r="2244" ht="19.95" customFormat="1" customHeight="1" s="511">
      <c r="A2244" s="277" t="n"/>
      <c r="B2244" s="285" t="n"/>
      <c r="C2244" s="579" t="n"/>
      <c r="D2244" s="580" t="n"/>
      <c r="E2244" s="581" t="n"/>
      <c r="F2244" s="577" t="n"/>
      <c r="G2244" s="582" t="n"/>
      <c r="H2244" s="583" t="n"/>
      <c r="I2244" s="510" t="n"/>
    </row>
    <row r="2245" ht="19.95" customFormat="1" customHeight="1" s="511">
      <c r="A2245" s="277" t="n"/>
      <c r="B2245" s="285" t="n"/>
      <c r="C2245" s="579" t="n"/>
      <c r="D2245" s="580" t="n"/>
      <c r="E2245" s="581" t="n"/>
      <c r="F2245" s="577" t="n"/>
      <c r="G2245" s="582" t="n"/>
      <c r="H2245" s="583" t="n"/>
      <c r="I2245" s="510" t="n"/>
    </row>
    <row r="2246" ht="19.95" customFormat="1" customHeight="1" s="511">
      <c r="A2246" s="277" t="n"/>
      <c r="B2246" s="285" t="n"/>
      <c r="C2246" s="579" t="n"/>
      <c r="D2246" s="580" t="n"/>
      <c r="E2246" s="581" t="n"/>
      <c r="F2246" s="577" t="n"/>
      <c r="G2246" s="582" t="n"/>
      <c r="H2246" s="583" t="n"/>
      <c r="I2246" s="510" t="n"/>
    </row>
    <row r="2247" ht="19.95" customFormat="1" customHeight="1" s="511">
      <c r="A2247" s="277" t="n"/>
      <c r="B2247" s="285" t="n"/>
      <c r="C2247" s="579" t="n"/>
      <c r="D2247" s="580" t="n"/>
      <c r="E2247" s="581" t="n"/>
      <c r="F2247" s="577" t="n"/>
      <c r="G2247" s="582" t="n"/>
      <c r="H2247" s="583" t="n"/>
      <c r="I2247" s="510" t="n"/>
    </row>
    <row r="2248" ht="19.95" customFormat="1" customHeight="1" s="511">
      <c r="A2248" s="277" t="n"/>
      <c r="B2248" s="285" t="n"/>
      <c r="C2248" s="579" t="n"/>
      <c r="D2248" s="580" t="n"/>
      <c r="E2248" s="581" t="n"/>
      <c r="F2248" s="577" t="n"/>
      <c r="G2248" s="582" t="n"/>
      <c r="H2248" s="583" t="n"/>
      <c r="I2248" s="510" t="n"/>
    </row>
    <row r="2249" ht="19.95" customFormat="1" customHeight="1" s="511">
      <c r="A2249" s="277" t="n"/>
      <c r="B2249" s="285" t="n"/>
      <c r="C2249" s="579" t="n"/>
      <c r="D2249" s="580" t="n"/>
      <c r="E2249" s="581" t="n"/>
      <c r="F2249" s="577" t="n"/>
      <c r="G2249" s="582" t="n"/>
      <c r="H2249" s="583" t="n"/>
      <c r="I2249" s="510" t="n"/>
    </row>
    <row r="2250" ht="19.95" customFormat="1" customHeight="1" s="511">
      <c r="A2250" s="277" t="n"/>
      <c r="B2250" s="285" t="n"/>
      <c r="C2250" s="579" t="n"/>
      <c r="D2250" s="580" t="n"/>
      <c r="E2250" s="581" t="n"/>
      <c r="F2250" s="577" t="n"/>
      <c r="G2250" s="582" t="n"/>
      <c r="H2250" s="583" t="n"/>
      <c r="I2250" s="510" t="n"/>
    </row>
    <row r="2251" ht="19.95" customFormat="1" customHeight="1" s="511">
      <c r="A2251" s="277" t="n"/>
      <c r="B2251" s="285" t="n"/>
      <c r="C2251" s="579" t="n"/>
      <c r="D2251" s="580" t="n"/>
      <c r="E2251" s="581" t="n"/>
      <c r="F2251" s="577" t="n"/>
      <c r="G2251" s="582" t="n"/>
      <c r="H2251" s="583" t="n"/>
      <c r="I2251" s="510" t="n"/>
    </row>
    <row r="2252" ht="19.95" customFormat="1" customHeight="1" s="511">
      <c r="A2252" s="277" t="n"/>
      <c r="B2252" s="285" t="n"/>
      <c r="C2252" s="579" t="n"/>
      <c r="D2252" s="580" t="n"/>
      <c r="E2252" s="581" t="n"/>
      <c r="F2252" s="577" t="n"/>
      <c r="G2252" s="582" t="n"/>
      <c r="H2252" s="583" t="n"/>
      <c r="I2252" s="510" t="n"/>
    </row>
    <row r="2253" ht="19.95" customFormat="1" customHeight="1" s="511">
      <c r="A2253" s="277" t="n"/>
      <c r="B2253" s="285" t="n"/>
      <c r="C2253" s="579" t="n"/>
      <c r="D2253" s="580" t="n"/>
      <c r="E2253" s="581" t="n"/>
      <c r="F2253" s="577" t="n"/>
      <c r="G2253" s="582" t="n"/>
      <c r="H2253" s="583" t="n"/>
      <c r="I2253" s="510" t="n"/>
    </row>
    <row r="2254" ht="19.95" customFormat="1" customHeight="1" s="511">
      <c r="A2254" s="277" t="n"/>
      <c r="B2254" s="285" t="n"/>
      <c r="C2254" s="579" t="n"/>
      <c r="D2254" s="580" t="n"/>
      <c r="E2254" s="581" t="n"/>
      <c r="F2254" s="577" t="n"/>
      <c r="G2254" s="582" t="n"/>
      <c r="H2254" s="583" t="n"/>
      <c r="I2254" s="510" t="n"/>
    </row>
    <row r="2255" ht="19.95" customFormat="1" customHeight="1" s="511">
      <c r="A2255" s="277" t="n"/>
      <c r="B2255" s="285" t="n"/>
      <c r="C2255" s="579" t="n"/>
      <c r="D2255" s="580" t="n"/>
      <c r="E2255" s="581" t="n"/>
      <c r="F2255" s="577" t="n"/>
      <c r="G2255" s="582" t="n"/>
      <c r="H2255" s="583" t="n"/>
      <c r="I2255" s="510" t="n"/>
    </row>
    <row r="2256" ht="19.95" customFormat="1" customHeight="1" s="511">
      <c r="A2256" s="277" t="n"/>
      <c r="B2256" s="285" t="n"/>
      <c r="C2256" s="579" t="n"/>
      <c r="D2256" s="580" t="n"/>
      <c r="E2256" s="581" t="n"/>
      <c r="F2256" s="577" t="n"/>
      <c r="G2256" s="582" t="n"/>
      <c r="H2256" s="583" t="n"/>
      <c r="I2256" s="510" t="n"/>
    </row>
    <row r="2257" ht="19.95" customFormat="1" customHeight="1" s="511">
      <c r="A2257" s="277" t="n"/>
      <c r="B2257" s="285" t="n"/>
      <c r="C2257" s="579" t="n"/>
      <c r="D2257" s="580" t="n"/>
      <c r="E2257" s="581" t="n"/>
      <c r="F2257" s="577" t="n"/>
      <c r="G2257" s="582" t="n"/>
      <c r="H2257" s="583" t="n"/>
      <c r="I2257" s="510" t="n"/>
    </row>
    <row r="2258" ht="19.95" customFormat="1" customHeight="1" s="511">
      <c r="A2258" s="277" t="n"/>
      <c r="B2258" s="285" t="n"/>
      <c r="C2258" s="579" t="n"/>
      <c r="D2258" s="580" t="n"/>
      <c r="E2258" s="581" t="n"/>
      <c r="F2258" s="577" t="n"/>
      <c r="G2258" s="582" t="n"/>
      <c r="H2258" s="583" t="n"/>
      <c r="I2258" s="510" t="n"/>
    </row>
    <row r="2259" ht="19.95" customFormat="1" customHeight="1" s="511">
      <c r="A2259" s="277" t="n"/>
      <c r="B2259" s="285" t="n"/>
      <c r="C2259" s="579" t="n"/>
      <c r="D2259" s="580" t="n"/>
      <c r="E2259" s="581" t="n"/>
      <c r="F2259" s="577" t="n"/>
      <c r="G2259" s="582" t="n"/>
      <c r="H2259" s="583" t="n"/>
      <c r="I2259" s="510" t="n"/>
    </row>
    <row r="2260" ht="19.95" customFormat="1" customHeight="1" s="511">
      <c r="A2260" s="277" t="n"/>
      <c r="B2260" s="285" t="n"/>
      <c r="C2260" s="579" t="n"/>
      <c r="D2260" s="580" t="n"/>
      <c r="E2260" s="581" t="n"/>
      <c r="F2260" s="577" t="n"/>
      <c r="G2260" s="582" t="n"/>
      <c r="H2260" s="583" t="n"/>
      <c r="I2260" s="510" t="n"/>
    </row>
    <row r="2261" ht="19.95" customFormat="1" customHeight="1" s="511">
      <c r="A2261" s="277" t="n"/>
      <c r="B2261" s="285" t="n"/>
      <c r="C2261" s="579" t="n"/>
      <c r="D2261" s="580" t="n"/>
      <c r="E2261" s="581" t="n"/>
      <c r="F2261" s="577" t="n"/>
      <c r="G2261" s="582" t="n"/>
      <c r="H2261" s="583" t="n"/>
      <c r="I2261" s="510" t="n"/>
    </row>
    <row r="2262" ht="19.95" customFormat="1" customHeight="1" s="511">
      <c r="A2262" s="277" t="n"/>
      <c r="B2262" s="285" t="n"/>
      <c r="C2262" s="579" t="n"/>
      <c r="D2262" s="580" t="n"/>
      <c r="E2262" s="581" t="n"/>
      <c r="F2262" s="577" t="n"/>
      <c r="G2262" s="582" t="n"/>
      <c r="H2262" s="583" t="n"/>
      <c r="I2262" s="510" t="n"/>
    </row>
    <row r="2263" ht="19.95" customFormat="1" customHeight="1" s="511">
      <c r="A2263" s="277" t="n"/>
      <c r="B2263" s="285" t="n"/>
      <c r="C2263" s="579" t="n"/>
      <c r="D2263" s="580" t="n"/>
      <c r="E2263" s="581" t="n"/>
      <c r="F2263" s="577" t="n"/>
      <c r="G2263" s="582" t="n"/>
      <c r="H2263" s="583" t="n"/>
      <c r="I2263" s="510" t="n"/>
    </row>
    <row r="2264" ht="19.95" customFormat="1" customHeight="1" s="511">
      <c r="A2264" s="277" t="n"/>
      <c r="B2264" s="285" t="n"/>
      <c r="C2264" s="579" t="n"/>
      <c r="D2264" s="580" t="n"/>
      <c r="E2264" s="581" t="n"/>
      <c r="F2264" s="577" t="n"/>
      <c r="G2264" s="582" t="n"/>
      <c r="H2264" s="583" t="n"/>
      <c r="I2264" s="510" t="n"/>
    </row>
    <row r="2265" ht="19.95" customFormat="1" customHeight="1" s="511">
      <c r="A2265" s="277" t="n"/>
      <c r="B2265" s="285" t="n"/>
      <c r="C2265" s="579" t="n"/>
      <c r="D2265" s="580" t="n"/>
      <c r="E2265" s="581" t="n"/>
      <c r="F2265" s="577" t="n"/>
      <c r="G2265" s="582" t="n"/>
      <c r="H2265" s="583" t="n"/>
      <c r="I2265" s="510" t="n"/>
    </row>
    <row r="2266" ht="19.95" customFormat="1" customHeight="1" s="511">
      <c r="A2266" s="277" t="n"/>
      <c r="B2266" s="285" t="n"/>
      <c r="C2266" s="579" t="n"/>
      <c r="D2266" s="580" t="n"/>
      <c r="E2266" s="581" t="n"/>
      <c r="F2266" s="577" t="n"/>
      <c r="G2266" s="582" t="n"/>
      <c r="H2266" s="583" t="n"/>
      <c r="I2266" s="510" t="n"/>
    </row>
    <row r="2267" ht="19.95" customFormat="1" customHeight="1" s="511">
      <c r="A2267" s="277" t="n"/>
      <c r="B2267" s="285" t="n"/>
      <c r="C2267" s="579" t="n"/>
      <c r="D2267" s="580" t="n"/>
      <c r="E2267" s="581" t="n"/>
      <c r="F2267" s="577" t="n"/>
      <c r="G2267" s="582" t="n"/>
      <c r="H2267" s="583" t="n"/>
      <c r="I2267" s="510" t="n"/>
    </row>
    <row r="2268" ht="19.95" customFormat="1" customHeight="1" s="511">
      <c r="A2268" s="277" t="n"/>
      <c r="B2268" s="285" t="n"/>
      <c r="C2268" s="579" t="n"/>
      <c r="D2268" s="580" t="n"/>
      <c r="E2268" s="581" t="n"/>
      <c r="F2268" s="577" t="n"/>
      <c r="G2268" s="582" t="n"/>
      <c r="H2268" s="583" t="n"/>
      <c r="I2268" s="510" t="n"/>
    </row>
    <row r="2269" ht="19.95" customFormat="1" customHeight="1" s="511">
      <c r="A2269" s="277" t="n"/>
      <c r="B2269" s="285" t="n"/>
      <c r="C2269" s="579" t="n"/>
      <c r="D2269" s="580" t="n"/>
      <c r="E2269" s="581" t="n"/>
      <c r="F2269" s="577" t="n"/>
      <c r="G2269" s="582" t="n"/>
      <c r="H2269" s="583" t="n"/>
      <c r="I2269" s="510" t="n"/>
    </row>
    <row r="2270" ht="19.95" customFormat="1" customHeight="1" s="511">
      <c r="A2270" s="277" t="n"/>
      <c r="B2270" s="285" t="n"/>
      <c r="C2270" s="579" t="n"/>
      <c r="D2270" s="580" t="n"/>
      <c r="E2270" s="581" t="n"/>
      <c r="F2270" s="577" t="n"/>
      <c r="G2270" s="582" t="n"/>
      <c r="H2270" s="583" t="n"/>
      <c r="I2270" s="510" t="n"/>
    </row>
    <row r="2271" ht="19.95" customFormat="1" customHeight="1" s="511">
      <c r="A2271" s="277" t="n"/>
      <c r="B2271" s="285" t="n"/>
      <c r="C2271" s="579" t="n"/>
      <c r="D2271" s="580" t="n"/>
      <c r="E2271" s="581" t="n"/>
      <c r="F2271" s="577" t="n"/>
      <c r="G2271" s="582" t="n"/>
      <c r="H2271" s="583" t="n"/>
      <c r="I2271" s="510" t="n"/>
    </row>
    <row r="2272" ht="19.95" customFormat="1" customHeight="1" s="511">
      <c r="A2272" s="277" t="n"/>
      <c r="B2272" s="285" t="n"/>
      <c r="C2272" s="579" t="n"/>
      <c r="D2272" s="580" t="n"/>
      <c r="E2272" s="581" t="n"/>
      <c r="F2272" s="577" t="n"/>
      <c r="G2272" s="582" t="n"/>
      <c r="H2272" s="583" t="n"/>
      <c r="I2272" s="510" t="n"/>
    </row>
    <row r="2273" ht="19.95" customFormat="1" customHeight="1" s="511">
      <c r="A2273" s="277" t="n"/>
      <c r="B2273" s="285" t="n"/>
      <c r="C2273" s="579" t="n"/>
      <c r="D2273" s="580" t="n"/>
      <c r="E2273" s="581" t="n"/>
      <c r="F2273" s="577" t="n"/>
      <c r="G2273" s="582" t="n"/>
      <c r="H2273" s="583" t="n"/>
      <c r="I2273" s="510" t="n"/>
    </row>
    <row r="2274" ht="19.95" customFormat="1" customHeight="1" s="511">
      <c r="A2274" s="277" t="n"/>
      <c r="B2274" s="285" t="n"/>
      <c r="C2274" s="579" t="n"/>
      <c r="D2274" s="580" t="n"/>
      <c r="E2274" s="581" t="n"/>
      <c r="F2274" s="577" t="n"/>
      <c r="G2274" s="582" t="n"/>
      <c r="H2274" s="583" t="n"/>
      <c r="I2274" s="510" t="n"/>
    </row>
    <row r="2275" ht="19.95" customFormat="1" customHeight="1" s="511">
      <c r="A2275" s="277" t="n"/>
      <c r="B2275" s="285" t="n"/>
      <c r="C2275" s="579" t="n"/>
      <c r="D2275" s="580" t="n"/>
      <c r="E2275" s="581" t="n"/>
      <c r="F2275" s="577" t="n"/>
      <c r="G2275" s="582" t="n"/>
      <c r="H2275" s="583" t="n"/>
      <c r="I2275" s="510" t="n"/>
    </row>
    <row r="2276" ht="19.95" customFormat="1" customHeight="1" s="511">
      <c r="A2276" s="277" t="n"/>
      <c r="B2276" s="285" t="n"/>
      <c r="C2276" s="579" t="n"/>
      <c r="D2276" s="580" t="n"/>
      <c r="E2276" s="581" t="n"/>
      <c r="F2276" s="577" t="n"/>
      <c r="G2276" s="582" t="n"/>
      <c r="H2276" s="583" t="n"/>
      <c r="I2276" s="510" t="n"/>
    </row>
    <row r="2277" ht="19.95" customFormat="1" customHeight="1" s="511">
      <c r="A2277" s="277" t="n"/>
      <c r="B2277" s="285" t="n"/>
      <c r="C2277" s="579" t="n"/>
      <c r="D2277" s="580" t="n"/>
      <c r="E2277" s="581" t="n"/>
      <c r="F2277" s="577" t="n"/>
      <c r="G2277" s="582" t="n"/>
      <c r="H2277" s="583" t="n"/>
      <c r="I2277" s="510" t="n"/>
    </row>
    <row r="2278" ht="19.95" customFormat="1" customHeight="1" s="511">
      <c r="A2278" s="277" t="n"/>
      <c r="B2278" s="285" t="n"/>
      <c r="C2278" s="579" t="n"/>
      <c r="D2278" s="580" t="n"/>
      <c r="E2278" s="581" t="n"/>
      <c r="F2278" s="577" t="n"/>
      <c r="G2278" s="582" t="n"/>
      <c r="H2278" s="583" t="n"/>
      <c r="I2278" s="510" t="n"/>
    </row>
    <row r="2279" ht="19.95" customFormat="1" customHeight="1" s="511">
      <c r="A2279" s="277" t="n"/>
      <c r="B2279" s="285" t="n"/>
      <c r="C2279" s="579" t="n"/>
      <c r="D2279" s="580" t="n"/>
      <c r="E2279" s="581" t="n"/>
      <c r="F2279" s="577" t="n"/>
      <c r="G2279" s="582" t="n"/>
      <c r="H2279" s="583" t="n"/>
      <c r="I2279" s="510" t="n"/>
    </row>
    <row r="2280" ht="19.95" customFormat="1" customHeight="1" s="511">
      <c r="A2280" s="277" t="n"/>
      <c r="B2280" s="285" t="n"/>
      <c r="C2280" s="579" t="n"/>
      <c r="D2280" s="580" t="n"/>
      <c r="E2280" s="581" t="n"/>
      <c r="F2280" s="577" t="n"/>
      <c r="G2280" s="582" t="n"/>
      <c r="H2280" s="583" t="n"/>
      <c r="I2280" s="510" t="n"/>
    </row>
    <row r="2281" ht="19.95" customFormat="1" customHeight="1" s="511">
      <c r="A2281" s="277" t="n"/>
      <c r="B2281" s="285" t="n"/>
      <c r="C2281" s="579" t="n"/>
      <c r="D2281" s="580" t="n"/>
      <c r="E2281" s="581" t="n"/>
      <c r="F2281" s="577" t="n"/>
      <c r="G2281" s="582" t="n"/>
      <c r="H2281" s="583" t="n"/>
      <c r="I2281" s="510" t="n"/>
    </row>
    <row r="2282" ht="19.95" customFormat="1" customHeight="1" s="511">
      <c r="A2282" s="277" t="n"/>
      <c r="B2282" s="285" t="n"/>
      <c r="C2282" s="579" t="n"/>
      <c r="D2282" s="580" t="n"/>
      <c r="E2282" s="581" t="n"/>
      <c r="F2282" s="577" t="n"/>
      <c r="G2282" s="582" t="n"/>
      <c r="H2282" s="583" t="n"/>
      <c r="I2282" s="510" t="n"/>
    </row>
    <row r="2283" ht="19.95" customFormat="1" customHeight="1" s="511">
      <c r="A2283" s="277" t="n"/>
      <c r="B2283" s="285" t="n"/>
      <c r="C2283" s="579" t="n"/>
      <c r="D2283" s="580" t="n"/>
      <c r="E2283" s="581" t="n"/>
      <c r="F2283" s="577" t="n"/>
      <c r="G2283" s="582" t="n"/>
      <c r="H2283" s="583" t="n"/>
      <c r="I2283" s="510" t="n"/>
    </row>
    <row r="2284" ht="19.95" customFormat="1" customHeight="1" s="511">
      <c r="A2284" s="277" t="n"/>
      <c r="B2284" s="285" t="n"/>
      <c r="C2284" s="579" t="n"/>
      <c r="D2284" s="580" t="n"/>
      <c r="E2284" s="581" t="n"/>
      <c r="F2284" s="577" t="n"/>
      <c r="G2284" s="582" t="n"/>
      <c r="H2284" s="583" t="n"/>
      <c r="I2284" s="510" t="n"/>
    </row>
    <row r="2285" ht="19.95" customFormat="1" customHeight="1" s="511">
      <c r="A2285" s="277" t="n"/>
      <c r="B2285" s="285" t="n"/>
      <c r="C2285" s="579" t="n"/>
      <c r="D2285" s="580" t="n"/>
      <c r="E2285" s="581" t="n"/>
      <c r="F2285" s="577" t="n"/>
      <c r="G2285" s="582" t="n"/>
      <c r="H2285" s="583" t="n"/>
      <c r="I2285" s="510" t="n"/>
    </row>
    <row r="2286" ht="19.95" customFormat="1" customHeight="1" s="511">
      <c r="A2286" s="277" t="n"/>
      <c r="B2286" s="285" t="n"/>
      <c r="C2286" s="579" t="n"/>
      <c r="D2286" s="580" t="n"/>
      <c r="E2286" s="581" t="n"/>
      <c r="F2286" s="577" t="n"/>
      <c r="G2286" s="582" t="n"/>
      <c r="H2286" s="583" t="n"/>
      <c r="I2286" s="510" t="n"/>
    </row>
    <row r="2287" ht="19.95" customFormat="1" customHeight="1" s="511">
      <c r="A2287" s="277" t="n"/>
      <c r="B2287" s="285" t="n"/>
      <c r="C2287" s="579" t="n"/>
      <c r="D2287" s="580" t="n"/>
      <c r="E2287" s="581" t="n"/>
      <c r="F2287" s="577" t="n"/>
      <c r="G2287" s="582" t="n"/>
      <c r="H2287" s="583" t="n"/>
      <c r="I2287" s="510" t="n"/>
    </row>
    <row r="2288" ht="19.95" customFormat="1" customHeight="1" s="511">
      <c r="A2288" s="277" t="n"/>
      <c r="B2288" s="285" t="n"/>
      <c r="C2288" s="579" t="n"/>
      <c r="D2288" s="580" t="n"/>
      <c r="E2288" s="581" t="n"/>
      <c r="F2288" s="577" t="n"/>
      <c r="G2288" s="582" t="n"/>
      <c r="H2288" s="583" t="n"/>
      <c r="I2288" s="510" t="n"/>
    </row>
    <row r="2289" ht="19.95" customFormat="1" customHeight="1" s="511">
      <c r="A2289" s="277" t="n"/>
      <c r="B2289" s="285" t="n"/>
      <c r="C2289" s="579" t="n"/>
      <c r="D2289" s="580" t="n"/>
      <c r="E2289" s="581" t="n"/>
      <c r="F2289" s="577" t="n"/>
      <c r="G2289" s="582" t="n"/>
      <c r="H2289" s="583" t="n"/>
      <c r="I2289" s="510" t="n"/>
    </row>
    <row r="2290" ht="19.95" customFormat="1" customHeight="1" s="511">
      <c r="A2290" s="277" t="n"/>
      <c r="B2290" s="285" t="n"/>
      <c r="C2290" s="579" t="n"/>
      <c r="D2290" s="580" t="n"/>
      <c r="E2290" s="581" t="n"/>
      <c r="F2290" s="577" t="n"/>
      <c r="G2290" s="582" t="n"/>
      <c r="H2290" s="583" t="n"/>
      <c r="I2290" s="510" t="n"/>
    </row>
    <row r="2291" ht="19.95" customFormat="1" customHeight="1" s="511">
      <c r="A2291" s="277" t="n"/>
      <c r="B2291" s="285" t="n"/>
      <c r="C2291" s="579" t="n"/>
      <c r="D2291" s="580" t="n"/>
      <c r="E2291" s="581" t="n"/>
      <c r="F2291" s="577" t="n"/>
      <c r="G2291" s="582" t="n"/>
      <c r="H2291" s="583" t="n"/>
      <c r="I2291" s="510" t="n"/>
    </row>
    <row r="2292" ht="19.95" customFormat="1" customHeight="1" s="511">
      <c r="A2292" s="277" t="n"/>
      <c r="B2292" s="285" t="n"/>
      <c r="C2292" s="579" t="n"/>
      <c r="D2292" s="580" t="n"/>
      <c r="E2292" s="581" t="n"/>
      <c r="F2292" s="577" t="n"/>
      <c r="G2292" s="582" t="n"/>
      <c r="H2292" s="583" t="n"/>
      <c r="I2292" s="510" t="n"/>
    </row>
    <row r="2293" ht="19.95" customFormat="1" customHeight="1" s="511">
      <c r="A2293" s="277" t="n"/>
      <c r="B2293" s="285" t="n"/>
      <c r="C2293" s="579" t="n"/>
      <c r="D2293" s="580" t="n"/>
      <c r="E2293" s="581" t="n"/>
      <c r="F2293" s="577" t="n"/>
      <c r="G2293" s="582" t="n"/>
      <c r="H2293" s="583" t="n"/>
      <c r="I2293" s="510" t="n"/>
    </row>
    <row r="2294" ht="19.95" customFormat="1" customHeight="1" s="511">
      <c r="A2294" s="277" t="n"/>
      <c r="B2294" s="285" t="n"/>
      <c r="C2294" s="579" t="n"/>
      <c r="D2294" s="580" t="n"/>
      <c r="E2294" s="581" t="n"/>
      <c r="F2294" s="577" t="n"/>
      <c r="G2294" s="582" t="n"/>
      <c r="H2294" s="583" t="n"/>
      <c r="I2294" s="510" t="n"/>
    </row>
    <row r="2295" ht="19.95" customFormat="1" customHeight="1" s="511">
      <c r="A2295" s="277" t="n"/>
      <c r="B2295" s="285" t="n"/>
      <c r="C2295" s="579" t="n"/>
      <c r="D2295" s="580" t="n"/>
      <c r="E2295" s="581" t="n"/>
      <c r="F2295" s="577" t="n"/>
      <c r="G2295" s="582" t="n"/>
      <c r="H2295" s="583" t="n"/>
      <c r="I2295" s="510" t="n"/>
    </row>
    <row r="2296" ht="19.95" customFormat="1" customHeight="1" s="511">
      <c r="A2296" s="277" t="n"/>
      <c r="B2296" s="285" t="n"/>
      <c r="C2296" s="579" t="n"/>
      <c r="D2296" s="580" t="n"/>
      <c r="E2296" s="581" t="n"/>
      <c r="F2296" s="577" t="n"/>
      <c r="G2296" s="582" t="n"/>
      <c r="H2296" s="583" t="n"/>
      <c r="I2296" s="510" t="n"/>
    </row>
    <row r="2297" ht="19.95" customFormat="1" customHeight="1" s="511">
      <c r="A2297" s="277" t="n"/>
      <c r="B2297" s="285" t="n"/>
      <c r="C2297" s="579" t="n"/>
      <c r="D2297" s="580" t="n"/>
      <c r="E2297" s="581" t="n"/>
      <c r="F2297" s="577" t="n"/>
      <c r="G2297" s="582" t="n"/>
      <c r="H2297" s="583" t="n"/>
      <c r="I2297" s="510" t="n"/>
    </row>
    <row r="2298" ht="19.95" customFormat="1" customHeight="1" s="511">
      <c r="A2298" s="277" t="n"/>
      <c r="B2298" s="285" t="n"/>
      <c r="C2298" s="579" t="n"/>
      <c r="D2298" s="580" t="n"/>
      <c r="E2298" s="581" t="n"/>
      <c r="F2298" s="577" t="n"/>
      <c r="G2298" s="582" t="n"/>
      <c r="H2298" s="583" t="n"/>
      <c r="I2298" s="510" t="n"/>
    </row>
    <row r="2299" ht="19.95" customFormat="1" customHeight="1" s="511">
      <c r="A2299" s="277" t="n"/>
      <c r="B2299" s="285" t="n"/>
      <c r="C2299" s="579" t="n"/>
      <c r="D2299" s="580" t="n"/>
      <c r="E2299" s="581" t="n"/>
      <c r="F2299" s="577" t="n"/>
      <c r="G2299" s="582" t="n"/>
      <c r="H2299" s="583" t="n"/>
      <c r="I2299" s="510" t="n"/>
    </row>
    <row r="2300" ht="19.95" customFormat="1" customHeight="1" s="511">
      <c r="A2300" s="277" t="n"/>
      <c r="B2300" s="285" t="n"/>
      <c r="C2300" s="579" t="n"/>
      <c r="D2300" s="580" t="n"/>
      <c r="E2300" s="581" t="n"/>
      <c r="F2300" s="577" t="n"/>
      <c r="G2300" s="582" t="n"/>
      <c r="H2300" s="583" t="n"/>
      <c r="I2300" s="510" t="n"/>
    </row>
    <row r="2301" ht="19.95" customFormat="1" customHeight="1" s="511">
      <c r="A2301" s="277" t="n"/>
      <c r="B2301" s="285" t="n"/>
      <c r="C2301" s="579" t="n"/>
      <c r="D2301" s="580" t="n"/>
      <c r="E2301" s="581" t="n"/>
      <c r="F2301" s="577" t="n"/>
      <c r="G2301" s="582" t="n"/>
      <c r="H2301" s="583" t="n"/>
      <c r="I2301" s="510" t="n"/>
    </row>
    <row r="2302" ht="19.95" customFormat="1" customHeight="1" s="511">
      <c r="A2302" s="277" t="n"/>
      <c r="B2302" s="285" t="n"/>
      <c r="C2302" s="579" t="n"/>
      <c r="D2302" s="580" t="n"/>
      <c r="E2302" s="581" t="n"/>
      <c r="F2302" s="577" t="n"/>
      <c r="G2302" s="582" t="n"/>
      <c r="H2302" s="583" t="n"/>
      <c r="I2302" s="510" t="n"/>
    </row>
    <row r="2303" ht="19.95" customFormat="1" customHeight="1" s="511">
      <c r="A2303" s="277" t="n"/>
      <c r="B2303" s="285" t="n"/>
      <c r="C2303" s="579" t="n"/>
      <c r="D2303" s="580" t="n"/>
      <c r="E2303" s="581" t="n"/>
      <c r="F2303" s="577" t="n"/>
      <c r="G2303" s="582" t="n"/>
      <c r="H2303" s="583" t="n"/>
      <c r="I2303" s="510" t="n"/>
    </row>
    <row r="2304" ht="19.95" customFormat="1" customHeight="1" s="511">
      <c r="A2304" s="277" t="n"/>
      <c r="B2304" s="285" t="n"/>
      <c r="C2304" s="579" t="n"/>
      <c r="D2304" s="580" t="n"/>
      <c r="E2304" s="581" t="n"/>
      <c r="F2304" s="577" t="n"/>
      <c r="G2304" s="582" t="n"/>
      <c r="H2304" s="583" t="n"/>
      <c r="I2304" s="510" t="n"/>
    </row>
    <row r="2305" ht="19.95" customFormat="1" customHeight="1" s="511">
      <c r="A2305" s="277" t="n"/>
      <c r="B2305" s="285" t="n"/>
      <c r="C2305" s="579" t="n"/>
      <c r="D2305" s="580" t="n"/>
      <c r="E2305" s="581" t="n"/>
      <c r="F2305" s="577" t="n"/>
      <c r="G2305" s="582" t="n"/>
      <c r="H2305" s="583" t="n"/>
      <c r="I2305" s="510" t="n"/>
    </row>
    <row r="2306" ht="19.95" customFormat="1" customHeight="1" s="511">
      <c r="A2306" s="277" t="n"/>
      <c r="B2306" s="285" t="n"/>
      <c r="C2306" s="579" t="n"/>
      <c r="D2306" s="580" t="n"/>
      <c r="E2306" s="581" t="n"/>
      <c r="F2306" s="577" t="n"/>
      <c r="G2306" s="582" t="n"/>
      <c r="H2306" s="583" t="n"/>
      <c r="I2306" s="510" t="n"/>
    </row>
    <row r="2307" ht="19.95" customFormat="1" customHeight="1" s="511">
      <c r="A2307" s="277" t="n"/>
      <c r="B2307" s="285" t="n"/>
      <c r="C2307" s="579" t="n"/>
      <c r="D2307" s="580" t="n"/>
      <c r="E2307" s="581" t="n"/>
      <c r="F2307" s="577" t="n"/>
      <c r="G2307" s="582" t="n"/>
      <c r="H2307" s="583" t="n"/>
      <c r="I2307" s="510" t="n"/>
    </row>
    <row r="2308" ht="19.95" customFormat="1" customHeight="1" s="511">
      <c r="A2308" s="277" t="n"/>
      <c r="B2308" s="285" t="n"/>
      <c r="C2308" s="579" t="n"/>
      <c r="D2308" s="580" t="n"/>
      <c r="E2308" s="581" t="n"/>
      <c r="F2308" s="577" t="n"/>
      <c r="G2308" s="582" t="n"/>
      <c r="H2308" s="583" t="n"/>
      <c r="I2308" s="510" t="n"/>
    </row>
    <row r="2309" ht="19.95" customFormat="1" customHeight="1" s="511">
      <c r="A2309" s="277" t="n"/>
      <c r="B2309" s="285" t="n"/>
      <c r="C2309" s="579" t="n"/>
      <c r="D2309" s="580" t="n"/>
      <c r="E2309" s="581" t="n"/>
      <c r="F2309" s="577" t="n"/>
      <c r="G2309" s="582" t="n"/>
      <c r="H2309" s="583" t="n"/>
      <c r="I2309" s="510" t="n"/>
    </row>
    <row r="2310" ht="19.95" customFormat="1" customHeight="1" s="511">
      <c r="A2310" s="277" t="n"/>
      <c r="B2310" s="285" t="n"/>
      <c r="C2310" s="579" t="n"/>
      <c r="D2310" s="580" t="n"/>
      <c r="E2310" s="581" t="n"/>
      <c r="F2310" s="577" t="n"/>
      <c r="G2310" s="582" t="n"/>
      <c r="H2310" s="583" t="n"/>
      <c r="I2310" s="510" t="n"/>
    </row>
    <row r="2311" ht="19.95" customFormat="1" customHeight="1" s="511">
      <c r="A2311" s="277" t="n"/>
      <c r="B2311" s="285" t="n"/>
      <c r="C2311" s="579" t="n"/>
      <c r="D2311" s="580" t="n"/>
      <c r="E2311" s="581" t="n"/>
      <c r="F2311" s="577" t="n"/>
      <c r="G2311" s="582" t="n"/>
      <c r="H2311" s="583" t="n"/>
      <c r="I2311" s="510" t="n"/>
    </row>
    <row r="2312" ht="19.95" customFormat="1" customHeight="1" s="511">
      <c r="A2312" s="277" t="n"/>
      <c r="B2312" s="285" t="n"/>
      <c r="C2312" s="579" t="n"/>
      <c r="D2312" s="580" t="n"/>
      <c r="E2312" s="581" t="n"/>
      <c r="F2312" s="577" t="n"/>
      <c r="G2312" s="582" t="n"/>
      <c r="H2312" s="583" t="n"/>
      <c r="I2312" s="510" t="n"/>
    </row>
    <row r="2313" ht="19.95" customFormat="1" customHeight="1" s="511">
      <c r="A2313" s="277" t="n"/>
      <c r="B2313" s="285" t="n"/>
      <c r="C2313" s="579" t="n"/>
      <c r="D2313" s="580" t="n"/>
      <c r="E2313" s="581" t="n"/>
      <c r="F2313" s="577" t="n"/>
      <c r="G2313" s="582" t="n"/>
      <c r="H2313" s="583" t="n"/>
      <c r="I2313" s="510" t="n"/>
    </row>
    <row r="2314" ht="19.95" customFormat="1" customHeight="1" s="511">
      <c r="A2314" s="277" t="n"/>
      <c r="B2314" s="285" t="n"/>
      <c r="C2314" s="579" t="n"/>
      <c r="D2314" s="580" t="n"/>
      <c r="E2314" s="581" t="n"/>
      <c r="F2314" s="577" t="n"/>
      <c r="G2314" s="582" t="n"/>
      <c r="H2314" s="583" t="n"/>
      <c r="I2314" s="510" t="n"/>
    </row>
    <row r="2315" ht="19.95" customFormat="1" customHeight="1" s="511">
      <c r="A2315" s="277" t="n"/>
      <c r="B2315" s="285" t="n"/>
      <c r="C2315" s="579" t="n"/>
      <c r="D2315" s="580" t="n"/>
      <c r="E2315" s="581" t="n"/>
      <c r="F2315" s="577" t="n"/>
      <c r="G2315" s="582" t="n"/>
      <c r="H2315" s="583" t="n"/>
      <c r="I2315" s="510" t="n"/>
    </row>
    <row r="2316" ht="19.95" customFormat="1" customHeight="1" s="511">
      <c r="A2316" s="277" t="n"/>
      <c r="B2316" s="285" t="n"/>
      <c r="C2316" s="579" t="n"/>
      <c r="D2316" s="580" t="n"/>
      <c r="E2316" s="581" t="n"/>
      <c r="F2316" s="577" t="n"/>
      <c r="G2316" s="582" t="n"/>
      <c r="H2316" s="583" t="n"/>
      <c r="I2316" s="510" t="n"/>
    </row>
    <row r="2317" ht="19.95" customFormat="1" customHeight="1" s="511">
      <c r="A2317" s="277" t="n"/>
      <c r="B2317" s="285" t="n"/>
      <c r="C2317" s="579" t="n"/>
      <c r="D2317" s="580" t="n"/>
      <c r="E2317" s="581" t="n"/>
      <c r="F2317" s="577" t="n"/>
      <c r="G2317" s="582" t="n"/>
      <c r="H2317" s="583" t="n"/>
      <c r="I2317" s="510" t="n"/>
    </row>
    <row r="2318" ht="19.95" customFormat="1" customHeight="1" s="511">
      <c r="A2318" s="277" t="n"/>
      <c r="B2318" s="285" t="n"/>
      <c r="C2318" s="579" t="n"/>
      <c r="D2318" s="580" t="n"/>
      <c r="E2318" s="581" t="n"/>
      <c r="F2318" s="577" t="n"/>
      <c r="G2318" s="582" t="n"/>
      <c r="H2318" s="583" t="n"/>
      <c r="I2318" s="510" t="n"/>
    </row>
    <row r="2319" ht="19.95" customFormat="1" customHeight="1" s="511">
      <c r="A2319" s="277" t="n"/>
      <c r="B2319" s="285" t="n"/>
      <c r="C2319" s="579" t="n"/>
      <c r="D2319" s="580" t="n"/>
      <c r="E2319" s="581" t="n"/>
      <c r="F2319" s="577" t="n"/>
      <c r="G2319" s="582" t="n"/>
      <c r="H2319" s="583" t="n"/>
      <c r="I2319" s="510" t="n"/>
    </row>
    <row r="2320" ht="19.95" customFormat="1" customHeight="1" s="511">
      <c r="A2320" s="277" t="n"/>
      <c r="B2320" s="285" t="n"/>
      <c r="C2320" s="579" t="n"/>
      <c r="D2320" s="580" t="n"/>
      <c r="E2320" s="581" t="n"/>
      <c r="F2320" s="577" t="n"/>
      <c r="G2320" s="582" t="n"/>
      <c r="H2320" s="583" t="n"/>
      <c r="I2320" s="510" t="n"/>
    </row>
    <row r="2321" ht="19.95" customFormat="1" customHeight="1" s="511">
      <c r="A2321" s="277" t="n"/>
      <c r="B2321" s="285" t="n"/>
      <c r="C2321" s="579" t="n"/>
      <c r="D2321" s="580" t="n"/>
      <c r="E2321" s="581" t="n"/>
      <c r="F2321" s="577" t="n"/>
      <c r="G2321" s="582" t="n"/>
      <c r="H2321" s="583" t="n"/>
      <c r="I2321" s="510" t="n"/>
    </row>
    <row r="2322" ht="19.95" customFormat="1" customHeight="1" s="511">
      <c r="A2322" s="277" t="n"/>
      <c r="B2322" s="285" t="n"/>
      <c r="C2322" s="579" t="n"/>
      <c r="D2322" s="580" t="n"/>
      <c r="E2322" s="581" t="n"/>
      <c r="F2322" s="577" t="n"/>
      <c r="G2322" s="582" t="n"/>
      <c r="H2322" s="583" t="n"/>
      <c r="I2322" s="510" t="n"/>
    </row>
    <row r="2323" ht="19.95" customFormat="1" customHeight="1" s="511">
      <c r="A2323" s="277" t="n"/>
      <c r="B2323" s="285" t="n"/>
      <c r="C2323" s="579" t="n"/>
      <c r="D2323" s="580" t="n"/>
      <c r="E2323" s="581" t="n"/>
      <c r="F2323" s="577" t="n"/>
      <c r="G2323" s="582" t="n"/>
      <c r="H2323" s="583" t="n"/>
      <c r="I2323" s="510" t="n"/>
    </row>
    <row r="2324" ht="19.95" customFormat="1" customHeight="1" s="511">
      <c r="A2324" s="277" t="n"/>
      <c r="B2324" s="285" t="n"/>
      <c r="C2324" s="579" t="n"/>
      <c r="D2324" s="580" t="n"/>
      <c r="E2324" s="581" t="n"/>
      <c r="F2324" s="577" t="n"/>
      <c r="G2324" s="582" t="n"/>
      <c r="H2324" s="583" t="n"/>
      <c r="I2324" s="510" t="n"/>
    </row>
    <row r="2325" ht="19.95" customFormat="1" customHeight="1" s="511">
      <c r="A2325" s="277" t="n"/>
      <c r="B2325" s="285" t="n"/>
      <c r="C2325" s="579" t="n"/>
      <c r="D2325" s="580" t="n"/>
      <c r="E2325" s="581" t="n"/>
      <c r="F2325" s="577" t="n"/>
      <c r="G2325" s="582" t="n"/>
      <c r="H2325" s="583" t="n"/>
      <c r="I2325" s="510" t="n"/>
    </row>
    <row r="2326" ht="19.95" customFormat="1" customHeight="1" s="511">
      <c r="A2326" s="277" t="n"/>
      <c r="B2326" s="285" t="n"/>
      <c r="C2326" s="579" t="n"/>
      <c r="D2326" s="580" t="n"/>
      <c r="E2326" s="581" t="n"/>
      <c r="F2326" s="577" t="n"/>
      <c r="G2326" s="582" t="n"/>
      <c r="H2326" s="583" t="n"/>
      <c r="I2326" s="510" t="n"/>
    </row>
    <row r="2327" ht="19.95" customFormat="1" customHeight="1" s="511">
      <c r="A2327" s="277" t="n"/>
      <c r="B2327" s="285" t="n"/>
      <c r="C2327" s="579" t="n"/>
      <c r="D2327" s="580" t="n"/>
      <c r="E2327" s="581" t="n"/>
      <c r="F2327" s="577" t="n"/>
      <c r="G2327" s="582" t="n"/>
      <c r="H2327" s="583" t="n"/>
      <c r="I2327" s="510" t="n"/>
    </row>
    <row r="2328" ht="19.95" customFormat="1" customHeight="1" s="511">
      <c r="A2328" s="277" t="n"/>
      <c r="B2328" s="285" t="n"/>
      <c r="C2328" s="579" t="n"/>
      <c r="D2328" s="580" t="n"/>
      <c r="E2328" s="581" t="n"/>
      <c r="F2328" s="577" t="n"/>
      <c r="G2328" s="582" t="n"/>
      <c r="H2328" s="583" t="n"/>
      <c r="I2328" s="510" t="n"/>
    </row>
    <row r="2329" ht="19.95" customFormat="1" customHeight="1" s="511">
      <c r="A2329" s="277" t="n"/>
      <c r="B2329" s="285" t="n"/>
      <c r="C2329" s="579" t="n"/>
      <c r="D2329" s="580" t="n"/>
      <c r="E2329" s="581" t="n"/>
      <c r="F2329" s="577" t="n"/>
      <c r="G2329" s="582" t="n"/>
      <c r="H2329" s="583" t="n"/>
      <c r="I2329" s="510" t="n"/>
    </row>
    <row r="2330" ht="19.95" customFormat="1" customHeight="1" s="511">
      <c r="A2330" s="277" t="n"/>
      <c r="B2330" s="285" t="n"/>
      <c r="C2330" s="579" t="n"/>
      <c r="D2330" s="580" t="n"/>
      <c r="E2330" s="581" t="n"/>
      <c r="F2330" s="577" t="n"/>
      <c r="G2330" s="582" t="n"/>
      <c r="H2330" s="583" t="n"/>
      <c r="I2330" s="510" t="n"/>
    </row>
    <row r="2331" ht="19.95" customFormat="1" customHeight="1" s="511">
      <c r="A2331" s="277" t="n"/>
      <c r="B2331" s="285" t="n"/>
      <c r="C2331" s="579" t="n"/>
      <c r="D2331" s="580" t="n"/>
      <c r="E2331" s="581" t="n"/>
      <c r="F2331" s="577" t="n"/>
      <c r="G2331" s="582" t="n"/>
      <c r="H2331" s="583" t="n"/>
      <c r="I2331" s="510" t="n"/>
    </row>
    <row r="2332" ht="19.95" customFormat="1" customHeight="1" s="511">
      <c r="A2332" s="277" t="n"/>
      <c r="B2332" s="285" t="n"/>
      <c r="C2332" s="579" t="n"/>
      <c r="D2332" s="580" t="n"/>
      <c r="E2332" s="581" t="n"/>
      <c r="F2332" s="577" t="n"/>
      <c r="G2332" s="582" t="n"/>
      <c r="H2332" s="583" t="n"/>
      <c r="I2332" s="510" t="n"/>
    </row>
    <row r="2333" ht="19.95" customFormat="1" customHeight="1" s="511">
      <c r="A2333" s="277" t="n"/>
      <c r="B2333" s="285" t="n"/>
      <c r="C2333" s="579" t="n"/>
      <c r="D2333" s="580" t="n"/>
      <c r="E2333" s="581" t="n"/>
      <c r="F2333" s="577" t="n"/>
      <c r="G2333" s="582" t="n"/>
      <c r="H2333" s="583" t="n"/>
      <c r="I2333" s="510" t="n"/>
    </row>
    <row r="2334" ht="19.95" customFormat="1" customHeight="1" s="511">
      <c r="A2334" s="277" t="n"/>
      <c r="B2334" s="285" t="n"/>
      <c r="C2334" s="579" t="n"/>
      <c r="D2334" s="580" t="n"/>
      <c r="E2334" s="581" t="n"/>
      <c r="F2334" s="577" t="n"/>
      <c r="G2334" s="582" t="n"/>
      <c r="H2334" s="583" t="n"/>
      <c r="I2334" s="510" t="n"/>
    </row>
    <row r="2335" ht="19.95" customFormat="1" customHeight="1" s="511">
      <c r="A2335" s="277" t="n"/>
      <c r="B2335" s="285" t="n"/>
      <c r="C2335" s="579" t="n"/>
      <c r="D2335" s="580" t="n"/>
      <c r="E2335" s="581" t="n"/>
      <c r="F2335" s="577" t="n"/>
      <c r="G2335" s="582" t="n"/>
      <c r="H2335" s="583" t="n"/>
      <c r="I2335" s="510" t="n"/>
    </row>
    <row r="2336" ht="19.95" customFormat="1" customHeight="1" s="511">
      <c r="A2336" s="277" t="n"/>
      <c r="B2336" s="285" t="n"/>
      <c r="C2336" s="579" t="n"/>
      <c r="D2336" s="580" t="n"/>
      <c r="E2336" s="581" t="n"/>
      <c r="F2336" s="577" t="n"/>
      <c r="G2336" s="582" t="n"/>
      <c r="H2336" s="583" t="n"/>
      <c r="I2336" s="510" t="n"/>
    </row>
    <row r="2337" ht="19.95" customFormat="1" customHeight="1" s="511">
      <c r="A2337" s="277" t="n"/>
      <c r="B2337" s="285" t="n"/>
      <c r="C2337" s="579" t="n"/>
      <c r="D2337" s="580" t="n"/>
      <c r="E2337" s="581" t="n"/>
      <c r="F2337" s="577" t="n"/>
      <c r="G2337" s="582" t="n"/>
      <c r="H2337" s="583" t="n"/>
      <c r="I2337" s="510" t="n"/>
    </row>
    <row r="2338" ht="19.95" customFormat="1" customHeight="1" s="511">
      <c r="A2338" s="277" t="n"/>
      <c r="B2338" s="285" t="n"/>
      <c r="C2338" s="579" t="n"/>
      <c r="D2338" s="580" t="n"/>
      <c r="E2338" s="581" t="n"/>
      <c r="F2338" s="577" t="n"/>
      <c r="G2338" s="582" t="n"/>
      <c r="H2338" s="583" t="n"/>
      <c r="I2338" s="510" t="n"/>
    </row>
    <row r="2339" ht="19.95" customFormat="1" customHeight="1" s="511">
      <c r="A2339" s="277" t="n"/>
      <c r="B2339" s="285" t="n"/>
      <c r="C2339" s="579" t="n"/>
      <c r="D2339" s="580" t="n"/>
      <c r="E2339" s="581" t="n"/>
      <c r="F2339" s="577" t="n"/>
      <c r="G2339" s="582" t="n"/>
      <c r="H2339" s="583" t="n"/>
      <c r="I2339" s="510" t="n"/>
    </row>
    <row r="2340" ht="19.95" customFormat="1" customHeight="1" s="511">
      <c r="A2340" s="277" t="n"/>
      <c r="B2340" s="285" t="n"/>
      <c r="C2340" s="579" t="n"/>
      <c r="D2340" s="580" t="n"/>
      <c r="E2340" s="581" t="n"/>
      <c r="F2340" s="577" t="n"/>
      <c r="G2340" s="582" t="n"/>
      <c r="H2340" s="583" t="n"/>
      <c r="I2340" s="510" t="n"/>
    </row>
    <row r="2341" ht="19.95" customFormat="1" customHeight="1" s="511">
      <c r="A2341" s="277" t="n"/>
      <c r="B2341" s="285" t="n"/>
      <c r="C2341" s="579" t="n"/>
      <c r="D2341" s="580" t="n"/>
      <c r="E2341" s="581" t="n"/>
      <c r="F2341" s="577" t="n"/>
      <c r="G2341" s="582" t="n"/>
      <c r="H2341" s="583" t="n"/>
      <c r="I2341" s="510" t="n"/>
    </row>
    <row r="2342" ht="19.95" customFormat="1" customHeight="1" s="511">
      <c r="A2342" s="277" t="n"/>
      <c r="B2342" s="285" t="n"/>
      <c r="C2342" s="579" t="n"/>
      <c r="D2342" s="580" t="n"/>
      <c r="E2342" s="581" t="n"/>
      <c r="F2342" s="577" t="n"/>
      <c r="G2342" s="582" t="n"/>
      <c r="H2342" s="583" t="n"/>
      <c r="I2342" s="510" t="n"/>
    </row>
    <row r="2343" ht="19.95" customFormat="1" customHeight="1" s="511">
      <c r="A2343" s="277" t="n"/>
      <c r="B2343" s="285" t="n"/>
      <c r="C2343" s="579" t="n"/>
      <c r="D2343" s="580" t="n"/>
      <c r="E2343" s="581" t="n"/>
      <c r="F2343" s="577" t="n"/>
      <c r="G2343" s="582" t="n"/>
      <c r="H2343" s="583" t="n"/>
      <c r="I2343" s="510" t="n"/>
    </row>
    <row r="2344" ht="19.95" customFormat="1" customHeight="1" s="511">
      <c r="A2344" s="277" t="n"/>
      <c r="B2344" s="285" t="n"/>
      <c r="C2344" s="579" t="n"/>
      <c r="D2344" s="580" t="n"/>
      <c r="E2344" s="581" t="n"/>
      <c r="F2344" s="577" t="n"/>
      <c r="G2344" s="582" t="n"/>
      <c r="H2344" s="583" t="n"/>
      <c r="I2344" s="510" t="n"/>
    </row>
    <row r="2345" ht="19.95" customFormat="1" customHeight="1" s="511">
      <c r="A2345" s="277" t="n"/>
      <c r="B2345" s="285" t="n"/>
      <c r="C2345" s="579" t="n"/>
      <c r="D2345" s="580" t="n"/>
      <c r="E2345" s="581" t="n"/>
      <c r="F2345" s="577" t="n"/>
      <c r="G2345" s="582" t="n"/>
      <c r="H2345" s="583" t="n"/>
      <c r="I2345" s="510" t="n"/>
    </row>
    <row r="2346" ht="19.95" customFormat="1" customHeight="1" s="511">
      <c r="A2346" s="277" t="n"/>
      <c r="B2346" s="285" t="n"/>
      <c r="C2346" s="579" t="n"/>
      <c r="D2346" s="580" t="n"/>
      <c r="E2346" s="581" t="n"/>
      <c r="F2346" s="577" t="n"/>
      <c r="G2346" s="582" t="n"/>
      <c r="H2346" s="583" t="n"/>
      <c r="I2346" s="510" t="n"/>
    </row>
    <row r="2347" ht="19.95" customFormat="1" customHeight="1" s="511">
      <c r="A2347" s="277" t="n"/>
      <c r="B2347" s="285" t="n"/>
      <c r="C2347" s="579" t="n"/>
      <c r="D2347" s="580" t="n"/>
      <c r="E2347" s="581" t="n"/>
      <c r="F2347" s="577" t="n"/>
      <c r="G2347" s="582" t="n"/>
      <c r="H2347" s="583" t="n"/>
      <c r="I2347" s="510" t="n"/>
    </row>
    <row r="2348" ht="19.95" customFormat="1" customHeight="1" s="511">
      <c r="A2348" s="277" t="n"/>
      <c r="B2348" s="285" t="n"/>
      <c r="C2348" s="579" t="n"/>
      <c r="D2348" s="580" t="n"/>
      <c r="E2348" s="581" t="n"/>
      <c r="F2348" s="577" t="n"/>
      <c r="G2348" s="582" t="n"/>
      <c r="H2348" s="583" t="n"/>
      <c r="I2348" s="510" t="n"/>
    </row>
    <row r="2349" ht="19.95" customFormat="1" customHeight="1" s="511">
      <c r="A2349" s="277" t="n"/>
      <c r="B2349" s="285" t="n"/>
      <c r="C2349" s="579" t="n"/>
      <c r="D2349" s="580" t="n"/>
      <c r="E2349" s="581" t="n"/>
      <c r="F2349" s="577" t="n"/>
      <c r="G2349" s="582" t="n"/>
      <c r="H2349" s="583" t="n"/>
      <c r="I2349" s="510" t="n"/>
    </row>
    <row r="2350" ht="19.95" customFormat="1" customHeight="1" s="511">
      <c r="A2350" s="277" t="n"/>
      <c r="B2350" s="285" t="n"/>
      <c r="C2350" s="579" t="n"/>
      <c r="D2350" s="580" t="n"/>
      <c r="E2350" s="581" t="n"/>
      <c r="F2350" s="577" t="n"/>
      <c r="G2350" s="582" t="n"/>
      <c r="H2350" s="583" t="n"/>
      <c r="I2350" s="510" t="n"/>
    </row>
    <row r="2351" ht="19.95" customFormat="1" customHeight="1" s="511">
      <c r="A2351" s="277" t="n"/>
      <c r="B2351" s="285" t="n"/>
      <c r="C2351" s="579" t="n"/>
      <c r="D2351" s="580" t="n"/>
      <c r="E2351" s="581" t="n"/>
      <c r="F2351" s="577" t="n"/>
      <c r="G2351" s="582" t="n"/>
      <c r="H2351" s="583" t="n"/>
      <c r="I2351" s="510" t="n"/>
    </row>
    <row r="2352" ht="19.95" customFormat="1" customHeight="1" s="511">
      <c r="A2352" s="277" t="n"/>
      <c r="B2352" s="285" t="n"/>
      <c r="C2352" s="579" t="n"/>
      <c r="D2352" s="580" t="n"/>
      <c r="E2352" s="581" t="n"/>
      <c r="F2352" s="577" t="n"/>
      <c r="G2352" s="582" t="n"/>
      <c r="H2352" s="583" t="n"/>
      <c r="I2352" s="510" t="n"/>
    </row>
    <row r="2353" ht="19.95" customFormat="1" customHeight="1" s="511">
      <c r="A2353" s="277" t="n"/>
      <c r="B2353" s="285" t="n"/>
      <c r="C2353" s="579" t="n"/>
      <c r="D2353" s="580" t="n"/>
      <c r="E2353" s="581" t="n"/>
      <c r="F2353" s="577" t="n"/>
      <c r="G2353" s="582" t="n"/>
      <c r="H2353" s="583" t="n"/>
      <c r="I2353" s="510" t="n"/>
    </row>
    <row r="2354" ht="19.95" customFormat="1" customHeight="1" s="511">
      <c r="A2354" s="277" t="n"/>
      <c r="B2354" s="285" t="n"/>
      <c r="C2354" s="579" t="n"/>
      <c r="D2354" s="580" t="n"/>
      <c r="E2354" s="581" t="n"/>
      <c r="F2354" s="577" t="n"/>
      <c r="G2354" s="582" t="n"/>
      <c r="H2354" s="583" t="n"/>
      <c r="I2354" s="510" t="n"/>
    </row>
    <row r="2355" ht="19.95" customFormat="1" customHeight="1" s="511">
      <c r="A2355" s="277" t="n"/>
      <c r="B2355" s="285" t="n"/>
      <c r="C2355" s="579" t="n"/>
      <c r="D2355" s="580" t="n"/>
      <c r="E2355" s="581" t="n"/>
      <c r="F2355" s="577" t="n"/>
      <c r="G2355" s="582" t="n"/>
      <c r="H2355" s="583" t="n"/>
      <c r="I2355" s="510" t="n"/>
    </row>
    <row r="2356" ht="19.95" customFormat="1" customHeight="1" s="511">
      <c r="A2356" s="277" t="n"/>
      <c r="B2356" s="285" t="n"/>
      <c r="C2356" s="579" t="n"/>
      <c r="D2356" s="580" t="n"/>
      <c r="E2356" s="581" t="n"/>
      <c r="F2356" s="577" t="n"/>
      <c r="G2356" s="582" t="n"/>
      <c r="H2356" s="583" t="n"/>
      <c r="I2356" s="510" t="n"/>
    </row>
    <row r="2357" ht="19.95" customFormat="1" customHeight="1" s="511">
      <c r="A2357" s="277" t="n"/>
      <c r="B2357" s="285" t="n"/>
      <c r="C2357" s="579" t="n"/>
      <c r="D2357" s="580" t="n"/>
      <c r="E2357" s="581" t="n"/>
      <c r="F2357" s="577" t="n"/>
      <c r="G2357" s="582" t="n"/>
      <c r="H2357" s="583" t="n"/>
      <c r="I2357" s="510" t="n"/>
    </row>
    <row r="2358" ht="19.95" customFormat="1" customHeight="1" s="511">
      <c r="A2358" s="277" t="n"/>
      <c r="B2358" s="285" t="n"/>
      <c r="C2358" s="579" t="n"/>
      <c r="D2358" s="580" t="n"/>
      <c r="E2358" s="581" t="n"/>
      <c r="F2358" s="577" t="n"/>
      <c r="G2358" s="582" t="n"/>
      <c r="H2358" s="583" t="n"/>
      <c r="I2358" s="510" t="n"/>
    </row>
    <row r="2359" ht="19.95" customFormat="1" customHeight="1" s="511">
      <c r="A2359" s="277" t="n"/>
      <c r="B2359" s="285" t="n"/>
      <c r="C2359" s="579" t="n"/>
      <c r="D2359" s="580" t="n"/>
      <c r="E2359" s="581" t="n"/>
      <c r="F2359" s="577" t="n"/>
      <c r="G2359" s="582" t="n"/>
      <c r="H2359" s="583" t="n"/>
      <c r="I2359" s="510" t="n"/>
    </row>
    <row r="2360" ht="19.95" customFormat="1" customHeight="1" s="511">
      <c r="A2360" s="277" t="n"/>
      <c r="B2360" s="285" t="n"/>
      <c r="C2360" s="579" t="n"/>
      <c r="D2360" s="580" t="n"/>
      <c r="E2360" s="581" t="n"/>
      <c r="F2360" s="577" t="n"/>
      <c r="G2360" s="582" t="n"/>
      <c r="H2360" s="583" t="n"/>
      <c r="I2360" s="510" t="n"/>
    </row>
    <row r="2361" ht="19.95" customFormat="1" customHeight="1" s="511">
      <c r="A2361" s="277" t="n"/>
      <c r="B2361" s="285" t="n"/>
      <c r="C2361" s="579" t="n"/>
      <c r="D2361" s="580" t="n"/>
      <c r="E2361" s="581" t="n"/>
      <c r="F2361" s="577" t="n"/>
      <c r="G2361" s="582" t="n"/>
      <c r="H2361" s="583" t="n"/>
      <c r="I2361" s="510" t="n"/>
    </row>
    <row r="2362" ht="19.95" customFormat="1" customHeight="1" s="511">
      <c r="A2362" s="277" t="n"/>
      <c r="B2362" s="285" t="n"/>
      <c r="C2362" s="579" t="n"/>
      <c r="D2362" s="580" t="n"/>
      <c r="E2362" s="581" t="n"/>
      <c r="F2362" s="577" t="n"/>
      <c r="G2362" s="582" t="n"/>
      <c r="H2362" s="583" t="n"/>
      <c r="I2362" s="510" t="n"/>
    </row>
    <row r="2363" ht="19.95" customFormat="1" customHeight="1" s="511">
      <c r="A2363" s="277" t="n"/>
      <c r="B2363" s="285" t="n"/>
      <c r="C2363" s="579" t="n"/>
      <c r="D2363" s="580" t="n"/>
      <c r="E2363" s="581" t="n"/>
      <c r="F2363" s="577" t="n"/>
      <c r="G2363" s="582" t="n"/>
      <c r="H2363" s="583" t="n"/>
      <c r="I2363" s="510" t="n"/>
    </row>
    <row r="2364" ht="19.95" customFormat="1" customHeight="1" s="511">
      <c r="A2364" s="277" t="n"/>
      <c r="B2364" s="285" t="n"/>
      <c r="C2364" s="579" t="n"/>
      <c r="D2364" s="580" t="n"/>
      <c r="E2364" s="581" t="n"/>
      <c r="F2364" s="577" t="n"/>
      <c r="G2364" s="582" t="n"/>
      <c r="H2364" s="583" t="n"/>
      <c r="I2364" s="510" t="n"/>
    </row>
    <row r="2365" ht="19.95" customFormat="1" customHeight="1" s="511">
      <c r="A2365" s="277" t="n"/>
      <c r="B2365" s="285" t="n"/>
      <c r="C2365" s="579" t="n"/>
      <c r="D2365" s="580" t="n"/>
      <c r="E2365" s="581" t="n"/>
      <c r="F2365" s="577" t="n"/>
      <c r="G2365" s="582" t="n"/>
      <c r="H2365" s="583" t="n"/>
      <c r="I2365" s="510" t="n"/>
    </row>
    <row r="2366" ht="19.95" customFormat="1" customHeight="1" s="511">
      <c r="A2366" s="277" t="n"/>
      <c r="B2366" s="285" t="n"/>
      <c r="C2366" s="579" t="n"/>
      <c r="D2366" s="580" t="n"/>
      <c r="E2366" s="581" t="n"/>
      <c r="F2366" s="577" t="n"/>
      <c r="G2366" s="582" t="n"/>
      <c r="H2366" s="583" t="n"/>
      <c r="I2366" s="510" t="n"/>
    </row>
    <row r="2367" ht="19.95" customFormat="1" customHeight="1" s="511">
      <c r="A2367" s="277" t="n"/>
      <c r="B2367" s="285" t="n"/>
      <c r="C2367" s="579" t="n"/>
      <c r="D2367" s="580" t="n"/>
      <c r="E2367" s="581" t="n"/>
      <c r="F2367" s="577" t="n"/>
      <c r="G2367" s="582" t="n"/>
      <c r="H2367" s="583" t="n"/>
      <c r="I2367" s="510" t="n"/>
    </row>
    <row r="2368" ht="19.95" customFormat="1" customHeight="1" s="511">
      <c r="A2368" s="277" t="n"/>
      <c r="B2368" s="285" t="n"/>
      <c r="C2368" s="579" t="n"/>
      <c r="D2368" s="580" t="n"/>
      <c r="E2368" s="581" t="n"/>
      <c r="F2368" s="577" t="n"/>
      <c r="G2368" s="582" t="n"/>
      <c r="H2368" s="583" t="n"/>
      <c r="I2368" s="510" t="n"/>
    </row>
    <row r="2369" ht="19.95" customFormat="1" customHeight="1" s="511">
      <c r="A2369" s="277" t="n"/>
      <c r="B2369" s="285" t="n"/>
      <c r="C2369" s="579" t="n"/>
      <c r="D2369" s="580" t="n"/>
      <c r="E2369" s="581" t="n"/>
      <c r="F2369" s="577" t="n"/>
      <c r="G2369" s="582" t="n"/>
      <c r="H2369" s="583" t="n"/>
      <c r="I2369" s="510" t="n"/>
    </row>
    <row r="2370" ht="19.95" customFormat="1" customHeight="1" s="511">
      <c r="A2370" s="277" t="n"/>
      <c r="B2370" s="285" t="n"/>
      <c r="C2370" s="579" t="n"/>
      <c r="D2370" s="580" t="n"/>
      <c r="E2370" s="581" t="n"/>
      <c r="F2370" s="577" t="n"/>
      <c r="G2370" s="582" t="n"/>
      <c r="H2370" s="583" t="n"/>
      <c r="I2370" s="510" t="n"/>
    </row>
    <row r="2371" ht="19.95" customFormat="1" customHeight="1" s="511">
      <c r="A2371" s="277" t="n"/>
      <c r="B2371" s="285" t="n"/>
      <c r="C2371" s="579" t="n"/>
      <c r="D2371" s="580" t="n"/>
      <c r="E2371" s="581" t="n"/>
      <c r="F2371" s="577" t="n"/>
      <c r="G2371" s="582" t="n"/>
      <c r="H2371" s="583" t="n"/>
      <c r="I2371" s="510" t="n"/>
    </row>
    <row r="2372" ht="19.95" customFormat="1" customHeight="1" s="511">
      <c r="A2372" s="277" t="n"/>
      <c r="B2372" s="285" t="n"/>
      <c r="C2372" s="579" t="n"/>
      <c r="D2372" s="580" t="n"/>
      <c r="E2372" s="581" t="n"/>
      <c r="F2372" s="577" t="n"/>
      <c r="G2372" s="582" t="n"/>
      <c r="H2372" s="583" t="n"/>
      <c r="I2372" s="510" t="n"/>
    </row>
    <row r="2373" ht="19.95" customFormat="1" customHeight="1" s="511">
      <c r="A2373" s="277" t="n"/>
      <c r="B2373" s="285" t="n"/>
      <c r="C2373" s="579" t="n"/>
      <c r="D2373" s="580" t="n"/>
      <c r="E2373" s="581" t="n"/>
      <c r="F2373" s="577" t="n"/>
      <c r="G2373" s="582" t="n"/>
      <c r="H2373" s="583" t="n"/>
      <c r="I2373" s="510" t="n"/>
    </row>
    <row r="2374" ht="19.95" customFormat="1" customHeight="1" s="511">
      <c r="A2374" s="277" t="n"/>
      <c r="B2374" s="285" t="n"/>
      <c r="C2374" s="579" t="n"/>
      <c r="D2374" s="580" t="n"/>
      <c r="E2374" s="581" t="n"/>
      <c r="F2374" s="577" t="n"/>
      <c r="G2374" s="582" t="n"/>
      <c r="H2374" s="583" t="n"/>
      <c r="I2374" s="510" t="n"/>
    </row>
    <row r="2375" ht="19.95" customFormat="1" customHeight="1" s="511">
      <c r="A2375" s="277" t="n"/>
      <c r="B2375" s="285" t="n"/>
      <c r="C2375" s="579" t="n"/>
      <c r="D2375" s="580" t="n"/>
      <c r="E2375" s="581" t="n"/>
      <c r="F2375" s="577" t="n"/>
      <c r="G2375" s="582" t="n"/>
      <c r="H2375" s="583" t="n"/>
      <c r="I2375" s="510" t="n"/>
    </row>
    <row r="2376" ht="19.95" customFormat="1" customHeight="1" s="511">
      <c r="A2376" s="277" t="n"/>
      <c r="B2376" s="285" t="n"/>
      <c r="C2376" s="579" t="n"/>
      <c r="D2376" s="580" t="n"/>
      <c r="E2376" s="581" t="n"/>
      <c r="F2376" s="577" t="n"/>
      <c r="G2376" s="582" t="n"/>
      <c r="H2376" s="583" t="n"/>
      <c r="I2376" s="510" t="n"/>
    </row>
    <row r="2377" ht="19.95" customFormat="1" customHeight="1" s="511">
      <c r="A2377" s="277" t="n"/>
      <c r="B2377" s="285" t="n"/>
      <c r="C2377" s="579" t="n"/>
      <c r="D2377" s="580" t="n"/>
      <c r="E2377" s="581" t="n"/>
      <c r="F2377" s="577" t="n"/>
      <c r="G2377" s="582" t="n"/>
      <c r="H2377" s="583" t="n"/>
      <c r="I2377" s="510" t="n"/>
    </row>
    <row r="2378" ht="19.95" customFormat="1" customHeight="1" s="511">
      <c r="A2378" s="277" t="n"/>
      <c r="B2378" s="285" t="n"/>
      <c r="C2378" s="579" t="n"/>
      <c r="D2378" s="580" t="n"/>
      <c r="E2378" s="581" t="n"/>
      <c r="F2378" s="577" t="n"/>
      <c r="G2378" s="582" t="n"/>
      <c r="H2378" s="583" t="n"/>
      <c r="I2378" s="510" t="n"/>
    </row>
    <row r="2379" ht="19.95" customFormat="1" customHeight="1" s="511">
      <c r="A2379" s="277" t="n"/>
      <c r="B2379" s="285" t="n"/>
      <c r="C2379" s="579" t="n"/>
      <c r="D2379" s="580" t="n"/>
      <c r="E2379" s="581" t="n"/>
      <c r="F2379" s="577" t="n"/>
      <c r="G2379" s="582" t="n"/>
      <c r="H2379" s="583" t="n"/>
      <c r="I2379" s="510" t="n"/>
    </row>
    <row r="2380" ht="19.95" customFormat="1" customHeight="1" s="511">
      <c r="A2380" s="277" t="n"/>
      <c r="B2380" s="285" t="n"/>
      <c r="C2380" s="579" t="n"/>
      <c r="D2380" s="580" t="n"/>
      <c r="E2380" s="581" t="n"/>
      <c r="F2380" s="577" t="n"/>
      <c r="G2380" s="582" t="n"/>
      <c r="H2380" s="583" t="n"/>
      <c r="I2380" s="510" t="n"/>
    </row>
    <row r="2381" ht="19.95" customFormat="1" customHeight="1" s="511">
      <c r="A2381" s="277" t="n"/>
      <c r="B2381" s="285" t="n"/>
      <c r="C2381" s="579" t="n"/>
      <c r="D2381" s="580" t="n"/>
      <c r="E2381" s="581" t="n"/>
      <c r="F2381" s="577" t="n"/>
      <c r="G2381" s="582" t="n"/>
      <c r="H2381" s="583" t="n"/>
      <c r="I2381" s="510" t="n"/>
    </row>
    <row r="2382" ht="19.95" customFormat="1" customHeight="1" s="511">
      <c r="A2382" s="277" t="n"/>
      <c r="B2382" s="285" t="n"/>
      <c r="C2382" s="579" t="n"/>
      <c r="D2382" s="580" t="n"/>
      <c r="E2382" s="581" t="n"/>
      <c r="F2382" s="577" t="n"/>
      <c r="G2382" s="582" t="n"/>
      <c r="H2382" s="583" t="n"/>
      <c r="I2382" s="510" t="n"/>
    </row>
    <row r="2383" ht="19.95" customFormat="1" customHeight="1" s="511">
      <c r="A2383" s="277" t="n"/>
      <c r="B2383" s="285" t="n"/>
      <c r="C2383" s="579" t="n"/>
      <c r="D2383" s="580" t="n"/>
      <c r="E2383" s="581" t="n"/>
      <c r="F2383" s="577" t="n"/>
      <c r="G2383" s="582" t="n"/>
      <c r="H2383" s="583" t="n"/>
      <c r="I2383" s="510" t="n"/>
    </row>
    <row r="2384" ht="19.95" customFormat="1" customHeight="1" s="511">
      <c r="A2384" s="277" t="n"/>
      <c r="B2384" s="285" t="n"/>
      <c r="C2384" s="579" t="n"/>
      <c r="D2384" s="580" t="n"/>
      <c r="E2384" s="581" t="n"/>
      <c r="F2384" s="577" t="n"/>
      <c r="G2384" s="582" t="n"/>
      <c r="H2384" s="583" t="n"/>
      <c r="I2384" s="510" t="n"/>
    </row>
    <row r="2385" ht="19.95" customFormat="1" customHeight="1" s="511">
      <c r="A2385" s="277" t="n"/>
      <c r="B2385" s="285" t="n"/>
      <c r="C2385" s="579" t="n"/>
      <c r="D2385" s="580" t="n"/>
      <c r="E2385" s="581" t="n"/>
      <c r="F2385" s="577" t="n"/>
      <c r="G2385" s="582" t="n"/>
      <c r="H2385" s="583" t="n"/>
      <c r="I2385" s="510" t="n"/>
    </row>
    <row r="2386" ht="19.95" customFormat="1" customHeight="1" s="511">
      <c r="A2386" s="277" t="n"/>
      <c r="B2386" s="285" t="n"/>
      <c r="C2386" s="579" t="n"/>
      <c r="D2386" s="580" t="n"/>
      <c r="E2386" s="581" t="n"/>
      <c r="F2386" s="577" t="n"/>
      <c r="G2386" s="582" t="n"/>
      <c r="H2386" s="583" t="n"/>
      <c r="I2386" s="510" t="n"/>
    </row>
    <row r="2387" ht="19.95" customFormat="1" customHeight="1" s="511">
      <c r="A2387" s="277" t="n"/>
      <c r="B2387" s="285" t="n"/>
      <c r="C2387" s="579" t="n"/>
      <c r="D2387" s="580" t="n"/>
      <c r="E2387" s="581" t="n"/>
      <c r="F2387" s="577" t="n"/>
      <c r="G2387" s="582" t="n"/>
      <c r="H2387" s="583" t="n"/>
      <c r="I2387" s="510" t="n"/>
    </row>
    <row r="2388" ht="19.95" customFormat="1" customHeight="1" s="511">
      <c r="A2388" s="277" t="n"/>
      <c r="B2388" s="285" t="n"/>
      <c r="C2388" s="579" t="n"/>
      <c r="D2388" s="580" t="n"/>
      <c r="E2388" s="581" t="n"/>
      <c r="F2388" s="577" t="n"/>
      <c r="G2388" s="582" t="n"/>
      <c r="H2388" s="583" t="n"/>
      <c r="I2388" s="510" t="n"/>
    </row>
    <row r="2389" ht="19.95" customFormat="1" customHeight="1" s="511">
      <c r="A2389" s="277" t="n"/>
      <c r="B2389" s="285" t="n"/>
      <c r="C2389" s="579" t="n"/>
      <c r="D2389" s="580" t="n"/>
      <c r="E2389" s="581" t="n"/>
      <c r="F2389" s="577" t="n"/>
      <c r="G2389" s="582" t="n"/>
      <c r="H2389" s="583" t="n"/>
      <c r="I2389" s="510" t="n"/>
    </row>
    <row r="2390" ht="19.95" customFormat="1" customHeight="1" s="511">
      <c r="A2390" s="277" t="n"/>
      <c r="B2390" s="285" t="n"/>
      <c r="C2390" s="579" t="n"/>
      <c r="D2390" s="580" t="n"/>
      <c r="E2390" s="581" t="n"/>
      <c r="F2390" s="577" t="n"/>
      <c r="G2390" s="582" t="n"/>
      <c r="H2390" s="583" t="n"/>
      <c r="I2390" s="510" t="n"/>
    </row>
    <row r="2391" ht="19.95" customFormat="1" customHeight="1" s="511">
      <c r="A2391" s="277" t="n"/>
      <c r="B2391" s="285" t="n"/>
      <c r="C2391" s="579" t="n"/>
      <c r="D2391" s="580" t="n"/>
      <c r="E2391" s="581" t="n"/>
      <c r="F2391" s="577" t="n"/>
      <c r="G2391" s="582" t="n"/>
      <c r="H2391" s="583" t="n"/>
      <c r="I2391" s="510" t="n"/>
    </row>
    <row r="2392" ht="19.95" customFormat="1" customHeight="1" s="511">
      <c r="A2392" s="277" t="n"/>
      <c r="B2392" s="285" t="n"/>
      <c r="C2392" s="579" t="n"/>
      <c r="D2392" s="580" t="n"/>
      <c r="E2392" s="581" t="n"/>
      <c r="F2392" s="577" t="n"/>
      <c r="G2392" s="582" t="n"/>
      <c r="H2392" s="583" t="n"/>
      <c r="I2392" s="510" t="n"/>
    </row>
    <row r="2393" ht="19.95" customFormat="1" customHeight="1" s="511">
      <c r="A2393" s="277" t="n"/>
      <c r="B2393" s="285" t="n"/>
      <c r="C2393" s="579" t="n"/>
      <c r="D2393" s="580" t="n"/>
      <c r="E2393" s="581" t="n"/>
      <c r="F2393" s="577" t="n"/>
      <c r="G2393" s="582" t="n"/>
      <c r="H2393" s="583" t="n"/>
      <c r="I2393" s="510" t="n"/>
    </row>
    <row r="2394" ht="19.95" customFormat="1" customHeight="1" s="511">
      <c r="A2394" s="277" t="n"/>
      <c r="B2394" s="285" t="n"/>
      <c r="C2394" s="579" t="n"/>
      <c r="D2394" s="580" t="n"/>
      <c r="E2394" s="581" t="n"/>
      <c r="F2394" s="577" t="n"/>
      <c r="G2394" s="582" t="n"/>
      <c r="H2394" s="583" t="n"/>
      <c r="I2394" s="510" t="n"/>
    </row>
    <row r="2395" ht="19.95" customFormat="1" customHeight="1" s="511">
      <c r="A2395" s="277" t="n"/>
      <c r="B2395" s="285" t="n"/>
      <c r="C2395" s="579" t="n"/>
      <c r="D2395" s="580" t="n"/>
      <c r="E2395" s="581" t="n"/>
      <c r="F2395" s="577" t="n"/>
      <c r="G2395" s="582" t="n"/>
      <c r="H2395" s="583" t="n"/>
      <c r="I2395" s="510" t="n"/>
    </row>
    <row r="2396" ht="19.95" customFormat="1" customHeight="1" s="511">
      <c r="A2396" s="277" t="n"/>
      <c r="B2396" s="285" t="n"/>
      <c r="C2396" s="579" t="n"/>
      <c r="D2396" s="580" t="n"/>
      <c r="E2396" s="581" t="n"/>
      <c r="F2396" s="577" t="n"/>
      <c r="G2396" s="582" t="n"/>
      <c r="H2396" s="583" t="n"/>
      <c r="I2396" s="510" t="n"/>
    </row>
    <row r="2397" ht="19.95" customFormat="1" customHeight="1" s="511">
      <c r="A2397" s="277" t="n"/>
      <c r="B2397" s="285" t="n"/>
      <c r="C2397" s="579" t="n"/>
      <c r="D2397" s="580" t="n"/>
      <c r="E2397" s="581" t="n"/>
      <c r="F2397" s="577" t="n"/>
      <c r="G2397" s="582" t="n"/>
      <c r="H2397" s="583" t="n"/>
      <c r="I2397" s="510" t="n"/>
    </row>
    <row r="2398" ht="19.95" customFormat="1" customHeight="1" s="511">
      <c r="A2398" s="277" t="n"/>
      <c r="B2398" s="285" t="n"/>
      <c r="C2398" s="579" t="n"/>
      <c r="D2398" s="580" t="n"/>
      <c r="E2398" s="581" t="n"/>
      <c r="F2398" s="577" t="n"/>
      <c r="G2398" s="582" t="n"/>
      <c r="H2398" s="583" t="n"/>
      <c r="I2398" s="510" t="n"/>
    </row>
    <row r="2399" ht="19.95" customFormat="1" customHeight="1" s="511">
      <c r="A2399" s="277" t="n"/>
      <c r="B2399" s="285" t="n"/>
      <c r="C2399" s="579" t="n"/>
      <c r="D2399" s="580" t="n"/>
      <c r="E2399" s="581" t="n"/>
      <c r="F2399" s="577" t="n"/>
      <c r="G2399" s="582" t="n"/>
      <c r="H2399" s="583" t="n"/>
      <c r="I2399" s="510" t="n"/>
    </row>
    <row r="2400" ht="19.95" customFormat="1" customHeight="1" s="511">
      <c r="A2400" s="277" t="n"/>
      <c r="B2400" s="285" t="n"/>
      <c r="C2400" s="579" t="n"/>
      <c r="D2400" s="580" t="n"/>
      <c r="E2400" s="581" t="n"/>
      <c r="F2400" s="577" t="n"/>
      <c r="G2400" s="582" t="n"/>
      <c r="H2400" s="583" t="n"/>
      <c r="I2400" s="510" t="n"/>
    </row>
    <row r="2401" ht="19.95" customFormat="1" customHeight="1" s="511">
      <c r="A2401" s="277" t="n"/>
      <c r="B2401" s="285" t="n"/>
      <c r="C2401" s="579" t="n"/>
      <c r="D2401" s="580" t="n"/>
      <c r="E2401" s="581" t="n"/>
      <c r="F2401" s="577" t="n"/>
      <c r="G2401" s="582" t="n"/>
      <c r="H2401" s="583" t="n"/>
      <c r="I2401" s="510" t="n"/>
    </row>
    <row r="2402" ht="19.95" customFormat="1" customHeight="1" s="511">
      <c r="A2402" s="277" t="n"/>
      <c r="B2402" s="285" t="n"/>
      <c r="C2402" s="579" t="n"/>
      <c r="D2402" s="580" t="n"/>
      <c r="E2402" s="581" t="n"/>
      <c r="F2402" s="577" t="n"/>
      <c r="G2402" s="582" t="n"/>
      <c r="H2402" s="583" t="n"/>
      <c r="I2402" s="510" t="n"/>
    </row>
    <row r="2403" ht="19.95" customFormat="1" customHeight="1" s="511">
      <c r="A2403" s="277" t="n"/>
      <c r="B2403" s="285" t="n"/>
      <c r="C2403" s="579" t="n"/>
      <c r="D2403" s="580" t="n"/>
      <c r="E2403" s="581" t="n"/>
      <c r="F2403" s="577" t="n"/>
      <c r="G2403" s="582" t="n"/>
      <c r="H2403" s="583" t="n"/>
      <c r="I2403" s="510" t="n"/>
    </row>
    <row r="2404" ht="19.95" customFormat="1" customHeight="1" s="511">
      <c r="A2404" s="277" t="n"/>
      <c r="B2404" s="285" t="n"/>
      <c r="C2404" s="579" t="n"/>
      <c r="D2404" s="580" t="n"/>
      <c r="E2404" s="581" t="n"/>
      <c r="F2404" s="577" t="n"/>
      <c r="G2404" s="582" t="n"/>
      <c r="H2404" s="583" t="n"/>
      <c r="I2404" s="510" t="n"/>
    </row>
    <row r="2405" ht="19.95" customFormat="1" customHeight="1" s="511">
      <c r="A2405" s="277" t="n"/>
      <c r="B2405" s="285" t="n"/>
      <c r="C2405" s="579" t="n"/>
      <c r="D2405" s="580" t="n"/>
      <c r="E2405" s="581" t="n"/>
      <c r="F2405" s="577" t="n"/>
      <c r="G2405" s="582" t="n"/>
      <c r="H2405" s="583" t="n"/>
      <c r="I2405" s="510" t="n"/>
    </row>
    <row r="2406" ht="19.95" customFormat="1" customHeight="1" s="511">
      <c r="A2406" s="277" t="n"/>
      <c r="B2406" s="285" t="n"/>
      <c r="C2406" s="579" t="n"/>
      <c r="D2406" s="580" t="n"/>
      <c r="E2406" s="581" t="n"/>
      <c r="F2406" s="577" t="n"/>
      <c r="G2406" s="582" t="n"/>
      <c r="H2406" s="583" t="n"/>
      <c r="I2406" s="510" t="n"/>
    </row>
    <row r="2407" ht="19.95" customFormat="1" customHeight="1" s="511">
      <c r="A2407" s="277" t="n"/>
      <c r="B2407" s="285" t="n"/>
      <c r="C2407" s="579" t="n"/>
      <c r="D2407" s="580" t="n"/>
      <c r="E2407" s="581" t="n"/>
      <c r="F2407" s="577" t="n"/>
      <c r="G2407" s="582" t="n"/>
      <c r="H2407" s="583" t="n"/>
      <c r="I2407" s="510" t="n"/>
    </row>
    <row r="2408" ht="19.95" customFormat="1" customHeight="1" s="511">
      <c r="A2408" s="277" t="n"/>
      <c r="B2408" s="285" t="n"/>
      <c r="C2408" s="579" t="n"/>
      <c r="D2408" s="580" t="n"/>
      <c r="E2408" s="581" t="n"/>
      <c r="F2408" s="577" t="n"/>
      <c r="G2408" s="582" t="n"/>
      <c r="H2408" s="583" t="n"/>
      <c r="I2408" s="510" t="n"/>
    </row>
    <row r="2409" ht="19.95" customFormat="1" customHeight="1" s="511">
      <c r="A2409" s="277" t="n"/>
      <c r="B2409" s="285" t="n"/>
      <c r="C2409" s="579" t="n"/>
      <c r="D2409" s="580" t="n"/>
      <c r="E2409" s="581" t="n"/>
      <c r="F2409" s="577" t="n"/>
      <c r="G2409" s="582" t="n"/>
      <c r="H2409" s="583" t="n"/>
      <c r="I2409" s="510" t="n"/>
    </row>
    <row r="2410" ht="19.95" customFormat="1" customHeight="1" s="511">
      <c r="A2410" s="277" t="n"/>
      <c r="B2410" s="285" t="n"/>
      <c r="C2410" s="579" t="n"/>
      <c r="D2410" s="580" t="n"/>
      <c r="E2410" s="581" t="n"/>
      <c r="F2410" s="577" t="n"/>
      <c r="G2410" s="582" t="n"/>
      <c r="H2410" s="583" t="n"/>
      <c r="I2410" s="510" t="n"/>
    </row>
    <row r="2411" ht="19.95" customFormat="1" customHeight="1" s="511">
      <c r="A2411" s="277" t="n"/>
      <c r="B2411" s="285" t="n"/>
      <c r="C2411" s="579" t="n"/>
      <c r="D2411" s="580" t="n"/>
      <c r="E2411" s="581" t="n"/>
      <c r="F2411" s="577" t="n"/>
      <c r="G2411" s="582" t="n"/>
      <c r="H2411" s="583" t="n"/>
      <c r="I2411" s="510" t="n"/>
    </row>
    <row r="2412" ht="19.95" customFormat="1" customHeight="1" s="511">
      <c r="A2412" s="277" t="n"/>
      <c r="B2412" s="285" t="n"/>
      <c r="C2412" s="579" t="n"/>
      <c r="D2412" s="580" t="n"/>
      <c r="E2412" s="581" t="n"/>
      <c r="F2412" s="577" t="n"/>
      <c r="G2412" s="582" t="n"/>
      <c r="H2412" s="583" t="n"/>
      <c r="I2412" s="510" t="n"/>
    </row>
    <row r="2413" ht="19.95" customFormat="1" customHeight="1" s="511">
      <c r="A2413" s="277" t="n"/>
      <c r="B2413" s="285" t="n"/>
      <c r="C2413" s="579" t="n"/>
      <c r="D2413" s="580" t="n"/>
      <c r="E2413" s="581" t="n"/>
      <c r="F2413" s="577" t="n"/>
      <c r="G2413" s="582" t="n"/>
      <c r="H2413" s="583" t="n"/>
      <c r="I2413" s="510" t="n"/>
    </row>
    <row r="2414" ht="19.95" customFormat="1" customHeight="1" s="511">
      <c r="A2414" s="277" t="n"/>
      <c r="B2414" s="285" t="n"/>
      <c r="C2414" s="579" t="n"/>
      <c r="D2414" s="580" t="n"/>
      <c r="E2414" s="581" t="n"/>
      <c r="F2414" s="577" t="n"/>
      <c r="G2414" s="582" t="n"/>
      <c r="H2414" s="583" t="n"/>
      <c r="I2414" s="510" t="n"/>
    </row>
    <row r="2415" ht="19.95" customFormat="1" customHeight="1" s="511">
      <c r="A2415" s="277" t="n"/>
      <c r="B2415" s="285" t="n"/>
      <c r="C2415" s="579" t="n"/>
      <c r="D2415" s="580" t="n"/>
      <c r="E2415" s="581" t="n"/>
      <c r="F2415" s="577" t="n"/>
      <c r="G2415" s="582" t="n"/>
      <c r="H2415" s="583" t="n"/>
      <c r="I2415" s="510" t="n"/>
    </row>
    <row r="2416" ht="19.95" customFormat="1" customHeight="1" s="511">
      <c r="A2416" s="277" t="n"/>
      <c r="B2416" s="285" t="n"/>
      <c r="C2416" s="579" t="n"/>
      <c r="D2416" s="580" t="n"/>
      <c r="E2416" s="581" t="n"/>
      <c r="F2416" s="577" t="n"/>
      <c r="G2416" s="582" t="n"/>
      <c r="H2416" s="583" t="n"/>
      <c r="I2416" s="510" t="n"/>
    </row>
    <row r="2417" ht="19.95" customFormat="1" customHeight="1" s="511">
      <c r="A2417" s="277" t="n"/>
      <c r="B2417" s="285" t="n"/>
      <c r="C2417" s="579" t="n"/>
      <c r="D2417" s="580" t="n"/>
      <c r="E2417" s="581" t="n"/>
      <c r="F2417" s="577" t="n"/>
      <c r="G2417" s="582" t="n"/>
      <c r="H2417" s="583" t="n"/>
      <c r="I2417" s="510" t="n"/>
    </row>
    <row r="2418" ht="19.95" customFormat="1" customHeight="1" s="511">
      <c r="A2418" s="277" t="n"/>
      <c r="B2418" s="285" t="n"/>
      <c r="C2418" s="579" t="n"/>
      <c r="D2418" s="580" t="n"/>
      <c r="E2418" s="581" t="n"/>
      <c r="F2418" s="577" t="n"/>
      <c r="G2418" s="582" t="n"/>
      <c r="H2418" s="583" t="n"/>
      <c r="I2418" s="510" t="n"/>
    </row>
    <row r="2419" ht="19.95" customFormat="1" customHeight="1" s="511">
      <c r="A2419" s="277" t="n"/>
      <c r="B2419" s="285" t="n"/>
      <c r="C2419" s="579" t="n"/>
      <c r="D2419" s="580" t="n"/>
      <c r="E2419" s="581" t="n"/>
      <c r="F2419" s="577" t="n"/>
      <c r="G2419" s="582" t="n"/>
      <c r="H2419" s="583" t="n"/>
      <c r="I2419" s="510" t="n"/>
    </row>
    <row r="2420" ht="19.95" customFormat="1" customHeight="1" s="511">
      <c r="A2420" s="277" t="n"/>
      <c r="B2420" s="285" t="n"/>
      <c r="C2420" s="579" t="n"/>
      <c r="D2420" s="580" t="n"/>
      <c r="E2420" s="581" t="n"/>
      <c r="F2420" s="577" t="n"/>
      <c r="G2420" s="582" t="n"/>
      <c r="H2420" s="583" t="n"/>
      <c r="I2420" s="510" t="n"/>
    </row>
    <row r="2421" ht="19.95" customFormat="1" customHeight="1" s="511">
      <c r="A2421" s="277" t="n"/>
      <c r="B2421" s="285" t="n"/>
      <c r="C2421" s="579" t="n"/>
      <c r="D2421" s="580" t="n"/>
      <c r="E2421" s="581" t="n"/>
      <c r="F2421" s="577" t="n"/>
      <c r="G2421" s="582" t="n"/>
      <c r="H2421" s="583" t="n"/>
      <c r="I2421" s="510" t="n"/>
    </row>
    <row r="2422" ht="19.95" customFormat="1" customHeight="1" s="511">
      <c r="A2422" s="277" t="n"/>
      <c r="B2422" s="285" t="n"/>
      <c r="C2422" s="579" t="n"/>
      <c r="D2422" s="580" t="n"/>
      <c r="E2422" s="581" t="n"/>
      <c r="F2422" s="577" t="n"/>
      <c r="G2422" s="582" t="n"/>
      <c r="H2422" s="583" t="n"/>
      <c r="I2422" s="510" t="n"/>
    </row>
    <row r="2423" ht="19.95" customFormat="1" customHeight="1" s="511">
      <c r="A2423" s="277" t="n"/>
      <c r="B2423" s="285" t="n"/>
      <c r="C2423" s="579" t="n"/>
      <c r="D2423" s="580" t="n"/>
      <c r="E2423" s="581" t="n"/>
      <c r="F2423" s="577" t="n"/>
      <c r="G2423" s="582" t="n"/>
      <c r="H2423" s="583" t="n"/>
      <c r="I2423" s="510" t="n"/>
    </row>
    <row r="2424" ht="19.95" customFormat="1" customHeight="1" s="511">
      <c r="A2424" s="277" t="n"/>
      <c r="B2424" s="285" t="n"/>
      <c r="C2424" s="579" t="n"/>
      <c r="D2424" s="580" t="n"/>
      <c r="E2424" s="581" t="n"/>
      <c r="F2424" s="577" t="n"/>
      <c r="G2424" s="582" t="n"/>
      <c r="H2424" s="583" t="n"/>
      <c r="I2424" s="510" t="n"/>
    </row>
    <row r="2425" ht="19.95" customFormat="1" customHeight="1" s="511">
      <c r="A2425" s="277" t="n"/>
      <c r="B2425" s="285" t="n"/>
      <c r="C2425" s="579" t="n"/>
      <c r="D2425" s="580" t="n"/>
      <c r="E2425" s="581" t="n"/>
      <c r="F2425" s="577" t="n"/>
      <c r="G2425" s="582" t="n"/>
      <c r="H2425" s="583" t="n"/>
      <c r="I2425" s="510" t="n"/>
    </row>
    <row r="2426" ht="19.95" customFormat="1" customHeight="1" s="511">
      <c r="A2426" s="277" t="n"/>
      <c r="B2426" s="285" t="n"/>
      <c r="C2426" s="579" t="n"/>
      <c r="D2426" s="580" t="n"/>
      <c r="E2426" s="581" t="n"/>
      <c r="F2426" s="577" t="n"/>
      <c r="G2426" s="582" t="n"/>
      <c r="H2426" s="583" t="n"/>
      <c r="I2426" s="510" t="n"/>
    </row>
    <row r="2427" ht="19.95" customFormat="1" customHeight="1" s="511">
      <c r="A2427" s="277" t="n"/>
      <c r="B2427" s="285" t="n"/>
      <c r="C2427" s="579" t="n"/>
      <c r="D2427" s="580" t="n"/>
      <c r="E2427" s="581" t="n"/>
      <c r="F2427" s="577" t="n"/>
      <c r="G2427" s="582" t="n"/>
      <c r="H2427" s="583" t="n"/>
      <c r="I2427" s="510" t="n"/>
    </row>
    <row r="2428" ht="19.95" customFormat="1" customHeight="1" s="511">
      <c r="A2428" s="277" t="n"/>
      <c r="B2428" s="285" t="n"/>
      <c r="C2428" s="579" t="n"/>
      <c r="D2428" s="580" t="n"/>
      <c r="E2428" s="581" t="n"/>
      <c r="F2428" s="577" t="n"/>
      <c r="G2428" s="582" t="n"/>
      <c r="H2428" s="583" t="n"/>
      <c r="I2428" s="510" t="n"/>
    </row>
    <row r="2429" ht="19.95" customFormat="1" customHeight="1" s="511">
      <c r="A2429" s="277" t="n"/>
      <c r="B2429" s="285" t="n"/>
      <c r="C2429" s="579" t="n"/>
      <c r="D2429" s="580" t="n"/>
      <c r="E2429" s="581" t="n"/>
      <c r="F2429" s="577" t="n"/>
      <c r="G2429" s="582" t="n"/>
      <c r="H2429" s="583" t="n"/>
      <c r="I2429" s="510" t="n"/>
    </row>
    <row r="2430" ht="19.95" customFormat="1" customHeight="1" s="511">
      <c r="A2430" s="277" t="n"/>
      <c r="B2430" s="285" t="n"/>
      <c r="C2430" s="579" t="n"/>
      <c r="D2430" s="580" t="n"/>
      <c r="E2430" s="581" t="n"/>
      <c r="F2430" s="577" t="n"/>
      <c r="G2430" s="582" t="n"/>
      <c r="H2430" s="583" t="n"/>
      <c r="I2430" s="510" t="n"/>
    </row>
    <row r="2431" ht="19.95" customFormat="1" customHeight="1" s="511">
      <c r="A2431" s="277" t="n"/>
      <c r="B2431" s="285" t="n"/>
      <c r="C2431" s="579" t="n"/>
      <c r="D2431" s="580" t="n"/>
      <c r="E2431" s="581" t="n"/>
      <c r="F2431" s="577" t="n"/>
      <c r="G2431" s="582" t="n"/>
      <c r="H2431" s="583" t="n"/>
      <c r="I2431" s="510" t="n"/>
    </row>
    <row r="2432" ht="19.95" customFormat="1" customHeight="1" s="511">
      <c r="A2432" s="277" t="n"/>
      <c r="B2432" s="285" t="n"/>
      <c r="C2432" s="579" t="n"/>
      <c r="D2432" s="580" t="n"/>
      <c r="E2432" s="581" t="n"/>
      <c r="F2432" s="577" t="n"/>
      <c r="G2432" s="582" t="n"/>
      <c r="H2432" s="583" t="n"/>
      <c r="I2432" s="510" t="n"/>
    </row>
    <row r="2433" ht="19.95" customFormat="1" customHeight="1" s="511">
      <c r="A2433" s="277" t="n"/>
      <c r="B2433" s="285" t="n"/>
      <c r="C2433" s="579" t="n"/>
      <c r="D2433" s="580" t="n"/>
      <c r="E2433" s="581" t="n"/>
      <c r="F2433" s="577" t="n"/>
      <c r="G2433" s="582" t="n"/>
      <c r="H2433" s="583" t="n"/>
      <c r="I2433" s="510" t="n"/>
    </row>
    <row r="2434" ht="19.95" customFormat="1" customHeight="1" s="511">
      <c r="A2434" s="277" t="n"/>
      <c r="B2434" s="285" t="n"/>
      <c r="C2434" s="579" t="n"/>
      <c r="D2434" s="580" t="n"/>
      <c r="E2434" s="581" t="n"/>
      <c r="F2434" s="577" t="n"/>
      <c r="G2434" s="582" t="n"/>
      <c r="H2434" s="583" t="n"/>
      <c r="I2434" s="510" t="n"/>
    </row>
    <row r="2435" ht="19.95" customFormat="1" customHeight="1" s="511">
      <c r="A2435" s="277" t="n"/>
      <c r="B2435" s="285" t="n"/>
      <c r="C2435" s="579" t="n"/>
      <c r="D2435" s="580" t="n"/>
      <c r="E2435" s="581" t="n"/>
      <c r="F2435" s="577" t="n"/>
      <c r="G2435" s="582" t="n"/>
      <c r="H2435" s="583" t="n"/>
      <c r="I2435" s="510" t="n"/>
    </row>
    <row r="2436" ht="19.95" customFormat="1" customHeight="1" s="511">
      <c r="A2436" s="277" t="n"/>
      <c r="B2436" s="285" t="n"/>
      <c r="C2436" s="579" t="n"/>
      <c r="D2436" s="580" t="n"/>
      <c r="E2436" s="581" t="n"/>
      <c r="F2436" s="577" t="n"/>
      <c r="G2436" s="582" t="n"/>
      <c r="H2436" s="583" t="n"/>
      <c r="I2436" s="510" t="n"/>
    </row>
    <row r="2437" ht="19.95" customFormat="1" customHeight="1" s="511">
      <c r="A2437" s="277" t="n"/>
      <c r="B2437" s="285" t="n"/>
      <c r="C2437" s="579" t="n"/>
      <c r="D2437" s="580" t="n"/>
      <c r="E2437" s="581" t="n"/>
      <c r="F2437" s="577" t="n"/>
      <c r="G2437" s="582" t="n"/>
      <c r="H2437" s="583" t="n"/>
      <c r="I2437" s="510" t="n"/>
    </row>
    <row r="2438" ht="19.95" customFormat="1" customHeight="1" s="511">
      <c r="A2438" s="277" t="n"/>
      <c r="B2438" s="285" t="n"/>
      <c r="C2438" s="579" t="n"/>
      <c r="D2438" s="580" t="n"/>
      <c r="E2438" s="581" t="n"/>
      <c r="F2438" s="577" t="n"/>
      <c r="G2438" s="582" t="n"/>
      <c r="H2438" s="583" t="n"/>
      <c r="I2438" s="510" t="n"/>
    </row>
    <row r="2439" ht="19.95" customFormat="1" customHeight="1" s="511">
      <c r="A2439" s="277" t="n"/>
      <c r="B2439" s="285" t="n"/>
      <c r="C2439" s="579" t="n"/>
      <c r="D2439" s="580" t="n"/>
      <c r="E2439" s="581" t="n"/>
      <c r="F2439" s="577" t="n"/>
      <c r="G2439" s="582" t="n"/>
      <c r="H2439" s="583" t="n"/>
      <c r="I2439" s="510" t="n"/>
    </row>
    <row r="2440" ht="19.95" customFormat="1" customHeight="1" s="511">
      <c r="A2440" s="277" t="n"/>
      <c r="B2440" s="285" t="n"/>
      <c r="C2440" s="579" t="n"/>
      <c r="D2440" s="580" t="n"/>
      <c r="E2440" s="581" t="n"/>
      <c r="F2440" s="577" t="n"/>
      <c r="G2440" s="582" t="n"/>
      <c r="H2440" s="583" t="n"/>
      <c r="I2440" s="510" t="n"/>
    </row>
    <row r="2441" ht="19.95" customFormat="1" customHeight="1" s="511">
      <c r="A2441" s="277" t="n"/>
      <c r="B2441" s="285" t="n"/>
      <c r="C2441" s="579" t="n"/>
      <c r="D2441" s="580" t="n"/>
      <c r="E2441" s="581" t="n"/>
      <c r="F2441" s="577" t="n"/>
      <c r="G2441" s="582" t="n"/>
      <c r="H2441" s="583" t="n"/>
      <c r="I2441" s="510" t="n"/>
    </row>
    <row r="2442" ht="19.95" customFormat="1" customHeight="1" s="511">
      <c r="A2442" s="277" t="n"/>
      <c r="B2442" s="285" t="n"/>
      <c r="C2442" s="579" t="n"/>
      <c r="D2442" s="580" t="n"/>
      <c r="E2442" s="581" t="n"/>
      <c r="F2442" s="577" t="n"/>
      <c r="G2442" s="582" t="n"/>
      <c r="H2442" s="583" t="n"/>
      <c r="I2442" s="510" t="n"/>
    </row>
    <row r="2443" ht="19.95" customFormat="1" customHeight="1" s="511">
      <c r="A2443" s="277" t="n"/>
      <c r="B2443" s="285" t="n"/>
      <c r="C2443" s="579" t="n"/>
      <c r="D2443" s="580" t="n"/>
      <c r="E2443" s="581" t="n"/>
      <c r="F2443" s="577" t="n"/>
      <c r="G2443" s="582" t="n"/>
      <c r="H2443" s="583" t="n"/>
      <c r="I2443" s="510" t="n"/>
    </row>
    <row r="2444" ht="19.95" customFormat="1" customHeight="1" s="511">
      <c r="A2444" s="277" t="n"/>
      <c r="B2444" s="285" t="n"/>
      <c r="C2444" s="579" t="n"/>
      <c r="D2444" s="580" t="n"/>
      <c r="E2444" s="581" t="n"/>
      <c r="F2444" s="577" t="n"/>
      <c r="G2444" s="582" t="n"/>
      <c r="H2444" s="583" t="n"/>
      <c r="I2444" s="510" t="n"/>
    </row>
    <row r="2445" ht="19.95" customFormat="1" customHeight="1" s="511">
      <c r="A2445" s="277" t="n"/>
      <c r="B2445" s="285" t="n"/>
      <c r="C2445" s="579" t="n"/>
      <c r="D2445" s="580" t="n"/>
      <c r="E2445" s="581" t="n"/>
      <c r="F2445" s="577" t="n"/>
      <c r="G2445" s="582" t="n"/>
      <c r="H2445" s="583" t="n"/>
      <c r="I2445" s="510" t="n"/>
    </row>
    <row r="2446" ht="19.95" customFormat="1" customHeight="1" s="511">
      <c r="A2446" s="277" t="n"/>
      <c r="B2446" s="285" t="n"/>
      <c r="C2446" s="579" t="n"/>
      <c r="D2446" s="580" t="n"/>
      <c r="E2446" s="581" t="n"/>
      <c r="F2446" s="577" t="n"/>
      <c r="G2446" s="582" t="n"/>
      <c r="H2446" s="583" t="n"/>
      <c r="I2446" s="510" t="n"/>
    </row>
    <row r="2447" ht="19.95" customFormat="1" customHeight="1" s="511">
      <c r="A2447" s="277" t="n"/>
      <c r="B2447" s="285" t="n"/>
      <c r="C2447" s="579" t="n"/>
      <c r="D2447" s="580" t="n"/>
      <c r="E2447" s="581" t="n"/>
      <c r="F2447" s="577" t="n"/>
      <c r="G2447" s="582" t="n"/>
      <c r="H2447" s="583" t="n"/>
      <c r="I2447" s="510" t="n"/>
    </row>
    <row r="2448" ht="19.95" customFormat="1" customHeight="1" s="511">
      <c r="A2448" s="277" t="n"/>
      <c r="B2448" s="285" t="n"/>
      <c r="C2448" s="579" t="n"/>
      <c r="D2448" s="580" t="n"/>
      <c r="E2448" s="581" t="n"/>
      <c r="F2448" s="577" t="n"/>
      <c r="G2448" s="582" t="n"/>
      <c r="H2448" s="583" t="n"/>
      <c r="I2448" s="510" t="n"/>
    </row>
    <row r="2449" ht="19.95" customFormat="1" customHeight="1" s="511">
      <c r="A2449" s="277" t="n"/>
      <c r="B2449" s="285" t="n"/>
      <c r="C2449" s="579" t="n"/>
      <c r="D2449" s="580" t="n"/>
      <c r="E2449" s="581" t="n"/>
      <c r="F2449" s="577" t="n"/>
      <c r="G2449" s="582" t="n"/>
      <c r="H2449" s="583" t="n"/>
      <c r="I2449" s="510" t="n"/>
    </row>
    <row r="2450" ht="19.95" customFormat="1" customHeight="1" s="511">
      <c r="A2450" s="277" t="n"/>
      <c r="B2450" s="285" t="n"/>
      <c r="C2450" s="579" t="n"/>
      <c r="D2450" s="580" t="n"/>
      <c r="E2450" s="581" t="n"/>
      <c r="F2450" s="577" t="n"/>
      <c r="G2450" s="582" t="n"/>
      <c r="H2450" s="583" t="n"/>
      <c r="I2450" s="510" t="n"/>
    </row>
    <row r="2451" ht="19.95" customFormat="1" customHeight="1" s="511">
      <c r="A2451" s="277" t="n"/>
      <c r="B2451" s="285" t="n"/>
      <c r="C2451" s="579" t="n"/>
      <c r="D2451" s="580" t="n"/>
      <c r="E2451" s="581" t="n"/>
      <c r="F2451" s="577" t="n"/>
      <c r="G2451" s="582" t="n"/>
      <c r="H2451" s="583" t="n"/>
      <c r="I2451" s="510" t="n"/>
    </row>
    <row r="2452" ht="19.95" customFormat="1" customHeight="1" s="511">
      <c r="A2452" s="277" t="n"/>
      <c r="B2452" s="285" t="n"/>
      <c r="C2452" s="579" t="n"/>
      <c r="D2452" s="580" t="n"/>
      <c r="E2452" s="581" t="n"/>
      <c r="F2452" s="577" t="n"/>
      <c r="G2452" s="582" t="n"/>
      <c r="H2452" s="583" t="n"/>
      <c r="I2452" s="510" t="n"/>
    </row>
    <row r="2453" ht="19.95" customFormat="1" customHeight="1" s="511">
      <c r="A2453" s="277" t="n"/>
      <c r="B2453" s="285" t="n"/>
      <c r="C2453" s="579" t="n"/>
      <c r="D2453" s="580" t="n"/>
      <c r="E2453" s="581" t="n"/>
      <c r="F2453" s="577" t="n"/>
      <c r="G2453" s="582" t="n"/>
      <c r="H2453" s="583" t="n"/>
      <c r="I2453" s="510" t="n"/>
    </row>
    <row r="2454" ht="19.95" customFormat="1" customHeight="1" s="511">
      <c r="A2454" s="277" t="n"/>
      <c r="B2454" s="285" t="n"/>
      <c r="C2454" s="579" t="n"/>
      <c r="D2454" s="580" t="n"/>
      <c r="E2454" s="581" t="n"/>
      <c r="F2454" s="577" t="n"/>
      <c r="G2454" s="582" t="n"/>
      <c r="H2454" s="583" t="n"/>
      <c r="I2454" s="510" t="n"/>
    </row>
    <row r="2455" ht="19.95" customFormat="1" customHeight="1" s="511">
      <c r="A2455" s="277" t="n"/>
      <c r="B2455" s="285" t="n"/>
      <c r="C2455" s="579" t="n"/>
      <c r="D2455" s="580" t="n"/>
      <c r="E2455" s="581" t="n"/>
      <c r="F2455" s="577" t="n"/>
      <c r="G2455" s="582" t="n"/>
      <c r="H2455" s="583" t="n"/>
      <c r="I2455" s="510" t="n"/>
    </row>
    <row r="2456" ht="19.95" customFormat="1" customHeight="1" s="511">
      <c r="A2456" s="277" t="n"/>
      <c r="B2456" s="285" t="n"/>
      <c r="C2456" s="579" t="n"/>
      <c r="D2456" s="580" t="n"/>
      <c r="E2456" s="581" t="n"/>
      <c r="F2456" s="577" t="n"/>
      <c r="G2456" s="582" t="n"/>
      <c r="H2456" s="583" t="n"/>
      <c r="I2456" s="510" t="n"/>
    </row>
    <row r="2457" ht="19.95" customFormat="1" customHeight="1" s="511">
      <c r="A2457" s="277" t="n"/>
      <c r="B2457" s="285" t="n"/>
      <c r="C2457" s="579" t="n"/>
      <c r="D2457" s="580" t="n"/>
      <c r="E2457" s="581" t="n"/>
      <c r="F2457" s="577" t="n"/>
      <c r="G2457" s="582" t="n"/>
      <c r="H2457" s="583" t="n"/>
      <c r="I2457" s="510" t="n"/>
    </row>
    <row r="2458" ht="19.95" customFormat="1" customHeight="1" s="511">
      <c r="A2458" s="277" t="n"/>
      <c r="B2458" s="285" t="n"/>
      <c r="C2458" s="579" t="n"/>
      <c r="D2458" s="580" t="n"/>
      <c r="E2458" s="581" t="n"/>
      <c r="F2458" s="577" t="n"/>
      <c r="G2458" s="582" t="n"/>
      <c r="H2458" s="583" t="n"/>
      <c r="I2458" s="510" t="n"/>
    </row>
    <row r="2459" ht="19.95" customFormat="1" customHeight="1" s="511">
      <c r="A2459" s="277" t="n"/>
      <c r="B2459" s="285" t="n"/>
      <c r="C2459" s="579" t="n"/>
      <c r="D2459" s="580" t="n"/>
      <c r="E2459" s="581" t="n"/>
      <c r="F2459" s="577" t="n"/>
      <c r="G2459" s="582" t="n"/>
      <c r="H2459" s="583" t="n"/>
      <c r="I2459" s="510" t="n"/>
    </row>
    <row r="2460" ht="19.95" customFormat="1" customHeight="1" s="511">
      <c r="A2460" s="277" t="n"/>
      <c r="B2460" s="285" t="n"/>
      <c r="C2460" s="579" t="n"/>
      <c r="D2460" s="580" t="n"/>
      <c r="E2460" s="581" t="n"/>
      <c r="F2460" s="577" t="n"/>
      <c r="G2460" s="582" t="n"/>
      <c r="H2460" s="583" t="n"/>
      <c r="I2460" s="510" t="n"/>
    </row>
    <row r="2461" ht="19.95" customFormat="1" customHeight="1" s="511">
      <c r="A2461" s="277" t="n"/>
      <c r="B2461" s="285" t="n"/>
      <c r="C2461" s="579" t="n"/>
      <c r="D2461" s="580" t="n"/>
      <c r="E2461" s="581" t="n"/>
      <c r="F2461" s="577" t="n"/>
      <c r="G2461" s="582" t="n"/>
      <c r="H2461" s="583" t="n"/>
      <c r="I2461" s="510" t="n"/>
    </row>
    <row r="2462" ht="19.95" customFormat="1" customHeight="1" s="511">
      <c r="A2462" s="277" t="n"/>
      <c r="B2462" s="285" t="n"/>
      <c r="C2462" s="579" t="n"/>
      <c r="D2462" s="580" t="n"/>
      <c r="E2462" s="581" t="n"/>
      <c r="F2462" s="577" t="n"/>
      <c r="G2462" s="582" t="n"/>
      <c r="H2462" s="583" t="n"/>
      <c r="I2462" s="510" t="n"/>
    </row>
    <row r="2463" ht="19.95" customFormat="1" customHeight="1" s="511">
      <c r="A2463" s="277" t="n"/>
      <c r="B2463" s="285" t="n"/>
      <c r="C2463" s="579" t="n"/>
      <c r="D2463" s="580" t="n"/>
      <c r="E2463" s="581" t="n"/>
      <c r="F2463" s="577" t="n"/>
      <c r="G2463" s="582" t="n"/>
      <c r="H2463" s="583" t="n"/>
      <c r="I2463" s="510" t="n"/>
    </row>
    <row r="2464" ht="19.95" customFormat="1" customHeight="1" s="511">
      <c r="A2464" s="277" t="n"/>
      <c r="B2464" s="285" t="n"/>
      <c r="C2464" s="579" t="n"/>
      <c r="D2464" s="580" t="n"/>
      <c r="E2464" s="581" t="n"/>
      <c r="F2464" s="577" t="n"/>
      <c r="G2464" s="582" t="n"/>
      <c r="H2464" s="583" t="n"/>
      <c r="I2464" s="510" t="n"/>
    </row>
    <row r="2465" ht="19.95" customFormat="1" customHeight="1" s="511">
      <c r="A2465" s="277" t="n"/>
      <c r="B2465" s="285" t="n"/>
      <c r="C2465" s="579" t="n"/>
      <c r="D2465" s="580" t="n"/>
      <c r="E2465" s="581" t="n"/>
      <c r="F2465" s="577" t="n"/>
      <c r="G2465" s="582" t="n"/>
      <c r="H2465" s="583" t="n"/>
      <c r="I2465" s="510" t="n"/>
    </row>
    <row r="2466" ht="19.95" customFormat="1" customHeight="1" s="511">
      <c r="A2466" s="277" t="n"/>
      <c r="B2466" s="285" t="n"/>
      <c r="C2466" s="579" t="n"/>
      <c r="D2466" s="580" t="n"/>
      <c r="E2466" s="581" t="n"/>
      <c r="F2466" s="577" t="n"/>
      <c r="G2466" s="582" t="n"/>
      <c r="H2466" s="583" t="n"/>
      <c r="I2466" s="510" t="n"/>
    </row>
    <row r="2467" ht="19.95" customFormat="1" customHeight="1" s="511">
      <c r="A2467" s="277" t="n"/>
      <c r="B2467" s="285" t="n"/>
      <c r="C2467" s="579" t="n"/>
      <c r="D2467" s="580" t="n"/>
      <c r="E2467" s="581" t="n"/>
      <c r="F2467" s="577" t="n"/>
      <c r="G2467" s="582" t="n"/>
      <c r="H2467" s="583" t="n"/>
      <c r="I2467" s="510" t="n"/>
    </row>
    <row r="2468" ht="19.95" customFormat="1" customHeight="1" s="511">
      <c r="A2468" s="277" t="n"/>
      <c r="B2468" s="285" t="n"/>
      <c r="C2468" s="579" t="n"/>
      <c r="D2468" s="580" t="n"/>
      <c r="E2468" s="581" t="n"/>
      <c r="F2468" s="577" t="n"/>
      <c r="G2468" s="582" t="n"/>
      <c r="H2468" s="583" t="n"/>
      <c r="I2468" s="510" t="n"/>
    </row>
    <row r="2469" ht="19.95" customFormat="1" customHeight="1" s="511">
      <c r="A2469" s="277" t="n"/>
      <c r="B2469" s="285" t="n"/>
      <c r="C2469" s="579" t="n"/>
      <c r="D2469" s="580" t="n"/>
      <c r="E2469" s="581" t="n"/>
      <c r="F2469" s="577" t="n"/>
      <c r="G2469" s="582" t="n"/>
      <c r="H2469" s="583" t="n"/>
      <c r="I2469" s="510" t="n"/>
    </row>
    <row r="2470" ht="19.95" customFormat="1" customHeight="1" s="511">
      <c r="A2470" s="277" t="n"/>
      <c r="B2470" s="285" t="n"/>
      <c r="C2470" s="579" t="n"/>
      <c r="D2470" s="580" t="n"/>
      <c r="E2470" s="581" t="n"/>
      <c r="F2470" s="577" t="n"/>
      <c r="G2470" s="582" t="n"/>
      <c r="H2470" s="583" t="n"/>
      <c r="I2470" s="510" t="n"/>
    </row>
    <row r="2471" ht="19.95" customFormat="1" customHeight="1" s="511">
      <c r="A2471" s="277" t="n"/>
      <c r="B2471" s="285" t="n"/>
      <c r="C2471" s="579" t="n"/>
      <c r="D2471" s="580" t="n"/>
      <c r="E2471" s="581" t="n"/>
      <c r="F2471" s="577" t="n"/>
      <c r="G2471" s="582" t="n"/>
      <c r="H2471" s="583" t="n"/>
      <c r="I2471" s="510" t="n"/>
    </row>
    <row r="2472" ht="19.95" customFormat="1" customHeight="1" s="511">
      <c r="A2472" s="277" t="n"/>
      <c r="B2472" s="285" t="n"/>
      <c r="C2472" s="579" t="n"/>
      <c r="D2472" s="580" t="n"/>
      <c r="E2472" s="581" t="n"/>
      <c r="F2472" s="577" t="n"/>
      <c r="G2472" s="582" t="n"/>
      <c r="H2472" s="583" t="n"/>
      <c r="I2472" s="510" t="n"/>
    </row>
    <row r="2473" ht="19.95" customFormat="1" customHeight="1" s="511">
      <c r="A2473" s="277" t="n"/>
      <c r="B2473" s="285" t="n"/>
      <c r="C2473" s="579" t="n"/>
      <c r="D2473" s="580" t="n"/>
      <c r="E2473" s="581" t="n"/>
      <c r="F2473" s="577" t="n"/>
      <c r="G2473" s="582" t="n"/>
      <c r="H2473" s="583" t="n"/>
      <c r="I2473" s="510" t="n"/>
    </row>
    <row r="2474" ht="19.95" customFormat="1" customHeight="1" s="511">
      <c r="A2474" s="277" t="n"/>
      <c r="B2474" s="285" t="n"/>
      <c r="C2474" s="579" t="n"/>
      <c r="D2474" s="580" t="n"/>
      <c r="E2474" s="581" t="n"/>
      <c r="F2474" s="577" t="n"/>
      <c r="G2474" s="582" t="n"/>
      <c r="H2474" s="583" t="n"/>
      <c r="I2474" s="510" t="n"/>
    </row>
    <row r="2475" ht="19.95" customFormat="1" customHeight="1" s="511">
      <c r="A2475" s="277" t="n"/>
      <c r="B2475" s="285" t="n"/>
      <c r="C2475" s="579" t="n"/>
      <c r="D2475" s="580" t="n"/>
      <c r="E2475" s="581" t="n"/>
      <c r="F2475" s="577" t="n"/>
      <c r="G2475" s="582" t="n"/>
      <c r="H2475" s="583" t="n"/>
      <c r="I2475" s="510" t="n"/>
    </row>
    <row r="2476" ht="19.95" customFormat="1" customHeight="1" s="511">
      <c r="A2476" s="277" t="n"/>
      <c r="B2476" s="285" t="n"/>
      <c r="C2476" s="579" t="n"/>
      <c r="D2476" s="580" t="n"/>
      <c r="E2476" s="581" t="n"/>
      <c r="F2476" s="577" t="n"/>
      <c r="G2476" s="582" t="n"/>
      <c r="H2476" s="583" t="n"/>
      <c r="I2476" s="510" t="n"/>
    </row>
    <row r="2477" ht="19.95" customFormat="1" customHeight="1" s="511">
      <c r="A2477" s="277" t="n"/>
      <c r="B2477" s="285" t="n"/>
      <c r="C2477" s="579" t="n"/>
      <c r="D2477" s="580" t="n"/>
      <c r="E2477" s="581" t="n"/>
      <c r="F2477" s="577" t="n"/>
      <c r="G2477" s="582" t="n"/>
      <c r="H2477" s="583" t="n"/>
      <c r="I2477" s="510" t="n"/>
    </row>
    <row r="2478" ht="19.95" customFormat="1" customHeight="1" s="511">
      <c r="A2478" s="277" t="n"/>
      <c r="B2478" s="285" t="n"/>
      <c r="C2478" s="579" t="n"/>
      <c r="D2478" s="580" t="n"/>
      <c r="E2478" s="581" t="n"/>
      <c r="F2478" s="577" t="n"/>
      <c r="G2478" s="582" t="n"/>
      <c r="H2478" s="583" t="n"/>
      <c r="I2478" s="510" t="n"/>
    </row>
    <row r="2479" ht="19.95" customFormat="1" customHeight="1" s="511">
      <c r="A2479" s="277" t="n"/>
      <c r="B2479" s="285" t="n"/>
      <c r="C2479" s="579" t="n"/>
      <c r="D2479" s="580" t="n"/>
      <c r="E2479" s="581" t="n"/>
      <c r="F2479" s="577" t="n"/>
      <c r="G2479" s="582" t="n"/>
      <c r="H2479" s="583" t="n"/>
      <c r="I2479" s="510" t="n"/>
    </row>
    <row r="2480" ht="19.95" customFormat="1" customHeight="1" s="511">
      <c r="A2480" s="277" t="n"/>
      <c r="B2480" s="285" t="n"/>
      <c r="C2480" s="579" t="n"/>
      <c r="D2480" s="580" t="n"/>
      <c r="E2480" s="581" t="n"/>
      <c r="F2480" s="577" t="n"/>
      <c r="G2480" s="582" t="n"/>
      <c r="H2480" s="583" t="n"/>
      <c r="I2480" s="510" t="n"/>
    </row>
    <row r="2481" ht="19.95" customFormat="1" customHeight="1" s="511">
      <c r="A2481" s="277" t="n"/>
      <c r="B2481" s="285" t="n"/>
      <c r="C2481" s="579" t="n"/>
      <c r="D2481" s="580" t="n"/>
      <c r="E2481" s="581" t="n"/>
      <c r="F2481" s="577" t="n"/>
      <c r="G2481" s="582" t="n"/>
      <c r="H2481" s="583" t="n"/>
      <c r="I2481" s="510" t="n"/>
    </row>
    <row r="2482" ht="19.95" customFormat="1" customHeight="1" s="511">
      <c r="A2482" s="277" t="n"/>
      <c r="B2482" s="285" t="n"/>
      <c r="C2482" s="579" t="n"/>
      <c r="D2482" s="580" t="n"/>
      <c r="E2482" s="581" t="n"/>
      <c r="F2482" s="577" t="n"/>
      <c r="G2482" s="582" t="n"/>
      <c r="H2482" s="583" t="n"/>
      <c r="I2482" s="510" t="n"/>
    </row>
    <row r="2483" ht="19.95" customFormat="1" customHeight="1" s="511">
      <c r="A2483" s="277" t="n"/>
      <c r="B2483" s="285" t="n"/>
      <c r="C2483" s="579" t="n"/>
      <c r="D2483" s="580" t="n"/>
      <c r="E2483" s="581" t="n"/>
      <c r="F2483" s="577" t="n"/>
      <c r="G2483" s="582" t="n"/>
      <c r="H2483" s="583" t="n"/>
      <c r="I2483" s="510" t="n"/>
    </row>
    <row r="2484" ht="19.95" customFormat="1" customHeight="1" s="511">
      <c r="A2484" s="277" t="n"/>
      <c r="B2484" s="285" t="n"/>
      <c r="C2484" s="579" t="n"/>
      <c r="D2484" s="580" t="n"/>
      <c r="E2484" s="581" t="n"/>
      <c r="F2484" s="577" t="n"/>
      <c r="G2484" s="582" t="n"/>
      <c r="H2484" s="583" t="n"/>
      <c r="I2484" s="510" t="n"/>
    </row>
    <row r="2485" ht="19.95" customFormat="1" customHeight="1" s="511">
      <c r="A2485" s="277" t="n"/>
      <c r="B2485" s="285" t="n"/>
      <c r="C2485" s="579" t="n"/>
      <c r="D2485" s="580" t="n"/>
      <c r="E2485" s="581" t="n"/>
      <c r="F2485" s="577" t="n"/>
      <c r="G2485" s="582" t="n"/>
      <c r="H2485" s="583" t="n"/>
      <c r="I2485" s="510" t="n"/>
    </row>
    <row r="2486" ht="19.95" customFormat="1" customHeight="1" s="511">
      <c r="A2486" s="277" t="n"/>
      <c r="B2486" s="285" t="n"/>
      <c r="C2486" s="579" t="n"/>
      <c r="D2486" s="580" t="n"/>
      <c r="E2486" s="581" t="n"/>
      <c r="F2486" s="577" t="n"/>
      <c r="G2486" s="582" t="n"/>
      <c r="H2486" s="583" t="n"/>
      <c r="I2486" s="510" t="n"/>
    </row>
    <row r="2487" ht="19.95" customFormat="1" customHeight="1" s="511">
      <c r="A2487" s="277" t="n"/>
      <c r="B2487" s="285" t="n"/>
      <c r="C2487" s="579" t="n"/>
      <c r="D2487" s="580" t="n"/>
      <c r="E2487" s="581" t="n"/>
      <c r="F2487" s="577" t="n"/>
      <c r="G2487" s="582" t="n"/>
      <c r="H2487" s="583" t="n"/>
      <c r="I2487" s="510" t="n"/>
    </row>
    <row r="2488" ht="19.95" customFormat="1" customHeight="1" s="511">
      <c r="A2488" s="277" t="n"/>
      <c r="B2488" s="285" t="n"/>
      <c r="C2488" s="579" t="n"/>
      <c r="D2488" s="580" t="n"/>
      <c r="E2488" s="581" t="n"/>
      <c r="F2488" s="577" t="n"/>
      <c r="G2488" s="582" t="n"/>
      <c r="H2488" s="583" t="n"/>
      <c r="I2488" s="510" t="n"/>
    </row>
    <row r="2489" ht="19.95" customFormat="1" customHeight="1" s="511">
      <c r="A2489" s="277" t="n"/>
      <c r="B2489" s="285" t="n"/>
      <c r="C2489" s="579" t="n"/>
      <c r="D2489" s="580" t="n"/>
      <c r="E2489" s="581" t="n"/>
      <c r="F2489" s="577" t="n"/>
      <c r="G2489" s="582" t="n"/>
      <c r="H2489" s="583" t="n"/>
      <c r="I2489" s="510" t="n"/>
    </row>
    <row r="2490" ht="19.95" customFormat="1" customHeight="1" s="511">
      <c r="A2490" s="277" t="n"/>
      <c r="B2490" s="285" t="n"/>
      <c r="C2490" s="579" t="n"/>
      <c r="D2490" s="580" t="n"/>
      <c r="E2490" s="581" t="n"/>
      <c r="F2490" s="577" t="n"/>
      <c r="G2490" s="582" t="n"/>
      <c r="H2490" s="583" t="n"/>
      <c r="I2490" s="510" t="n"/>
    </row>
    <row r="2491" ht="19.95" customFormat="1" customHeight="1" s="511">
      <c r="A2491" s="277" t="n"/>
      <c r="B2491" s="285" t="n"/>
      <c r="C2491" s="579" t="n"/>
      <c r="D2491" s="580" t="n"/>
      <c r="E2491" s="581" t="n"/>
      <c r="F2491" s="577" t="n"/>
      <c r="G2491" s="582" t="n"/>
      <c r="H2491" s="583" t="n"/>
      <c r="I2491" s="510" t="n"/>
    </row>
    <row r="2492" ht="19.95" customFormat="1" customHeight="1" s="511">
      <c r="A2492" s="277" t="n"/>
      <c r="B2492" s="285" t="n"/>
      <c r="C2492" s="579" t="n"/>
      <c r="D2492" s="580" t="n"/>
      <c r="E2492" s="581" t="n"/>
      <c r="F2492" s="577" t="n"/>
      <c r="G2492" s="582" t="n"/>
      <c r="H2492" s="583" t="n"/>
      <c r="I2492" s="510" t="n"/>
    </row>
    <row r="2493" ht="19.95" customFormat="1" customHeight="1" s="511">
      <c r="A2493" s="277" t="n"/>
      <c r="B2493" s="285" t="n"/>
      <c r="C2493" s="579" t="n"/>
      <c r="D2493" s="580" t="n"/>
      <c r="E2493" s="581" t="n"/>
      <c r="F2493" s="577" t="n"/>
      <c r="G2493" s="582" t="n"/>
      <c r="H2493" s="583" t="n"/>
      <c r="I2493" s="510" t="n"/>
    </row>
    <row r="2494" ht="19.95" customFormat="1" customHeight="1" s="511">
      <c r="A2494" s="277" t="n"/>
      <c r="B2494" s="285" t="n"/>
      <c r="C2494" s="579" t="n"/>
      <c r="D2494" s="580" t="n"/>
      <c r="E2494" s="581" t="n"/>
      <c r="F2494" s="577" t="n"/>
      <c r="G2494" s="582" t="n"/>
      <c r="H2494" s="583" t="n"/>
      <c r="I2494" s="510" t="n"/>
    </row>
    <row r="2495" ht="19.95" customFormat="1" customHeight="1" s="511">
      <c r="A2495" s="277" t="n"/>
      <c r="B2495" s="285" t="n"/>
      <c r="C2495" s="579" t="n"/>
      <c r="D2495" s="580" t="n"/>
      <c r="E2495" s="581" t="n"/>
      <c r="F2495" s="577" t="n"/>
      <c r="G2495" s="582" t="n"/>
      <c r="H2495" s="583" t="n"/>
      <c r="I2495" s="510" t="n"/>
    </row>
    <row r="2496" ht="19.95" customFormat="1" customHeight="1" s="511">
      <c r="A2496" s="277" t="n"/>
      <c r="B2496" s="285" t="n"/>
      <c r="C2496" s="579" t="n"/>
      <c r="D2496" s="580" t="n"/>
      <c r="E2496" s="581" t="n"/>
      <c r="F2496" s="577" t="n"/>
      <c r="G2496" s="582" t="n"/>
      <c r="H2496" s="583" t="n"/>
      <c r="I2496" s="510" t="n"/>
    </row>
    <row r="2497" ht="19.95" customFormat="1" customHeight="1" s="511">
      <c r="A2497" s="277" t="n"/>
      <c r="B2497" s="285" t="n"/>
      <c r="C2497" s="579" t="n"/>
      <c r="D2497" s="580" t="n"/>
      <c r="E2497" s="581" t="n"/>
      <c r="F2497" s="577" t="n"/>
      <c r="G2497" s="582" t="n"/>
      <c r="H2497" s="583" t="n"/>
      <c r="I2497" s="510" t="n"/>
    </row>
    <row r="2498" ht="19.95" customFormat="1" customHeight="1" s="511">
      <c r="A2498" s="277" t="n"/>
      <c r="B2498" s="285" t="n"/>
      <c r="C2498" s="579" t="n"/>
      <c r="D2498" s="580" t="n"/>
      <c r="E2498" s="581" t="n"/>
      <c r="F2498" s="577" t="n"/>
      <c r="G2498" s="582" t="n"/>
      <c r="H2498" s="583" t="n"/>
      <c r="I2498" s="510" t="n"/>
    </row>
    <row r="2499" ht="19.95" customFormat="1" customHeight="1" s="511">
      <c r="A2499" s="277" t="n"/>
      <c r="B2499" s="285" t="n"/>
      <c r="C2499" s="579" t="n"/>
      <c r="D2499" s="580" t="n"/>
      <c r="E2499" s="581" t="n"/>
      <c r="F2499" s="577" t="n"/>
      <c r="G2499" s="582" t="n"/>
      <c r="H2499" s="583" t="n"/>
      <c r="I2499" s="510" t="n"/>
    </row>
    <row r="2500" ht="19.95" customFormat="1" customHeight="1" s="511">
      <c r="A2500" s="277" t="n"/>
      <c r="B2500" s="285" t="n"/>
      <c r="C2500" s="579" t="n"/>
      <c r="D2500" s="580" t="n"/>
      <c r="E2500" s="581" t="n"/>
      <c r="F2500" s="577" t="n"/>
      <c r="G2500" s="582" t="n"/>
      <c r="H2500" s="583" t="n"/>
      <c r="I2500" s="510" t="n"/>
    </row>
    <row r="2501" ht="19.95" customFormat="1" customHeight="1" s="511">
      <c r="A2501" s="277" t="n"/>
      <c r="B2501" s="285" t="n"/>
      <c r="C2501" s="579" t="n"/>
      <c r="D2501" s="580" t="n"/>
      <c r="E2501" s="581" t="n"/>
      <c r="F2501" s="577" t="n"/>
      <c r="G2501" s="582" t="n"/>
      <c r="H2501" s="583" t="n"/>
      <c r="I2501" s="510" t="n"/>
    </row>
    <row r="2502" ht="19.95" customFormat="1" customHeight="1" s="511">
      <c r="A2502" s="277" t="n"/>
      <c r="B2502" s="285" t="n"/>
      <c r="C2502" s="579" t="n"/>
      <c r="D2502" s="580" t="n"/>
      <c r="E2502" s="581" t="n"/>
      <c r="F2502" s="577" t="n"/>
      <c r="G2502" s="582" t="n"/>
      <c r="H2502" s="583" t="n"/>
      <c r="I2502" s="510" t="n"/>
    </row>
    <row r="2503" ht="19.95" customFormat="1" customHeight="1" s="511">
      <c r="A2503" s="277" t="n"/>
      <c r="B2503" s="285" t="n"/>
      <c r="C2503" s="579" t="n"/>
      <c r="D2503" s="580" t="n"/>
      <c r="E2503" s="581" t="n"/>
      <c r="F2503" s="577" t="n"/>
      <c r="G2503" s="582" t="n"/>
      <c r="H2503" s="583" t="n"/>
      <c r="I2503" s="510" t="n"/>
    </row>
    <row r="2504" ht="19.95" customFormat="1" customHeight="1" s="511">
      <c r="A2504" s="277" t="n"/>
      <c r="B2504" s="285" t="n"/>
      <c r="C2504" s="579" t="n"/>
      <c r="D2504" s="580" t="n"/>
      <c r="E2504" s="581" t="n"/>
      <c r="F2504" s="577" t="n"/>
      <c r="G2504" s="582" t="n"/>
      <c r="H2504" s="583" t="n"/>
      <c r="I2504" s="510" t="n"/>
    </row>
    <row r="2505" ht="19.95" customFormat="1" customHeight="1" s="511">
      <c r="A2505" s="277" t="n"/>
      <c r="B2505" s="285" t="n"/>
      <c r="C2505" s="579" t="n"/>
      <c r="D2505" s="580" t="n"/>
      <c r="E2505" s="581" t="n"/>
      <c r="F2505" s="577" t="n"/>
      <c r="G2505" s="582" t="n"/>
      <c r="H2505" s="583" t="n"/>
      <c r="I2505" s="510" t="n"/>
    </row>
    <row r="2506" ht="19.95" customFormat="1" customHeight="1" s="511">
      <c r="A2506" s="277" t="n"/>
      <c r="B2506" s="285" t="n"/>
      <c r="C2506" s="579" t="n"/>
      <c r="D2506" s="580" t="n"/>
      <c r="E2506" s="581" t="n"/>
      <c r="F2506" s="577" t="n"/>
      <c r="G2506" s="582" t="n"/>
      <c r="H2506" s="583" t="n"/>
      <c r="I2506" s="510" t="n"/>
    </row>
    <row r="2507" ht="19.95" customFormat="1" customHeight="1" s="511">
      <c r="A2507" s="277" t="n"/>
      <c r="B2507" s="285" t="n"/>
      <c r="C2507" s="579" t="n"/>
      <c r="D2507" s="580" t="n"/>
      <c r="E2507" s="581" t="n"/>
      <c r="F2507" s="577" t="n"/>
      <c r="G2507" s="582" t="n"/>
      <c r="H2507" s="583" t="n"/>
      <c r="I2507" s="510" t="n"/>
    </row>
    <row r="2508" ht="19.95" customFormat="1" customHeight="1" s="511">
      <c r="A2508" s="277" t="n"/>
      <c r="B2508" s="285" t="n"/>
      <c r="C2508" s="579" t="n"/>
      <c r="D2508" s="580" t="n"/>
      <c r="E2508" s="581" t="n"/>
      <c r="F2508" s="577" t="n"/>
      <c r="G2508" s="582" t="n"/>
      <c r="H2508" s="583" t="n"/>
      <c r="I2508" s="510" t="n"/>
    </row>
    <row r="2509" ht="19.95" customFormat="1" customHeight="1" s="511">
      <c r="A2509" s="277" t="n"/>
      <c r="B2509" s="285" t="n"/>
      <c r="C2509" s="579" t="n"/>
      <c r="D2509" s="580" t="n"/>
      <c r="E2509" s="581" t="n"/>
      <c r="F2509" s="577" t="n"/>
      <c r="G2509" s="582" t="n"/>
      <c r="H2509" s="583" t="n"/>
      <c r="I2509" s="510" t="n"/>
    </row>
    <row r="2510" ht="19.95" customFormat="1" customHeight="1" s="511">
      <c r="A2510" s="277" t="n"/>
      <c r="B2510" s="285" t="n"/>
      <c r="C2510" s="579" t="n"/>
      <c r="D2510" s="580" t="n"/>
      <c r="E2510" s="581" t="n"/>
      <c r="F2510" s="577" t="n"/>
      <c r="G2510" s="582" t="n"/>
      <c r="H2510" s="583" t="n"/>
      <c r="I2510" s="510" t="n"/>
    </row>
    <row r="2511" ht="19.95" customFormat="1" customHeight="1" s="511">
      <c r="A2511" s="277" t="n"/>
      <c r="B2511" s="285" t="n"/>
      <c r="C2511" s="579" t="n"/>
      <c r="D2511" s="580" t="n"/>
      <c r="E2511" s="581" t="n"/>
      <c r="F2511" s="577" t="n"/>
      <c r="G2511" s="582" t="n"/>
      <c r="H2511" s="583" t="n"/>
      <c r="I2511" s="510" t="n"/>
    </row>
    <row r="2512" ht="19.95" customFormat="1" customHeight="1" s="511">
      <c r="A2512" s="277" t="n"/>
      <c r="B2512" s="285" t="n"/>
      <c r="C2512" s="579" t="n"/>
      <c r="D2512" s="580" t="n"/>
      <c r="E2512" s="581" t="n"/>
      <c r="F2512" s="577" t="n"/>
      <c r="G2512" s="582" t="n"/>
      <c r="H2512" s="583" t="n"/>
      <c r="I2512" s="510" t="n"/>
    </row>
    <row r="2513" ht="19.95" customFormat="1" customHeight="1" s="511">
      <c r="A2513" s="277" t="n"/>
      <c r="B2513" s="285" t="n"/>
      <c r="C2513" s="579" t="n"/>
      <c r="D2513" s="580" t="n"/>
      <c r="E2513" s="581" t="n"/>
      <c r="F2513" s="577" t="n"/>
      <c r="G2513" s="582" t="n"/>
      <c r="H2513" s="583" t="n"/>
      <c r="I2513" s="510" t="n"/>
    </row>
    <row r="2514" ht="19.95" customFormat="1" customHeight="1" s="511">
      <c r="A2514" s="277" t="n"/>
      <c r="B2514" s="285" t="n"/>
      <c r="C2514" s="579" t="n"/>
      <c r="D2514" s="580" t="n"/>
      <c r="E2514" s="581" t="n"/>
      <c r="F2514" s="577" t="n"/>
      <c r="G2514" s="582" t="n"/>
      <c r="H2514" s="583" t="n"/>
      <c r="I2514" s="510" t="n"/>
    </row>
    <row r="2515" ht="19.95" customFormat="1" customHeight="1" s="511">
      <c r="A2515" s="277" t="n"/>
      <c r="B2515" s="285" t="n"/>
      <c r="C2515" s="579" t="n"/>
      <c r="D2515" s="580" t="n"/>
      <c r="E2515" s="581" t="n"/>
      <c r="F2515" s="577" t="n"/>
      <c r="G2515" s="582" t="n"/>
      <c r="H2515" s="583" t="n"/>
      <c r="I2515" s="510" t="n"/>
    </row>
    <row r="2516" ht="19.95" customFormat="1" customHeight="1" s="511">
      <c r="A2516" s="277" t="n"/>
      <c r="B2516" s="285" t="n"/>
      <c r="C2516" s="579" t="n"/>
      <c r="D2516" s="580" t="n"/>
      <c r="E2516" s="581" t="n"/>
      <c r="F2516" s="577" t="n"/>
      <c r="G2516" s="582" t="n"/>
      <c r="H2516" s="583" t="n"/>
      <c r="I2516" s="510" t="n"/>
    </row>
    <row r="2517" ht="19.95" customFormat="1" customHeight="1" s="511">
      <c r="A2517" s="277" t="n"/>
      <c r="B2517" s="285" t="n"/>
      <c r="C2517" s="579" t="n"/>
      <c r="D2517" s="580" t="n"/>
      <c r="E2517" s="581" t="n"/>
      <c r="F2517" s="577" t="n"/>
      <c r="G2517" s="582" t="n"/>
      <c r="H2517" s="583" t="n"/>
      <c r="I2517" s="510" t="n"/>
    </row>
    <row r="2518" ht="19.95" customFormat="1" customHeight="1" s="511">
      <c r="A2518" s="277" t="n"/>
      <c r="B2518" s="285" t="n"/>
      <c r="C2518" s="579" t="n"/>
      <c r="D2518" s="580" t="n"/>
      <c r="E2518" s="581" t="n"/>
      <c r="F2518" s="577" t="n"/>
      <c r="G2518" s="582" t="n"/>
      <c r="H2518" s="583" t="n"/>
      <c r="I2518" s="510" t="n"/>
    </row>
    <row r="2519" ht="19.95" customFormat="1" customHeight="1" s="511">
      <c r="A2519" s="277" t="n"/>
      <c r="B2519" s="285" t="n"/>
      <c r="C2519" s="579" t="n"/>
      <c r="D2519" s="580" t="n"/>
      <c r="E2519" s="581" t="n"/>
      <c r="F2519" s="577" t="n"/>
      <c r="G2519" s="582" t="n"/>
      <c r="H2519" s="583" t="n"/>
      <c r="I2519" s="510" t="n"/>
    </row>
    <row r="2520" ht="19.95" customFormat="1" customHeight="1" s="511">
      <c r="A2520" s="277" t="n"/>
      <c r="B2520" s="285" t="n"/>
      <c r="C2520" s="579" t="n"/>
      <c r="D2520" s="580" t="n"/>
      <c r="E2520" s="581" t="n"/>
      <c r="F2520" s="577" t="n"/>
      <c r="G2520" s="582" t="n"/>
      <c r="H2520" s="583" t="n"/>
      <c r="I2520" s="510" t="n"/>
    </row>
    <row r="2521" ht="19.95" customFormat="1" customHeight="1" s="511">
      <c r="A2521" s="277" t="n"/>
      <c r="B2521" s="285" t="n"/>
      <c r="C2521" s="579" t="n"/>
      <c r="D2521" s="580" t="n"/>
      <c r="E2521" s="581" t="n"/>
      <c r="F2521" s="577" t="n"/>
      <c r="G2521" s="582" t="n"/>
      <c r="H2521" s="583" t="n"/>
      <c r="I2521" s="510" t="n"/>
    </row>
    <row r="2522" ht="19.95" customFormat="1" customHeight="1" s="511">
      <c r="A2522" s="277" t="n"/>
      <c r="B2522" s="285" t="n"/>
      <c r="C2522" s="579" t="n"/>
      <c r="D2522" s="580" t="n"/>
      <c r="E2522" s="581" t="n"/>
      <c r="F2522" s="577" t="n"/>
      <c r="G2522" s="582" t="n"/>
      <c r="H2522" s="583" t="n"/>
      <c r="I2522" s="510" t="n"/>
    </row>
    <row r="2523" ht="19.95" customFormat="1" customHeight="1" s="511">
      <c r="A2523" s="277" t="n"/>
      <c r="B2523" s="285" t="n"/>
      <c r="C2523" s="579" t="n"/>
      <c r="D2523" s="580" t="n"/>
      <c r="E2523" s="581" t="n"/>
      <c r="F2523" s="577" t="n"/>
      <c r="G2523" s="582" t="n"/>
      <c r="H2523" s="583" t="n"/>
      <c r="I2523" s="510" t="n"/>
    </row>
    <row r="2524" ht="19.95" customFormat="1" customHeight="1" s="511">
      <c r="A2524" s="277" t="n"/>
      <c r="B2524" s="285" t="n"/>
      <c r="C2524" s="579" t="n"/>
      <c r="D2524" s="580" t="n"/>
      <c r="E2524" s="581" t="n"/>
      <c r="F2524" s="577" t="n"/>
      <c r="G2524" s="582" t="n"/>
      <c r="H2524" s="583" t="n"/>
      <c r="I2524" s="510" t="n"/>
    </row>
    <row r="2525" ht="19.95" customFormat="1" customHeight="1" s="511">
      <c r="A2525" s="277" t="n"/>
      <c r="B2525" s="285" t="n"/>
      <c r="C2525" s="579" t="n"/>
      <c r="D2525" s="580" t="n"/>
      <c r="E2525" s="581" t="n"/>
      <c r="F2525" s="577" t="n"/>
      <c r="G2525" s="582" t="n"/>
      <c r="H2525" s="583" t="n"/>
      <c r="I2525" s="510" t="n"/>
    </row>
    <row r="2526" ht="19.95" customFormat="1" customHeight="1" s="511">
      <c r="A2526" s="277" t="n"/>
      <c r="B2526" s="285" t="n"/>
      <c r="C2526" s="579" t="n"/>
      <c r="D2526" s="580" t="n"/>
      <c r="E2526" s="581" t="n"/>
      <c r="F2526" s="577" t="n"/>
      <c r="G2526" s="582" t="n"/>
      <c r="H2526" s="583" t="n"/>
      <c r="I2526" s="510" t="n"/>
    </row>
    <row r="2527" ht="19.95" customFormat="1" customHeight="1" s="511">
      <c r="A2527" s="277" t="n"/>
      <c r="B2527" s="285" t="n"/>
      <c r="C2527" s="579" t="n"/>
      <c r="D2527" s="580" t="n"/>
      <c r="E2527" s="581" t="n"/>
      <c r="F2527" s="577" t="n"/>
      <c r="G2527" s="582" t="n"/>
      <c r="H2527" s="583" t="n"/>
      <c r="I2527" s="510" t="n"/>
    </row>
    <row r="2528" ht="19.95" customFormat="1" customHeight="1" s="511">
      <c r="A2528" s="277" t="n"/>
      <c r="B2528" s="285" t="n"/>
      <c r="C2528" s="579" t="n"/>
      <c r="D2528" s="580" t="n"/>
      <c r="E2528" s="581" t="n"/>
      <c r="F2528" s="577" t="n"/>
      <c r="G2528" s="582" t="n"/>
      <c r="H2528" s="583" t="n"/>
      <c r="I2528" s="510" t="n"/>
    </row>
    <row r="2529" ht="19.95" customFormat="1" customHeight="1" s="511">
      <c r="A2529" s="277" t="n"/>
      <c r="B2529" s="285" t="n"/>
      <c r="C2529" s="579" t="n"/>
      <c r="D2529" s="580" t="n"/>
      <c r="E2529" s="581" t="n"/>
      <c r="F2529" s="577" t="n"/>
      <c r="G2529" s="582" t="n"/>
      <c r="H2529" s="583" t="n"/>
      <c r="I2529" s="510" t="n"/>
    </row>
    <row r="2530" ht="19.95" customFormat="1" customHeight="1" s="511">
      <c r="A2530" s="277" t="n"/>
      <c r="B2530" s="285" t="n"/>
      <c r="C2530" s="579" t="n"/>
      <c r="D2530" s="580" t="n"/>
      <c r="E2530" s="581" t="n"/>
      <c r="F2530" s="577" t="n"/>
      <c r="G2530" s="582" t="n"/>
      <c r="H2530" s="583" t="n"/>
      <c r="I2530" s="510" t="n"/>
    </row>
    <row r="2531" ht="19.95" customFormat="1" customHeight="1" s="511">
      <c r="A2531" s="277" t="n"/>
      <c r="B2531" s="285" t="n"/>
      <c r="C2531" s="579" t="n"/>
      <c r="D2531" s="580" t="n"/>
      <c r="E2531" s="581" t="n"/>
      <c r="F2531" s="577" t="n"/>
      <c r="G2531" s="582" t="n"/>
      <c r="H2531" s="583" t="n"/>
      <c r="I2531" s="510" t="n"/>
    </row>
    <row r="2532" ht="19.95" customFormat="1" customHeight="1" s="511">
      <c r="A2532" s="277" t="n"/>
      <c r="B2532" s="285" t="n"/>
      <c r="C2532" s="579" t="n"/>
      <c r="D2532" s="580" t="n"/>
      <c r="E2532" s="581" t="n"/>
      <c r="F2532" s="577" t="n"/>
      <c r="G2532" s="582" t="n"/>
      <c r="H2532" s="583" t="n"/>
      <c r="I2532" s="510" t="n"/>
    </row>
    <row r="2533" ht="19.95" customFormat="1" customHeight="1" s="511">
      <c r="A2533" s="277" t="n"/>
      <c r="B2533" s="285" t="n"/>
      <c r="C2533" s="579" t="n"/>
      <c r="D2533" s="580" t="n"/>
      <c r="E2533" s="581" t="n"/>
      <c r="F2533" s="577" t="n"/>
      <c r="G2533" s="582" t="n"/>
      <c r="H2533" s="583" t="n"/>
      <c r="I2533" s="510" t="n"/>
    </row>
    <row r="2534" ht="19.95" customFormat="1" customHeight="1" s="511">
      <c r="A2534" s="277" t="n"/>
      <c r="B2534" s="285" t="n"/>
      <c r="C2534" s="579" t="n"/>
      <c r="D2534" s="580" t="n"/>
      <c r="E2534" s="581" t="n"/>
      <c r="F2534" s="577" t="n"/>
      <c r="G2534" s="582" t="n"/>
      <c r="H2534" s="583" t="n"/>
      <c r="I2534" s="510" t="n"/>
    </row>
    <row r="2535" ht="19.95" customFormat="1" customHeight="1" s="511">
      <c r="A2535" s="277" t="n"/>
      <c r="B2535" s="285" t="n"/>
      <c r="C2535" s="579" t="n"/>
      <c r="D2535" s="580" t="n"/>
      <c r="E2535" s="581" t="n"/>
      <c r="F2535" s="577" t="n"/>
      <c r="G2535" s="582" t="n"/>
      <c r="H2535" s="583" t="n"/>
      <c r="I2535" s="510" t="n"/>
    </row>
    <row r="2536" ht="19.95" customFormat="1" customHeight="1" s="511">
      <c r="A2536" s="277" t="n"/>
      <c r="B2536" s="285" t="n"/>
      <c r="C2536" s="579" t="n"/>
      <c r="D2536" s="580" t="n"/>
      <c r="E2536" s="581" t="n"/>
      <c r="F2536" s="577" t="n"/>
      <c r="G2536" s="582" t="n"/>
      <c r="H2536" s="583" t="n"/>
      <c r="I2536" s="510" t="n"/>
    </row>
    <row r="2537" ht="19.95" customFormat="1" customHeight="1" s="511">
      <c r="A2537" s="277" t="n"/>
      <c r="B2537" s="285" t="n"/>
      <c r="C2537" s="579" t="n"/>
      <c r="D2537" s="580" t="n"/>
      <c r="E2537" s="581" t="n"/>
      <c r="F2537" s="577" t="n"/>
      <c r="G2537" s="582" t="n"/>
      <c r="H2537" s="583" t="n"/>
      <c r="I2537" s="510" t="n"/>
    </row>
    <row r="2538" ht="19.95" customFormat="1" customHeight="1" s="511">
      <c r="A2538" s="277" t="n"/>
      <c r="B2538" s="285" t="n"/>
      <c r="C2538" s="579" t="n"/>
      <c r="D2538" s="580" t="n"/>
      <c r="E2538" s="581" t="n"/>
      <c r="F2538" s="577" t="n"/>
      <c r="G2538" s="582" t="n"/>
      <c r="H2538" s="583" t="n"/>
      <c r="I2538" s="510" t="n"/>
    </row>
    <row r="2539" ht="19.95" customFormat="1" customHeight="1" s="511">
      <c r="A2539" s="277" t="n"/>
      <c r="B2539" s="285" t="n"/>
      <c r="C2539" s="579" t="n"/>
      <c r="D2539" s="580" t="n"/>
      <c r="E2539" s="581" t="n"/>
      <c r="F2539" s="577" t="n"/>
      <c r="G2539" s="582" t="n"/>
      <c r="H2539" s="583" t="n"/>
      <c r="I2539" s="510" t="n"/>
    </row>
    <row r="2540" ht="19.95" customFormat="1" customHeight="1" s="511">
      <c r="A2540" s="277" t="n"/>
      <c r="B2540" s="285" t="n"/>
      <c r="C2540" s="579" t="n"/>
      <c r="D2540" s="580" t="n"/>
      <c r="E2540" s="581" t="n"/>
      <c r="F2540" s="577" t="n"/>
      <c r="G2540" s="582" t="n"/>
      <c r="H2540" s="583" t="n"/>
      <c r="I2540" s="510" t="n"/>
    </row>
    <row r="2541" ht="19.95" customFormat="1" customHeight="1" s="511">
      <c r="A2541" s="277" t="n"/>
      <c r="B2541" s="285" t="n"/>
      <c r="C2541" s="579" t="n"/>
      <c r="D2541" s="580" t="n"/>
      <c r="E2541" s="581" t="n"/>
      <c r="F2541" s="577" t="n"/>
      <c r="G2541" s="582" t="n"/>
      <c r="H2541" s="583" t="n"/>
      <c r="I2541" s="510" t="n"/>
    </row>
    <row r="2542" ht="19.95" customFormat="1" customHeight="1" s="511">
      <c r="A2542" s="277" t="n"/>
      <c r="B2542" s="285" t="n"/>
      <c r="C2542" s="579" t="n"/>
      <c r="D2542" s="580" t="n"/>
      <c r="E2542" s="581" t="n"/>
      <c r="F2542" s="577" t="n"/>
      <c r="G2542" s="582" t="n"/>
      <c r="H2542" s="583" t="n"/>
      <c r="I2542" s="510" t="n"/>
    </row>
    <row r="2543" ht="19.95" customFormat="1" customHeight="1" s="511">
      <c r="A2543" s="277" t="n"/>
      <c r="B2543" s="285" t="n"/>
      <c r="C2543" s="579" t="n"/>
      <c r="D2543" s="580" t="n"/>
      <c r="E2543" s="581" t="n"/>
      <c r="F2543" s="577" t="n"/>
      <c r="G2543" s="582" t="n"/>
      <c r="H2543" s="583" t="n"/>
      <c r="I2543" s="510" t="n"/>
    </row>
    <row r="2544" ht="19.95" customFormat="1" customHeight="1" s="511">
      <c r="A2544" s="277" t="n"/>
      <c r="B2544" s="285" t="n"/>
      <c r="C2544" s="579" t="n"/>
      <c r="D2544" s="580" t="n"/>
      <c r="E2544" s="581" t="n"/>
      <c r="F2544" s="577" t="n"/>
      <c r="G2544" s="582" t="n"/>
      <c r="H2544" s="583" t="n"/>
      <c r="I2544" s="510" t="n"/>
    </row>
    <row r="2545" ht="19.95" customFormat="1" customHeight="1" s="511">
      <c r="A2545" s="277" t="n"/>
      <c r="B2545" s="285" t="n"/>
      <c r="C2545" s="579" t="n"/>
      <c r="D2545" s="580" t="n"/>
      <c r="E2545" s="581" t="n"/>
      <c r="F2545" s="577" t="n"/>
      <c r="G2545" s="582" t="n"/>
      <c r="H2545" s="583" t="n"/>
      <c r="I2545" s="510" t="n"/>
    </row>
    <row r="2546" ht="19.95" customFormat="1" customHeight="1" s="511">
      <c r="A2546" s="277" t="n"/>
      <c r="B2546" s="285" t="n"/>
      <c r="C2546" s="579" t="n"/>
      <c r="D2546" s="580" t="n"/>
      <c r="E2546" s="581" t="n"/>
      <c r="F2546" s="577" t="n"/>
      <c r="G2546" s="582" t="n"/>
      <c r="H2546" s="583" t="n"/>
      <c r="I2546" s="510" t="n"/>
    </row>
    <row r="2547" ht="19.95" customFormat="1" customHeight="1" s="511">
      <c r="A2547" s="277" t="n"/>
      <c r="B2547" s="285" t="n"/>
      <c r="C2547" s="579" t="n"/>
      <c r="D2547" s="580" t="n"/>
      <c r="E2547" s="581" t="n"/>
      <c r="F2547" s="577" t="n"/>
      <c r="G2547" s="582" t="n"/>
      <c r="H2547" s="583" t="n"/>
      <c r="I2547" s="510" t="n"/>
    </row>
    <row r="2548" ht="19.95" customFormat="1" customHeight="1" s="511">
      <c r="A2548" s="277" t="n"/>
      <c r="B2548" s="285" t="n"/>
      <c r="C2548" s="579" t="n"/>
      <c r="D2548" s="580" t="n"/>
      <c r="E2548" s="581" t="n"/>
      <c r="F2548" s="577" t="n"/>
      <c r="G2548" s="582" t="n"/>
      <c r="H2548" s="583" t="n"/>
      <c r="I2548" s="510" t="n"/>
    </row>
    <row r="2549" ht="19.95" customFormat="1" customHeight="1" s="511">
      <c r="A2549" s="277" t="n"/>
      <c r="B2549" s="285" t="n"/>
      <c r="C2549" s="579" t="n"/>
      <c r="D2549" s="580" t="n"/>
      <c r="E2549" s="581" t="n"/>
      <c r="F2549" s="577" t="n"/>
      <c r="G2549" s="582" t="n"/>
      <c r="H2549" s="583" t="n"/>
      <c r="I2549" s="510" t="n"/>
    </row>
    <row r="2550" ht="19.95" customFormat="1" customHeight="1" s="511">
      <c r="A2550" s="277" t="n"/>
      <c r="B2550" s="285" t="n"/>
      <c r="C2550" s="579" t="n"/>
      <c r="D2550" s="580" t="n"/>
      <c r="E2550" s="581" t="n"/>
      <c r="F2550" s="577" t="n"/>
      <c r="G2550" s="582" t="n"/>
      <c r="H2550" s="583" t="n"/>
      <c r="I2550" s="510" t="n"/>
    </row>
    <row r="2551" ht="19.95" customFormat="1" customHeight="1" s="511">
      <c r="A2551" s="277" t="n"/>
      <c r="B2551" s="285" t="n"/>
      <c r="C2551" s="579" t="n"/>
      <c r="D2551" s="580" t="n"/>
      <c r="E2551" s="581" t="n"/>
      <c r="F2551" s="577" t="n"/>
      <c r="G2551" s="582" t="n"/>
      <c r="H2551" s="583" t="n"/>
      <c r="I2551" s="510" t="n"/>
    </row>
    <row r="2552" ht="19.95" customFormat="1" customHeight="1" s="511">
      <c r="A2552" s="277" t="n"/>
      <c r="B2552" s="285" t="n"/>
      <c r="C2552" s="579" t="n"/>
      <c r="D2552" s="580" t="n"/>
      <c r="E2552" s="581" t="n"/>
      <c r="F2552" s="577" t="n"/>
      <c r="G2552" s="582" t="n"/>
      <c r="H2552" s="583" t="n"/>
      <c r="I2552" s="510" t="n"/>
    </row>
    <row r="2553" ht="19.95" customFormat="1" customHeight="1" s="511">
      <c r="A2553" s="277" t="n"/>
      <c r="B2553" s="285" t="n"/>
      <c r="C2553" s="579" t="n"/>
      <c r="D2553" s="580" t="n"/>
      <c r="E2553" s="581" t="n"/>
      <c r="F2553" s="577" t="n"/>
      <c r="G2553" s="582" t="n"/>
      <c r="H2553" s="583" t="n"/>
      <c r="I2553" s="510" t="n"/>
    </row>
    <row r="2554" ht="19.95" customFormat="1" customHeight="1" s="511">
      <c r="A2554" s="277" t="n"/>
      <c r="B2554" s="285" t="n"/>
      <c r="C2554" s="579" t="n"/>
      <c r="D2554" s="580" t="n"/>
      <c r="E2554" s="581" t="n"/>
      <c r="F2554" s="577" t="n"/>
      <c r="G2554" s="582" t="n"/>
      <c r="H2554" s="583" t="n"/>
      <c r="I2554" s="510" t="n"/>
    </row>
    <row r="2555" ht="19.95" customFormat="1" customHeight="1" s="511">
      <c r="A2555" s="277" t="n"/>
      <c r="B2555" s="285" t="n"/>
      <c r="C2555" s="579" t="n"/>
      <c r="D2555" s="580" t="n"/>
      <c r="E2555" s="581" t="n"/>
      <c r="F2555" s="577" t="n"/>
      <c r="G2555" s="582" t="n"/>
      <c r="H2555" s="583" t="n"/>
      <c r="I2555" s="510" t="n"/>
    </row>
    <row r="2556" ht="19.95" customFormat="1" customHeight="1" s="511">
      <c r="A2556" s="277" t="n"/>
      <c r="B2556" s="285" t="n"/>
      <c r="C2556" s="579" t="n"/>
      <c r="D2556" s="580" t="n"/>
      <c r="E2556" s="581" t="n"/>
      <c r="F2556" s="577" t="n"/>
      <c r="G2556" s="582" t="n"/>
      <c r="H2556" s="583" t="n"/>
      <c r="I2556" s="510" t="n"/>
    </row>
    <row r="2557" ht="19.95" customFormat="1" customHeight="1" s="511">
      <c r="A2557" s="277" t="n"/>
      <c r="B2557" s="285" t="n"/>
      <c r="C2557" s="579" t="n"/>
      <c r="D2557" s="580" t="n"/>
      <c r="E2557" s="581" t="n"/>
      <c r="F2557" s="577" t="n"/>
      <c r="G2557" s="582" t="n"/>
      <c r="H2557" s="583" t="n"/>
      <c r="I2557" s="510" t="n"/>
    </row>
    <row r="2558" ht="19.95" customFormat="1" customHeight="1" s="511">
      <c r="A2558" s="277" t="n"/>
      <c r="B2558" s="285" t="n"/>
      <c r="C2558" s="579" t="n"/>
      <c r="D2558" s="580" t="n"/>
      <c r="E2558" s="581" t="n"/>
      <c r="F2558" s="577" t="n"/>
      <c r="G2558" s="582" t="n"/>
      <c r="H2558" s="583" t="n"/>
      <c r="I2558" s="510" t="n"/>
    </row>
    <row r="2559" ht="19.95" customFormat="1" customHeight="1" s="511">
      <c r="A2559" s="277" t="n"/>
      <c r="B2559" s="285" t="n"/>
      <c r="C2559" s="579" t="n"/>
      <c r="D2559" s="580" t="n"/>
      <c r="E2559" s="581" t="n"/>
      <c r="F2559" s="577" t="n"/>
      <c r="G2559" s="582" t="n"/>
      <c r="H2559" s="583" t="n"/>
      <c r="I2559" s="510" t="n"/>
    </row>
    <row r="2560" ht="19.95" customFormat="1" customHeight="1" s="511">
      <c r="A2560" s="277" t="n"/>
      <c r="B2560" s="285" t="n"/>
      <c r="C2560" s="579" t="n"/>
      <c r="D2560" s="580" t="n"/>
      <c r="E2560" s="581" t="n"/>
      <c r="F2560" s="577" t="n"/>
      <c r="G2560" s="582" t="n"/>
      <c r="H2560" s="583" t="n"/>
      <c r="I2560" s="510" t="n"/>
    </row>
    <row r="2561" ht="19.95" customFormat="1" customHeight="1" s="511">
      <c r="A2561" s="277" t="n"/>
      <c r="B2561" s="285" t="n"/>
      <c r="C2561" s="579" t="n"/>
      <c r="D2561" s="580" t="n"/>
      <c r="E2561" s="581" t="n"/>
      <c r="F2561" s="577" t="n"/>
      <c r="G2561" s="582" t="n"/>
      <c r="H2561" s="583" t="n"/>
      <c r="I2561" s="510" t="n"/>
    </row>
    <row r="2562" ht="19.95" customFormat="1" customHeight="1" s="511">
      <c r="A2562" s="277" t="n"/>
      <c r="B2562" s="285" t="n"/>
      <c r="C2562" s="579" t="n"/>
      <c r="D2562" s="580" t="n"/>
      <c r="E2562" s="581" t="n"/>
      <c r="F2562" s="577" t="n"/>
      <c r="G2562" s="582" t="n"/>
      <c r="H2562" s="583" t="n"/>
      <c r="I2562" s="510" t="n"/>
    </row>
    <row r="2563" ht="19.95" customFormat="1" customHeight="1" s="511">
      <c r="A2563" s="277" t="n"/>
      <c r="B2563" s="285" t="n"/>
      <c r="C2563" s="579" t="n"/>
      <c r="D2563" s="580" t="n"/>
      <c r="E2563" s="581" t="n"/>
      <c r="F2563" s="577" t="n"/>
      <c r="G2563" s="582" t="n"/>
      <c r="H2563" s="583" t="n"/>
      <c r="I2563" s="510" t="n"/>
    </row>
    <row r="2564" ht="19.95" customFormat="1" customHeight="1" s="511">
      <c r="A2564" s="277" t="n"/>
      <c r="B2564" s="285" t="n"/>
      <c r="C2564" s="579" t="n"/>
      <c r="D2564" s="580" t="n"/>
      <c r="E2564" s="581" t="n"/>
      <c r="F2564" s="577" t="n"/>
      <c r="G2564" s="582" t="n"/>
      <c r="H2564" s="583" t="n"/>
      <c r="I2564" s="510" t="n"/>
    </row>
    <row r="2565" ht="19.95" customFormat="1" customHeight="1" s="511">
      <c r="A2565" s="277" t="n"/>
      <c r="B2565" s="285" t="n"/>
      <c r="C2565" s="579" t="n"/>
      <c r="D2565" s="580" t="n"/>
      <c r="E2565" s="581" t="n"/>
      <c r="F2565" s="577" t="n"/>
      <c r="G2565" s="582" t="n"/>
      <c r="H2565" s="583" t="n"/>
      <c r="I2565" s="510" t="n"/>
    </row>
    <row r="2566" ht="19.95" customFormat="1" customHeight="1" s="511">
      <c r="A2566" s="277" t="n"/>
      <c r="B2566" s="285" t="n"/>
      <c r="C2566" s="579" t="n"/>
      <c r="D2566" s="580" t="n"/>
      <c r="E2566" s="581" t="n"/>
      <c r="F2566" s="577" t="n"/>
      <c r="G2566" s="582" t="n"/>
      <c r="H2566" s="583" t="n"/>
      <c r="I2566" s="510" t="n"/>
    </row>
    <row r="2567" ht="19.95" customFormat="1" customHeight="1" s="511">
      <c r="A2567" s="277" t="n"/>
      <c r="B2567" s="285" t="n"/>
      <c r="C2567" s="579" t="n"/>
      <c r="D2567" s="580" t="n"/>
      <c r="E2567" s="581" t="n"/>
      <c r="F2567" s="577" t="n"/>
      <c r="G2567" s="582" t="n"/>
      <c r="H2567" s="583" t="n"/>
      <c r="I2567" s="510" t="n"/>
    </row>
    <row r="2568" ht="19.95" customFormat="1" customHeight="1" s="511">
      <c r="A2568" s="277" t="n"/>
      <c r="B2568" s="285" t="n"/>
      <c r="C2568" s="579" t="n"/>
      <c r="D2568" s="580" t="n"/>
      <c r="E2568" s="581" t="n"/>
      <c r="F2568" s="577" t="n"/>
      <c r="G2568" s="582" t="n"/>
      <c r="H2568" s="583" t="n"/>
      <c r="I2568" s="510" t="n"/>
    </row>
    <row r="2569" ht="19.95" customFormat="1" customHeight="1" s="511">
      <c r="A2569" s="277" t="n"/>
      <c r="B2569" s="285" t="n"/>
      <c r="C2569" s="579" t="n"/>
      <c r="D2569" s="580" t="n"/>
      <c r="E2569" s="581" t="n"/>
      <c r="F2569" s="577" t="n"/>
      <c r="G2569" s="582" t="n"/>
      <c r="H2569" s="583" t="n"/>
      <c r="I2569" s="510" t="n"/>
    </row>
    <row r="2570" ht="19.95" customFormat="1" customHeight="1" s="511">
      <c r="A2570" s="277" t="n"/>
      <c r="B2570" s="285" t="n"/>
      <c r="C2570" s="579" t="n"/>
      <c r="D2570" s="580" t="n"/>
      <c r="E2570" s="581" t="n"/>
      <c r="F2570" s="577" t="n"/>
      <c r="G2570" s="582" t="n"/>
      <c r="H2570" s="583" t="n"/>
      <c r="I2570" s="510" t="n"/>
    </row>
    <row r="2571" ht="19.95" customFormat="1" customHeight="1" s="511">
      <c r="A2571" s="277" t="n"/>
      <c r="B2571" s="285" t="n"/>
      <c r="C2571" s="579" t="n"/>
      <c r="D2571" s="580" t="n"/>
      <c r="E2571" s="581" t="n"/>
      <c r="F2571" s="577" t="n"/>
      <c r="G2571" s="582" t="n"/>
      <c r="H2571" s="583" t="n"/>
      <c r="I2571" s="510" t="n"/>
    </row>
    <row r="2572" ht="19.95" customFormat="1" customHeight="1" s="511">
      <c r="A2572" s="277" t="n"/>
      <c r="B2572" s="285" t="n"/>
      <c r="C2572" s="579" t="n"/>
      <c r="D2572" s="580" t="n"/>
      <c r="E2572" s="581" t="n"/>
      <c r="F2572" s="577" t="n"/>
      <c r="G2572" s="582" t="n"/>
      <c r="H2572" s="583" t="n"/>
      <c r="I2572" s="510" t="n"/>
    </row>
    <row r="2573" ht="19.95" customFormat="1" customHeight="1" s="511">
      <c r="A2573" s="277" t="n"/>
      <c r="B2573" s="285" t="n"/>
      <c r="C2573" s="579" t="n"/>
      <c r="D2573" s="580" t="n"/>
      <c r="E2573" s="581" t="n"/>
      <c r="F2573" s="577" t="n"/>
      <c r="G2573" s="582" t="n"/>
      <c r="H2573" s="583" t="n"/>
      <c r="I2573" s="510" t="n"/>
    </row>
    <row r="2574" ht="19.95" customFormat="1" customHeight="1" s="511">
      <c r="A2574" s="277" t="n"/>
      <c r="B2574" s="285" t="n"/>
      <c r="C2574" s="579" t="n"/>
      <c r="D2574" s="580" t="n"/>
      <c r="E2574" s="581" t="n"/>
      <c r="F2574" s="577" t="n"/>
      <c r="G2574" s="582" t="n"/>
      <c r="H2574" s="583" t="n"/>
      <c r="I2574" s="510" t="n"/>
    </row>
    <row r="2575" ht="19.95" customFormat="1" customHeight="1" s="511">
      <c r="A2575" s="277" t="n"/>
      <c r="B2575" s="285" t="n"/>
      <c r="C2575" s="579" t="n"/>
      <c r="D2575" s="580" t="n"/>
      <c r="E2575" s="581" t="n"/>
      <c r="F2575" s="577" t="n"/>
      <c r="G2575" s="582" t="n"/>
      <c r="H2575" s="583" t="n"/>
      <c r="I2575" s="510" t="n"/>
    </row>
    <row r="2576" ht="19.95" customFormat="1" customHeight="1" s="511">
      <c r="A2576" s="277" t="n"/>
      <c r="B2576" s="285" t="n"/>
      <c r="C2576" s="579" t="n"/>
      <c r="D2576" s="580" t="n"/>
      <c r="E2576" s="581" t="n"/>
      <c r="F2576" s="577" t="n"/>
      <c r="G2576" s="582" t="n"/>
      <c r="H2576" s="583" t="n"/>
      <c r="I2576" s="510" t="n"/>
    </row>
    <row r="2577" ht="19.95" customFormat="1" customHeight="1" s="511">
      <c r="A2577" s="277" t="n"/>
      <c r="B2577" s="285" t="n"/>
      <c r="C2577" s="579" t="n"/>
      <c r="D2577" s="580" t="n"/>
      <c r="E2577" s="581" t="n"/>
      <c r="F2577" s="577" t="n"/>
      <c r="G2577" s="582" t="n"/>
      <c r="H2577" s="583" t="n"/>
      <c r="I2577" s="510" t="n"/>
    </row>
    <row r="2578" ht="19.95" customFormat="1" customHeight="1" s="511">
      <c r="A2578" s="277" t="n"/>
      <c r="B2578" s="285" t="n"/>
      <c r="C2578" s="579" t="n"/>
      <c r="D2578" s="580" t="n"/>
      <c r="E2578" s="581" t="n"/>
      <c r="F2578" s="577" t="n"/>
      <c r="G2578" s="582" t="n"/>
      <c r="H2578" s="583" t="n"/>
      <c r="I2578" s="510" t="n"/>
    </row>
    <row r="2579" ht="19.95" customFormat="1" customHeight="1" s="511">
      <c r="A2579" s="277" t="n"/>
      <c r="B2579" s="285" t="n"/>
      <c r="C2579" s="579" t="n"/>
      <c r="D2579" s="580" t="n"/>
      <c r="E2579" s="581" t="n"/>
      <c r="F2579" s="577" t="n"/>
      <c r="G2579" s="582" t="n"/>
      <c r="H2579" s="583" t="n"/>
      <c r="I2579" s="510" t="n"/>
    </row>
    <row r="2580" ht="19.95" customFormat="1" customHeight="1" s="511">
      <c r="A2580" s="277" t="n"/>
      <c r="B2580" s="285" t="n"/>
      <c r="C2580" s="579" t="n"/>
      <c r="D2580" s="580" t="n"/>
      <c r="E2580" s="581" t="n"/>
      <c r="F2580" s="577" t="n"/>
      <c r="G2580" s="582" t="n"/>
      <c r="H2580" s="583" t="n"/>
      <c r="I2580" s="510" t="n"/>
    </row>
    <row r="2581" ht="19.95" customFormat="1" customHeight="1" s="511">
      <c r="A2581" s="277" t="n"/>
      <c r="B2581" s="285" t="n"/>
      <c r="C2581" s="579" t="n"/>
      <c r="D2581" s="580" t="n"/>
      <c r="E2581" s="581" t="n"/>
      <c r="F2581" s="577" t="n"/>
      <c r="G2581" s="582" t="n"/>
      <c r="H2581" s="583" t="n"/>
      <c r="I2581" s="510" t="n"/>
    </row>
    <row r="2582" ht="19.95" customFormat="1" customHeight="1" s="511">
      <c r="A2582" s="277" t="n"/>
      <c r="B2582" s="285" t="n"/>
      <c r="C2582" s="579" t="n"/>
      <c r="D2582" s="580" t="n"/>
      <c r="E2582" s="581" t="n"/>
      <c r="F2582" s="577" t="n"/>
      <c r="G2582" s="582" t="n"/>
      <c r="H2582" s="583" t="n"/>
      <c r="I2582" s="510" t="n"/>
    </row>
    <row r="2583" ht="19.95" customFormat="1" customHeight="1" s="511">
      <c r="A2583" s="277" t="n"/>
      <c r="B2583" s="285" t="n"/>
      <c r="C2583" s="579" t="n"/>
      <c r="D2583" s="580" t="n"/>
      <c r="E2583" s="581" t="n"/>
      <c r="F2583" s="577" t="n"/>
      <c r="G2583" s="582" t="n"/>
      <c r="H2583" s="583" t="n"/>
      <c r="I2583" s="510" t="n"/>
    </row>
    <row r="2584" ht="19.95" customFormat="1" customHeight="1" s="511">
      <c r="A2584" s="277" t="n"/>
      <c r="B2584" s="285" t="n"/>
      <c r="C2584" s="579" t="n"/>
      <c r="D2584" s="580" t="n"/>
      <c r="E2584" s="581" t="n"/>
      <c r="F2584" s="577" t="n"/>
      <c r="G2584" s="582" t="n"/>
      <c r="H2584" s="583" t="n"/>
      <c r="I2584" s="510" t="n"/>
    </row>
    <row r="2585" ht="19.95" customFormat="1" customHeight="1" s="511">
      <c r="A2585" s="277" t="n"/>
      <c r="B2585" s="285" t="n"/>
      <c r="C2585" s="579" t="n"/>
      <c r="D2585" s="580" t="n"/>
      <c r="E2585" s="581" t="n"/>
      <c r="F2585" s="577" t="n"/>
      <c r="G2585" s="582" t="n"/>
      <c r="H2585" s="583" t="n"/>
      <c r="I2585" s="510" t="n"/>
    </row>
    <row r="2586" ht="19.95" customFormat="1" customHeight="1" s="511">
      <c r="A2586" s="277" t="n"/>
      <c r="B2586" s="285" t="n"/>
      <c r="C2586" s="579" t="n"/>
      <c r="D2586" s="580" t="n"/>
      <c r="E2586" s="581" t="n"/>
      <c r="F2586" s="577" t="n"/>
      <c r="G2586" s="582" t="n"/>
      <c r="H2586" s="583" t="n"/>
      <c r="I2586" s="510" t="n"/>
    </row>
    <row r="2587" ht="19.95" customFormat="1" customHeight="1" s="511">
      <c r="A2587" s="277" t="n"/>
      <c r="B2587" s="285" t="n"/>
      <c r="C2587" s="579" t="n"/>
      <c r="D2587" s="580" t="n"/>
      <c r="E2587" s="581" t="n"/>
      <c r="F2587" s="577" t="n"/>
      <c r="G2587" s="582" t="n"/>
      <c r="H2587" s="583" t="n"/>
      <c r="I2587" s="510" t="n"/>
    </row>
    <row r="2588" ht="19.95" customFormat="1" customHeight="1" s="511">
      <c r="A2588" s="277" t="n"/>
      <c r="B2588" s="285" t="n"/>
      <c r="C2588" s="579" t="n"/>
      <c r="D2588" s="580" t="n"/>
      <c r="E2588" s="581" t="n"/>
      <c r="F2588" s="577" t="n"/>
      <c r="G2588" s="582" t="n"/>
      <c r="H2588" s="583" t="n"/>
      <c r="I2588" s="510" t="n"/>
    </row>
    <row r="2589" ht="19.95" customFormat="1" customHeight="1" s="511">
      <c r="A2589" s="277" t="n"/>
      <c r="B2589" s="285" t="n"/>
      <c r="C2589" s="579" t="n"/>
      <c r="D2589" s="580" t="n"/>
      <c r="E2589" s="581" t="n"/>
      <c r="F2589" s="577" t="n"/>
      <c r="G2589" s="582" t="n"/>
      <c r="H2589" s="583" t="n"/>
      <c r="I2589" s="510" t="n"/>
    </row>
    <row r="2590" ht="19.95" customFormat="1" customHeight="1" s="511">
      <c r="A2590" s="277" t="n"/>
      <c r="B2590" s="285" t="n"/>
      <c r="C2590" s="579" t="n"/>
      <c r="D2590" s="580" t="n"/>
      <c r="E2590" s="581" t="n"/>
      <c r="F2590" s="577" t="n"/>
      <c r="G2590" s="582" t="n"/>
      <c r="H2590" s="583" t="n"/>
      <c r="I2590" s="510" t="n"/>
    </row>
    <row r="2591" ht="19.95" customFormat="1" customHeight="1" s="511">
      <c r="A2591" s="277" t="n"/>
      <c r="B2591" s="285" t="n"/>
      <c r="C2591" s="579" t="n"/>
      <c r="D2591" s="580" t="n"/>
      <c r="E2591" s="581" t="n"/>
      <c r="F2591" s="577" t="n"/>
      <c r="G2591" s="582" t="n"/>
      <c r="H2591" s="583" t="n"/>
      <c r="I2591" s="510" t="n"/>
    </row>
    <row r="2592" ht="19.95" customFormat="1" customHeight="1" s="511">
      <c r="A2592" s="277" t="n"/>
      <c r="B2592" s="285" t="n"/>
      <c r="C2592" s="579" t="n"/>
      <c r="D2592" s="580" t="n"/>
      <c r="E2592" s="581" t="n"/>
      <c r="F2592" s="577" t="n"/>
      <c r="G2592" s="582" t="n"/>
      <c r="H2592" s="583" t="n"/>
      <c r="I2592" s="510" t="n"/>
    </row>
    <row r="2593" ht="19.95" customFormat="1" customHeight="1" s="511">
      <c r="A2593" s="277" t="n"/>
      <c r="B2593" s="285" t="n"/>
      <c r="C2593" s="579" t="n"/>
      <c r="D2593" s="580" t="n"/>
      <c r="E2593" s="581" t="n"/>
      <c r="F2593" s="577" t="n"/>
      <c r="G2593" s="582" t="n"/>
      <c r="H2593" s="583" t="n"/>
      <c r="I2593" s="510" t="n"/>
    </row>
    <row r="2594" ht="19.95" customFormat="1" customHeight="1" s="511">
      <c r="A2594" s="277" t="n"/>
      <c r="B2594" s="285" t="n"/>
      <c r="C2594" s="579" t="n"/>
      <c r="D2594" s="580" t="n"/>
      <c r="E2594" s="581" t="n"/>
      <c r="F2594" s="577" t="n"/>
      <c r="G2594" s="582" t="n"/>
      <c r="H2594" s="583" t="n"/>
      <c r="I2594" s="510" t="n"/>
    </row>
    <row r="2595" ht="19.95" customFormat="1" customHeight="1" s="511">
      <c r="A2595" s="277" t="n"/>
      <c r="B2595" s="285" t="n"/>
      <c r="C2595" s="579" t="n"/>
      <c r="D2595" s="580" t="n"/>
      <c r="E2595" s="581" t="n"/>
      <c r="F2595" s="577" t="n"/>
      <c r="G2595" s="582" t="n"/>
      <c r="H2595" s="583" t="n"/>
      <c r="I2595" s="510" t="n"/>
    </row>
    <row r="2596" ht="19.95" customFormat="1" customHeight="1" s="511">
      <c r="A2596" s="277" t="n"/>
      <c r="B2596" s="285" t="n"/>
      <c r="C2596" s="579" t="n"/>
      <c r="D2596" s="580" t="n"/>
      <c r="E2596" s="581" t="n"/>
      <c r="F2596" s="577" t="n"/>
      <c r="G2596" s="582" t="n"/>
      <c r="H2596" s="583" t="n"/>
      <c r="I2596" s="510" t="n"/>
    </row>
    <row r="2597" ht="19.95" customFormat="1" customHeight="1" s="511">
      <c r="A2597" s="277" t="n"/>
      <c r="B2597" s="285" t="n"/>
      <c r="C2597" s="579" t="n"/>
      <c r="D2597" s="580" t="n"/>
      <c r="E2597" s="581" t="n"/>
      <c r="F2597" s="577" t="n"/>
      <c r="G2597" s="582" t="n"/>
      <c r="H2597" s="583" t="n"/>
      <c r="I2597" s="510" t="n"/>
    </row>
    <row r="2598" ht="19.95" customFormat="1" customHeight="1" s="511">
      <c r="A2598" s="277" t="n"/>
      <c r="B2598" s="285" t="n"/>
      <c r="C2598" s="579" t="n"/>
      <c r="D2598" s="580" t="n"/>
      <c r="E2598" s="581" t="n"/>
      <c r="F2598" s="577" t="n"/>
      <c r="G2598" s="582" t="n"/>
      <c r="H2598" s="583" t="n"/>
      <c r="I2598" s="510" t="n"/>
    </row>
    <row r="2599" ht="19.95" customFormat="1" customHeight="1" s="511">
      <c r="A2599" s="277" t="n"/>
      <c r="B2599" s="285" t="n"/>
      <c r="C2599" s="579" t="n"/>
      <c r="D2599" s="580" t="n"/>
      <c r="E2599" s="581" t="n"/>
      <c r="F2599" s="577" t="n"/>
      <c r="G2599" s="582" t="n"/>
      <c r="H2599" s="583" t="n"/>
      <c r="I2599" s="510" t="n"/>
    </row>
    <row r="2600" ht="19.95" customFormat="1" customHeight="1" s="511">
      <c r="A2600" s="277" t="n"/>
      <c r="B2600" s="285" t="n"/>
      <c r="C2600" s="579" t="n"/>
      <c r="D2600" s="580" t="n"/>
      <c r="E2600" s="581" t="n"/>
      <c r="F2600" s="577" t="n"/>
      <c r="G2600" s="582" t="n"/>
      <c r="H2600" s="583" t="n"/>
      <c r="I2600" s="510" t="n"/>
    </row>
    <row r="2601" ht="19.95" customFormat="1" customHeight="1" s="511">
      <c r="A2601" s="277" t="n"/>
      <c r="B2601" s="285" t="n"/>
      <c r="C2601" s="579" t="n"/>
      <c r="D2601" s="580" t="n"/>
      <c r="E2601" s="581" t="n"/>
      <c r="F2601" s="577" t="n"/>
      <c r="G2601" s="582" t="n"/>
      <c r="H2601" s="583" t="n"/>
      <c r="I2601" s="510" t="n"/>
    </row>
    <row r="2602" ht="19.95" customFormat="1" customHeight="1" s="511">
      <c r="A2602" s="277" t="n"/>
      <c r="B2602" s="285" t="n"/>
      <c r="C2602" s="579" t="n"/>
      <c r="D2602" s="580" t="n"/>
      <c r="E2602" s="581" t="n"/>
      <c r="F2602" s="577" t="n"/>
      <c r="G2602" s="582" t="n"/>
      <c r="H2602" s="583" t="n"/>
      <c r="I2602" s="510" t="n"/>
    </row>
    <row r="2603" ht="19.95" customFormat="1" customHeight="1" s="511">
      <c r="A2603" s="277" t="n"/>
      <c r="B2603" s="285" t="n"/>
      <c r="C2603" s="579" t="n"/>
      <c r="D2603" s="580" t="n"/>
      <c r="E2603" s="581" t="n"/>
      <c r="F2603" s="577" t="n"/>
      <c r="G2603" s="582" t="n"/>
      <c r="H2603" s="583" t="n"/>
      <c r="I2603" s="510" t="n"/>
    </row>
    <row r="2604" ht="19.95" customFormat="1" customHeight="1" s="511">
      <c r="A2604" s="277" t="n"/>
      <c r="B2604" s="285" t="n"/>
      <c r="C2604" s="579" t="n"/>
      <c r="D2604" s="580" t="n"/>
      <c r="E2604" s="581" t="n"/>
      <c r="F2604" s="577" t="n"/>
      <c r="G2604" s="582" t="n"/>
      <c r="H2604" s="583" t="n"/>
      <c r="I2604" s="510" t="n"/>
    </row>
    <row r="2605" ht="19.95" customFormat="1" customHeight="1" s="511">
      <c r="A2605" s="277" t="n"/>
      <c r="B2605" s="285" t="n"/>
      <c r="C2605" s="579" t="n"/>
      <c r="D2605" s="580" t="n"/>
      <c r="E2605" s="581" t="n"/>
      <c r="F2605" s="577" t="n"/>
      <c r="G2605" s="582" t="n"/>
      <c r="H2605" s="583" t="n"/>
      <c r="I2605" s="510" t="n"/>
    </row>
    <row r="2606" ht="19.95" customFormat="1" customHeight="1" s="511">
      <c r="A2606" s="277" t="n"/>
      <c r="B2606" s="285" t="n"/>
      <c r="C2606" s="579" t="n"/>
      <c r="D2606" s="580" t="n"/>
      <c r="E2606" s="581" t="n"/>
      <c r="F2606" s="577" t="n"/>
      <c r="G2606" s="582" t="n"/>
      <c r="H2606" s="583" t="n"/>
      <c r="I2606" s="510" t="n"/>
    </row>
    <row r="2607" ht="19.95" customFormat="1" customHeight="1" s="511">
      <c r="A2607" s="277" t="n"/>
      <c r="B2607" s="285" t="n"/>
      <c r="C2607" s="579" t="n"/>
      <c r="D2607" s="580" t="n"/>
      <c r="E2607" s="581" t="n"/>
      <c r="F2607" s="577" t="n"/>
      <c r="G2607" s="582" t="n"/>
      <c r="H2607" s="583" t="n"/>
      <c r="I2607" s="510" t="n"/>
    </row>
    <row r="2608" ht="19.95" customFormat="1" customHeight="1" s="511">
      <c r="A2608" s="277" t="n"/>
      <c r="B2608" s="285" t="n"/>
      <c r="C2608" s="579" t="n"/>
      <c r="D2608" s="580" t="n"/>
      <c r="E2608" s="581" t="n"/>
      <c r="F2608" s="577" t="n"/>
      <c r="G2608" s="582" t="n"/>
      <c r="H2608" s="583" t="n"/>
      <c r="I2608" s="510" t="n"/>
    </row>
    <row r="2609" ht="19.95" customFormat="1" customHeight="1" s="511">
      <c r="A2609" s="277" t="n"/>
      <c r="B2609" s="285" t="n"/>
      <c r="C2609" s="579" t="n"/>
      <c r="D2609" s="580" t="n"/>
      <c r="E2609" s="581" t="n"/>
      <c r="F2609" s="577" t="n"/>
      <c r="G2609" s="582" t="n"/>
      <c r="H2609" s="583" t="n"/>
      <c r="I2609" s="510" t="n"/>
    </row>
    <row r="2610" ht="19.95" customFormat="1" customHeight="1" s="511">
      <c r="A2610" s="277" t="n"/>
      <c r="B2610" s="285" t="n"/>
      <c r="C2610" s="579" t="n"/>
      <c r="D2610" s="580" t="n"/>
      <c r="E2610" s="581" t="n"/>
      <c r="F2610" s="577" t="n"/>
      <c r="G2610" s="582" t="n"/>
      <c r="H2610" s="583" t="n"/>
      <c r="I2610" s="510" t="n"/>
    </row>
    <row r="2611" ht="19.95" customFormat="1" customHeight="1" s="511">
      <c r="A2611" s="277" t="n"/>
      <c r="B2611" s="285" t="n"/>
      <c r="C2611" s="579" t="n"/>
      <c r="D2611" s="580" t="n"/>
      <c r="E2611" s="581" t="n"/>
      <c r="F2611" s="577" t="n"/>
      <c r="G2611" s="582" t="n"/>
      <c r="H2611" s="583" t="n"/>
      <c r="I2611" s="510" t="n"/>
    </row>
    <row r="2612" ht="19.95" customFormat="1" customHeight="1" s="511">
      <c r="A2612" s="277" t="n"/>
      <c r="B2612" s="285" t="n"/>
      <c r="C2612" s="579" t="n"/>
      <c r="D2612" s="580" t="n"/>
      <c r="E2612" s="581" t="n"/>
      <c r="F2612" s="577" t="n"/>
      <c r="G2612" s="582" t="n"/>
      <c r="H2612" s="583" t="n"/>
      <c r="I2612" s="510" t="n"/>
    </row>
    <row r="2613" ht="19.95" customFormat="1" customHeight="1" s="511">
      <c r="A2613" s="277" t="n"/>
      <c r="B2613" s="285" t="n"/>
      <c r="C2613" s="579" t="n"/>
      <c r="D2613" s="580" t="n"/>
      <c r="E2613" s="581" t="n"/>
      <c r="F2613" s="577" t="n"/>
      <c r="G2613" s="582" t="n"/>
      <c r="H2613" s="583" t="n"/>
      <c r="I2613" s="510" t="n"/>
    </row>
    <row r="2614" ht="19.95" customFormat="1" customHeight="1" s="511">
      <c r="A2614" s="277" t="n"/>
      <c r="B2614" s="285" t="n"/>
      <c r="C2614" s="579" t="n"/>
      <c r="D2614" s="580" t="n"/>
      <c r="E2614" s="581" t="n"/>
      <c r="F2614" s="577" t="n"/>
      <c r="G2614" s="582" t="n"/>
      <c r="H2614" s="583" t="n"/>
      <c r="I2614" s="510" t="n"/>
    </row>
    <row r="2615" ht="19.95" customFormat="1" customHeight="1" s="511">
      <c r="A2615" s="277" t="n"/>
      <c r="B2615" s="285" t="n"/>
      <c r="C2615" s="579" t="n"/>
      <c r="D2615" s="580" t="n"/>
      <c r="E2615" s="581" t="n"/>
      <c r="F2615" s="577" t="n"/>
      <c r="G2615" s="582" t="n"/>
      <c r="H2615" s="583" t="n"/>
      <c r="I2615" s="510" t="n"/>
    </row>
    <row r="2616" ht="19.95" customFormat="1" customHeight="1" s="511">
      <c r="A2616" s="277" t="n"/>
      <c r="B2616" s="285" t="n"/>
      <c r="C2616" s="579" t="n"/>
      <c r="D2616" s="580" t="n"/>
      <c r="E2616" s="581" t="n"/>
      <c r="F2616" s="577" t="n"/>
      <c r="G2616" s="582" t="n"/>
      <c r="H2616" s="583" t="n"/>
      <c r="I2616" s="510" t="n"/>
    </row>
    <row r="2617" ht="19.95" customFormat="1" customHeight="1" s="511">
      <c r="A2617" s="277" t="n"/>
      <c r="B2617" s="285" t="n"/>
      <c r="C2617" s="579" t="n"/>
      <c r="D2617" s="580" t="n"/>
      <c r="E2617" s="581" t="n"/>
      <c r="F2617" s="577" t="n"/>
      <c r="G2617" s="582" t="n"/>
      <c r="H2617" s="583" t="n"/>
      <c r="I2617" s="510" t="n"/>
    </row>
    <row r="2618" ht="19.95" customFormat="1" customHeight="1" s="511">
      <c r="A2618" s="277" t="n"/>
      <c r="B2618" s="285" t="n"/>
      <c r="C2618" s="579" t="n"/>
      <c r="D2618" s="580" t="n"/>
      <c r="E2618" s="581" t="n"/>
      <c r="F2618" s="577" t="n"/>
      <c r="G2618" s="582" t="n"/>
      <c r="H2618" s="583" t="n"/>
      <c r="I2618" s="510" t="n"/>
    </row>
    <row r="2619" ht="19.95" customFormat="1" customHeight="1" s="511">
      <c r="A2619" s="277" t="n"/>
      <c r="B2619" s="285" t="n"/>
      <c r="C2619" s="579" t="n"/>
      <c r="D2619" s="580" t="n"/>
      <c r="E2619" s="581" t="n"/>
      <c r="F2619" s="577" t="n"/>
      <c r="G2619" s="582" t="n"/>
      <c r="H2619" s="583" t="n"/>
      <c r="I2619" s="510" t="n"/>
    </row>
    <row r="2620" ht="19.95" customFormat="1" customHeight="1" s="511">
      <c r="A2620" s="277" t="n"/>
      <c r="B2620" s="285" t="n"/>
      <c r="C2620" s="579" t="n"/>
      <c r="D2620" s="580" t="n"/>
      <c r="E2620" s="581" t="n"/>
      <c r="F2620" s="577" t="n"/>
      <c r="G2620" s="582" t="n"/>
      <c r="H2620" s="583" t="n"/>
      <c r="I2620" s="510" t="n"/>
    </row>
    <row r="2621" ht="19.95" customFormat="1" customHeight="1" s="511">
      <c r="A2621" s="277" t="n"/>
      <c r="B2621" s="285" t="n"/>
      <c r="C2621" s="579" t="n"/>
      <c r="D2621" s="580" t="n"/>
      <c r="E2621" s="581" t="n"/>
      <c r="F2621" s="577" t="n"/>
      <c r="G2621" s="582" t="n"/>
      <c r="H2621" s="583" t="n"/>
      <c r="I2621" s="510" t="n"/>
    </row>
    <row r="2622" ht="19.95" customFormat="1" customHeight="1" s="511">
      <c r="A2622" s="277" t="n"/>
      <c r="B2622" s="285" t="n"/>
      <c r="C2622" s="579" t="n"/>
      <c r="D2622" s="580" t="n"/>
      <c r="E2622" s="581" t="n"/>
      <c r="F2622" s="577" t="n"/>
      <c r="G2622" s="582" t="n"/>
      <c r="H2622" s="583" t="n"/>
      <c r="I2622" s="510" t="n"/>
    </row>
    <row r="2623" ht="19.95" customFormat="1" customHeight="1" s="511">
      <c r="A2623" s="277" t="n"/>
      <c r="B2623" s="285" t="n"/>
      <c r="C2623" s="579" t="n"/>
      <c r="D2623" s="580" t="n"/>
      <c r="E2623" s="581" t="n"/>
      <c r="F2623" s="577" t="n"/>
      <c r="G2623" s="582" t="n"/>
      <c r="H2623" s="583" t="n"/>
      <c r="I2623" s="510" t="n"/>
    </row>
    <row r="2624" ht="19.95" customFormat="1" customHeight="1" s="511">
      <c r="A2624" s="277" t="n"/>
      <c r="B2624" s="285" t="n"/>
      <c r="C2624" s="579" t="n"/>
      <c r="D2624" s="580" t="n"/>
      <c r="E2624" s="581" t="n"/>
      <c r="F2624" s="577" t="n"/>
      <c r="G2624" s="582" t="n"/>
      <c r="H2624" s="583" t="n"/>
      <c r="I2624" s="510" t="n"/>
    </row>
    <row r="2625" ht="19.95" customFormat="1" customHeight="1" s="511">
      <c r="A2625" s="277" t="n"/>
      <c r="B2625" s="285" t="n"/>
      <c r="C2625" s="579" t="n"/>
      <c r="D2625" s="580" t="n"/>
      <c r="E2625" s="581" t="n"/>
      <c r="F2625" s="577" t="n"/>
      <c r="G2625" s="582" t="n"/>
      <c r="H2625" s="583" t="n"/>
      <c r="I2625" s="510" t="n"/>
    </row>
    <row r="2626" ht="19.95" customFormat="1" customHeight="1" s="511">
      <c r="A2626" s="277" t="n"/>
      <c r="B2626" s="285" t="n"/>
      <c r="C2626" s="579" t="n"/>
      <c r="D2626" s="580" t="n"/>
      <c r="E2626" s="581" t="n"/>
      <c r="F2626" s="577" t="n"/>
      <c r="G2626" s="582" t="n"/>
      <c r="H2626" s="583" t="n"/>
      <c r="I2626" s="510" t="n"/>
    </row>
    <row r="2627" ht="19.95" customFormat="1" customHeight="1" s="511">
      <c r="A2627" s="277" t="n"/>
      <c r="B2627" s="285" t="n"/>
      <c r="C2627" s="579" t="n"/>
      <c r="D2627" s="580" t="n"/>
      <c r="E2627" s="581" t="n"/>
      <c r="F2627" s="577" t="n"/>
      <c r="G2627" s="582" t="n"/>
      <c r="H2627" s="583" t="n"/>
      <c r="I2627" s="510" t="n"/>
    </row>
    <row r="2628" ht="19.95" customFormat="1" customHeight="1" s="511">
      <c r="A2628" s="277" t="n"/>
      <c r="B2628" s="285" t="n"/>
      <c r="C2628" s="579" t="n"/>
      <c r="D2628" s="580" t="n"/>
      <c r="E2628" s="581" t="n"/>
      <c r="F2628" s="577" t="n"/>
      <c r="G2628" s="582" t="n"/>
      <c r="H2628" s="583" t="n"/>
      <c r="I2628" s="510" t="n"/>
    </row>
    <row r="2629" ht="19.95" customFormat="1" customHeight="1" s="511">
      <c r="A2629" s="277" t="n"/>
      <c r="B2629" s="285" t="n"/>
      <c r="C2629" s="579" t="n"/>
      <c r="D2629" s="580" t="n"/>
      <c r="E2629" s="581" t="n"/>
      <c r="F2629" s="577" t="n"/>
      <c r="G2629" s="582" t="n"/>
      <c r="H2629" s="583" t="n"/>
      <c r="I2629" s="510" t="n"/>
    </row>
    <row r="2630" ht="19.95" customFormat="1" customHeight="1" s="511">
      <c r="A2630" s="277" t="n"/>
      <c r="B2630" s="285" t="n"/>
      <c r="C2630" s="579" t="n"/>
      <c r="D2630" s="580" t="n"/>
      <c r="E2630" s="581" t="n"/>
      <c r="F2630" s="577" t="n"/>
      <c r="G2630" s="582" t="n"/>
      <c r="H2630" s="583" t="n"/>
      <c r="I2630" s="510" t="n"/>
    </row>
    <row r="2631" ht="19.95" customFormat="1" customHeight="1" s="511">
      <c r="A2631" s="277" t="n"/>
      <c r="B2631" s="285" t="n"/>
      <c r="C2631" s="579" t="n"/>
      <c r="D2631" s="580" t="n"/>
      <c r="E2631" s="581" t="n"/>
      <c r="F2631" s="577" t="n"/>
      <c r="G2631" s="582" t="n"/>
      <c r="H2631" s="583" t="n"/>
      <c r="I2631" s="510" t="n"/>
    </row>
    <row r="2632" ht="19.95" customFormat="1" customHeight="1" s="511">
      <c r="A2632" s="277" t="n"/>
      <c r="B2632" s="285" t="n"/>
      <c r="C2632" s="579" t="n"/>
      <c r="D2632" s="580" t="n"/>
      <c r="E2632" s="581" t="n"/>
      <c r="F2632" s="577" t="n"/>
      <c r="G2632" s="582" t="n"/>
      <c r="H2632" s="583" t="n"/>
      <c r="I2632" s="510" t="n"/>
    </row>
    <row r="2633" ht="19.95" customFormat="1" customHeight="1" s="511">
      <c r="A2633" s="277" t="n"/>
      <c r="B2633" s="285" t="n"/>
      <c r="C2633" s="579" t="n"/>
      <c r="D2633" s="580" t="n"/>
      <c r="E2633" s="581" t="n"/>
      <c r="F2633" s="577" t="n"/>
      <c r="G2633" s="582" t="n"/>
      <c r="H2633" s="583" t="n"/>
      <c r="I2633" s="510" t="n"/>
    </row>
    <row r="2634" ht="19.95" customFormat="1" customHeight="1" s="511">
      <c r="A2634" s="277" t="n"/>
      <c r="B2634" s="285" t="n"/>
      <c r="C2634" s="579" t="n"/>
      <c r="D2634" s="580" t="n"/>
      <c r="E2634" s="581" t="n"/>
      <c r="F2634" s="577" t="n"/>
      <c r="G2634" s="582" t="n"/>
      <c r="H2634" s="583" t="n"/>
      <c r="I2634" s="510" t="n"/>
    </row>
    <row r="2635" ht="19.95" customFormat="1" customHeight="1" s="511">
      <c r="A2635" s="277" t="n"/>
      <c r="B2635" s="285" t="n"/>
      <c r="C2635" s="579" t="n"/>
      <c r="D2635" s="580" t="n"/>
      <c r="E2635" s="581" t="n"/>
      <c r="F2635" s="577" t="n"/>
      <c r="G2635" s="582" t="n"/>
      <c r="H2635" s="583" t="n"/>
      <c r="I2635" s="510" t="n"/>
    </row>
    <row r="2636" ht="19.95" customFormat="1" customHeight="1" s="511">
      <c r="A2636" s="277" t="n"/>
      <c r="B2636" s="285" t="n"/>
      <c r="C2636" s="579" t="n"/>
      <c r="D2636" s="580" t="n"/>
      <c r="E2636" s="581" t="n"/>
      <c r="F2636" s="577" t="n"/>
      <c r="G2636" s="582" t="n"/>
      <c r="H2636" s="583" t="n"/>
      <c r="I2636" s="510" t="n"/>
    </row>
    <row r="2637" ht="19.95" customFormat="1" customHeight="1" s="511">
      <c r="A2637" s="277" t="n"/>
      <c r="B2637" s="285" t="n"/>
      <c r="C2637" s="579" t="n"/>
      <c r="D2637" s="580" t="n"/>
      <c r="E2637" s="581" t="n"/>
      <c r="F2637" s="577" t="n"/>
      <c r="G2637" s="582" t="n"/>
      <c r="H2637" s="583" t="n"/>
      <c r="I2637" s="510" t="n"/>
    </row>
    <row r="2638" ht="19.95" customFormat="1" customHeight="1" s="511">
      <c r="A2638" s="277" t="n"/>
      <c r="B2638" s="285" t="n"/>
      <c r="C2638" s="579" t="n"/>
      <c r="D2638" s="580" t="n"/>
      <c r="E2638" s="581" t="n"/>
      <c r="F2638" s="577" t="n"/>
      <c r="G2638" s="582" t="n"/>
      <c r="H2638" s="583" t="n"/>
      <c r="I2638" s="510" t="n"/>
    </row>
    <row r="2639" ht="19.95" customFormat="1" customHeight="1" s="511">
      <c r="A2639" s="277" t="n"/>
      <c r="B2639" s="285" t="n"/>
      <c r="C2639" s="579" t="n"/>
      <c r="D2639" s="580" t="n"/>
      <c r="E2639" s="581" t="n"/>
      <c r="F2639" s="577" t="n"/>
      <c r="G2639" s="582" t="n"/>
      <c r="H2639" s="583" t="n"/>
      <c r="I2639" s="510" t="n"/>
    </row>
    <row r="2640" ht="19.95" customFormat="1" customHeight="1" s="511">
      <c r="A2640" s="277" t="n"/>
      <c r="B2640" s="285" t="n"/>
      <c r="C2640" s="579" t="n"/>
      <c r="D2640" s="580" t="n"/>
      <c r="E2640" s="581" t="n"/>
      <c r="F2640" s="577" t="n"/>
      <c r="G2640" s="582" t="n"/>
      <c r="H2640" s="583" t="n"/>
      <c r="I2640" s="510" t="n"/>
    </row>
    <row r="2641" ht="19.95" customFormat="1" customHeight="1" s="511">
      <c r="A2641" s="277" t="n"/>
      <c r="B2641" s="285" t="n"/>
      <c r="C2641" s="579" t="n"/>
      <c r="D2641" s="580" t="n"/>
      <c r="E2641" s="581" t="n"/>
      <c r="F2641" s="577" t="n"/>
      <c r="G2641" s="582" t="n"/>
      <c r="H2641" s="583" t="n"/>
      <c r="I2641" s="510" t="n"/>
    </row>
    <row r="2642" ht="19.95" customFormat="1" customHeight="1" s="511">
      <c r="A2642" s="277" t="n"/>
      <c r="B2642" s="285" t="n"/>
      <c r="C2642" s="579" t="n"/>
      <c r="D2642" s="580" t="n"/>
      <c r="E2642" s="581" t="n"/>
      <c r="F2642" s="577" t="n"/>
      <c r="G2642" s="582" t="n"/>
      <c r="H2642" s="583" t="n"/>
      <c r="I2642" s="510" t="n"/>
    </row>
    <row r="2643" ht="19.95" customFormat="1" customHeight="1" s="511">
      <c r="A2643" s="277" t="n"/>
      <c r="B2643" s="285" t="n"/>
      <c r="C2643" s="579" t="n"/>
      <c r="D2643" s="580" t="n"/>
      <c r="E2643" s="581" t="n"/>
      <c r="F2643" s="577" t="n"/>
      <c r="G2643" s="582" t="n"/>
      <c r="H2643" s="583" t="n"/>
      <c r="I2643" s="510" t="n"/>
    </row>
    <row r="2644" ht="19.95" customFormat="1" customHeight="1" s="511">
      <c r="A2644" s="277" t="n"/>
      <c r="B2644" s="285" t="n"/>
      <c r="C2644" s="579" t="n"/>
      <c r="D2644" s="580" t="n"/>
      <c r="E2644" s="581" t="n"/>
      <c r="F2644" s="577" t="n"/>
      <c r="G2644" s="582" t="n"/>
      <c r="H2644" s="583" t="n"/>
      <c r="I2644" s="510" t="n"/>
    </row>
    <row r="2645" ht="19.95" customFormat="1" customHeight="1" s="511">
      <c r="A2645" s="277" t="n"/>
      <c r="B2645" s="285" t="n"/>
      <c r="C2645" s="579" t="n"/>
      <c r="D2645" s="580" t="n"/>
      <c r="E2645" s="581" t="n"/>
      <c r="F2645" s="577" t="n"/>
      <c r="G2645" s="582" t="n"/>
      <c r="H2645" s="583" t="n"/>
      <c r="I2645" s="510" t="n"/>
    </row>
    <row r="2646" ht="19.95" customFormat="1" customHeight="1" s="511">
      <c r="A2646" s="277" t="n"/>
      <c r="B2646" s="285" t="n"/>
      <c r="C2646" s="579" t="n"/>
      <c r="D2646" s="580" t="n"/>
      <c r="E2646" s="581" t="n"/>
      <c r="F2646" s="577" t="n"/>
      <c r="G2646" s="582" t="n"/>
      <c r="H2646" s="583" t="n"/>
      <c r="I2646" s="510" t="n"/>
    </row>
    <row r="2647" ht="19.95" customFormat="1" customHeight="1" s="511">
      <c r="A2647" s="277" t="n"/>
      <c r="B2647" s="285" t="n"/>
      <c r="C2647" s="579" t="n"/>
      <c r="D2647" s="580" t="n"/>
      <c r="E2647" s="581" t="n"/>
      <c r="F2647" s="577" t="n"/>
      <c r="G2647" s="582" t="n"/>
      <c r="H2647" s="583" t="n"/>
      <c r="I2647" s="510" t="n"/>
    </row>
    <row r="2648" ht="19.95" customFormat="1" customHeight="1" s="511">
      <c r="A2648" s="277" t="n"/>
      <c r="B2648" s="285" t="n"/>
      <c r="C2648" s="579" t="n"/>
      <c r="D2648" s="580" t="n"/>
      <c r="E2648" s="581" t="n"/>
      <c r="F2648" s="577" t="n"/>
      <c r="G2648" s="582" t="n"/>
      <c r="H2648" s="583" t="n"/>
      <c r="I2648" s="510" t="n"/>
    </row>
    <row r="2649" ht="19.95" customFormat="1" customHeight="1" s="511">
      <c r="A2649" s="277" t="n"/>
      <c r="B2649" s="285" t="n"/>
      <c r="C2649" s="579" t="n"/>
      <c r="D2649" s="580" t="n"/>
      <c r="E2649" s="581" t="n"/>
      <c r="F2649" s="577" t="n"/>
      <c r="G2649" s="582" t="n"/>
      <c r="H2649" s="583" t="n"/>
      <c r="I2649" s="510" t="n"/>
    </row>
    <row r="2650" ht="19.95" customFormat="1" customHeight="1" s="511">
      <c r="A2650" s="277" t="n"/>
      <c r="B2650" s="285" t="n"/>
      <c r="C2650" s="579" t="n"/>
      <c r="D2650" s="580" t="n"/>
      <c r="E2650" s="581" t="n"/>
      <c r="F2650" s="577" t="n"/>
      <c r="G2650" s="582" t="n"/>
      <c r="H2650" s="583" t="n"/>
      <c r="I2650" s="510" t="n"/>
    </row>
    <row r="2651" ht="19.95" customFormat="1" customHeight="1" s="511">
      <c r="A2651" s="277" t="n"/>
      <c r="B2651" s="285" t="n"/>
      <c r="C2651" s="579" t="n"/>
      <c r="D2651" s="580" t="n"/>
      <c r="E2651" s="581" t="n"/>
      <c r="F2651" s="577" t="n"/>
      <c r="G2651" s="582" t="n"/>
      <c r="H2651" s="583" t="n"/>
      <c r="I2651" s="510" t="n"/>
    </row>
    <row r="2652" ht="19.95" customFormat="1" customHeight="1" s="511">
      <c r="A2652" s="277" t="n"/>
      <c r="B2652" s="285" t="n"/>
      <c r="C2652" s="579" t="n"/>
      <c r="D2652" s="580" t="n"/>
      <c r="E2652" s="581" t="n"/>
      <c r="F2652" s="577" t="n"/>
      <c r="G2652" s="582" t="n"/>
      <c r="H2652" s="583" t="n"/>
      <c r="I2652" s="510" t="n"/>
    </row>
    <row r="2653" ht="19.95" customFormat="1" customHeight="1" s="511">
      <c r="A2653" s="277" t="n"/>
      <c r="B2653" s="285" t="n"/>
      <c r="C2653" s="579" t="n"/>
      <c r="D2653" s="580" t="n"/>
      <c r="E2653" s="581" t="n"/>
      <c r="F2653" s="577" t="n"/>
      <c r="G2653" s="582" t="n"/>
      <c r="H2653" s="583" t="n"/>
      <c r="I2653" s="510" t="n"/>
    </row>
    <row r="2654" ht="19.95" customFormat="1" customHeight="1" s="511">
      <c r="A2654" s="277" t="n"/>
      <c r="B2654" s="285" t="n"/>
      <c r="C2654" s="579" t="n"/>
      <c r="D2654" s="580" t="n"/>
      <c r="E2654" s="581" t="n"/>
      <c r="F2654" s="577" t="n"/>
      <c r="G2654" s="582" t="n"/>
      <c r="H2654" s="583" t="n"/>
      <c r="I2654" s="510" t="n"/>
    </row>
    <row r="2655" ht="19.95" customFormat="1" customHeight="1" s="511">
      <c r="A2655" s="277" t="n"/>
      <c r="B2655" s="285" t="n"/>
      <c r="C2655" s="579" t="n"/>
      <c r="D2655" s="580" t="n"/>
      <c r="E2655" s="581" t="n"/>
      <c r="F2655" s="577" t="n"/>
      <c r="G2655" s="582" t="n"/>
      <c r="H2655" s="583" t="n"/>
      <c r="I2655" s="510" t="n"/>
    </row>
    <row r="2656" ht="19.95" customFormat="1" customHeight="1" s="511">
      <c r="A2656" s="277" t="n"/>
      <c r="B2656" s="285" t="n"/>
      <c r="C2656" s="579" t="n"/>
      <c r="D2656" s="580" t="n"/>
      <c r="E2656" s="581" t="n"/>
      <c r="F2656" s="577" t="n"/>
      <c r="G2656" s="582" t="n"/>
      <c r="H2656" s="583" t="n"/>
      <c r="I2656" s="510" t="n"/>
    </row>
    <row r="2657" ht="19.95" customFormat="1" customHeight="1" s="511">
      <c r="A2657" s="277" t="n"/>
      <c r="B2657" s="285" t="n"/>
      <c r="C2657" s="579" t="n"/>
      <c r="D2657" s="580" t="n"/>
      <c r="E2657" s="581" t="n"/>
      <c r="F2657" s="577" t="n"/>
      <c r="G2657" s="582" t="n"/>
      <c r="H2657" s="583" t="n"/>
      <c r="I2657" s="510" t="n"/>
    </row>
    <row r="2658" ht="19.95" customFormat="1" customHeight="1" s="511">
      <c r="A2658" s="277" t="n"/>
      <c r="B2658" s="285" t="n"/>
      <c r="C2658" s="579" t="n"/>
      <c r="D2658" s="580" t="n"/>
      <c r="E2658" s="581" t="n"/>
      <c r="F2658" s="577" t="n"/>
      <c r="G2658" s="582" t="n"/>
      <c r="H2658" s="583" t="n"/>
      <c r="I2658" s="510" t="n"/>
    </row>
    <row r="2659" ht="19.95" customFormat="1" customHeight="1" s="511">
      <c r="A2659" s="277" t="n"/>
      <c r="B2659" s="285" t="n"/>
      <c r="C2659" s="579" t="n"/>
      <c r="D2659" s="580" t="n"/>
      <c r="E2659" s="581" t="n"/>
      <c r="F2659" s="577" t="n"/>
      <c r="G2659" s="582" t="n"/>
      <c r="H2659" s="583" t="n"/>
      <c r="I2659" s="510" t="n"/>
    </row>
    <row r="2660" ht="19.95" customFormat="1" customHeight="1" s="511">
      <c r="A2660" s="277" t="n"/>
      <c r="B2660" s="285" t="n"/>
      <c r="C2660" s="579" t="n"/>
      <c r="D2660" s="580" t="n"/>
      <c r="E2660" s="581" t="n"/>
      <c r="F2660" s="577" t="n"/>
      <c r="G2660" s="582" t="n"/>
      <c r="H2660" s="583" t="n"/>
      <c r="I2660" s="510" t="n"/>
    </row>
    <row r="2661" ht="19.95" customFormat="1" customHeight="1" s="511">
      <c r="A2661" s="277" t="n"/>
      <c r="B2661" s="285" t="n"/>
      <c r="C2661" s="579" t="n"/>
      <c r="D2661" s="580" t="n"/>
      <c r="E2661" s="581" t="n"/>
      <c r="F2661" s="577" t="n"/>
      <c r="G2661" s="582" t="n"/>
      <c r="H2661" s="583" t="n"/>
      <c r="I2661" s="510" t="n"/>
    </row>
    <row r="2662" ht="19.95" customFormat="1" customHeight="1" s="511">
      <c r="A2662" s="277" t="n"/>
      <c r="B2662" s="285" t="n"/>
      <c r="C2662" s="579" t="n"/>
      <c r="D2662" s="580" t="n"/>
      <c r="E2662" s="581" t="n"/>
      <c r="F2662" s="577" t="n"/>
      <c r="G2662" s="582" t="n"/>
      <c r="H2662" s="583" t="n"/>
      <c r="I2662" s="510" t="n"/>
    </row>
    <row r="2663" ht="19.95" customFormat="1" customHeight="1" s="511">
      <c r="A2663" s="277" t="n"/>
      <c r="B2663" s="285" t="n"/>
      <c r="C2663" s="579" t="n"/>
      <c r="D2663" s="580" t="n"/>
      <c r="E2663" s="581" t="n"/>
      <c r="F2663" s="577" t="n"/>
      <c r="G2663" s="582" t="n"/>
      <c r="H2663" s="583" t="n"/>
      <c r="I2663" s="510" t="n"/>
    </row>
    <row r="2664" ht="19.95" customFormat="1" customHeight="1" s="511">
      <c r="A2664" s="277" t="n"/>
      <c r="B2664" s="285" t="n"/>
      <c r="C2664" s="579" t="n"/>
      <c r="D2664" s="580" t="n"/>
      <c r="E2664" s="581" t="n"/>
      <c r="F2664" s="577" t="n"/>
      <c r="G2664" s="582" t="n"/>
      <c r="H2664" s="583" t="n"/>
      <c r="I2664" s="510" t="n"/>
    </row>
    <row r="2665" ht="19.95" customFormat="1" customHeight="1" s="511">
      <c r="A2665" s="277" t="n"/>
      <c r="B2665" s="285" t="n"/>
      <c r="C2665" s="579" t="n"/>
      <c r="D2665" s="580" t="n"/>
      <c r="E2665" s="581" t="n"/>
      <c r="F2665" s="577" t="n"/>
      <c r="G2665" s="582" t="n"/>
      <c r="H2665" s="583" t="n"/>
      <c r="I2665" s="510" t="n"/>
    </row>
    <row r="2666" ht="19.95" customFormat="1" customHeight="1" s="511">
      <c r="A2666" s="277" t="n"/>
      <c r="B2666" s="285" t="n"/>
      <c r="C2666" s="579" t="n"/>
      <c r="D2666" s="580" t="n"/>
      <c r="E2666" s="581" t="n"/>
      <c r="F2666" s="577" t="n"/>
      <c r="G2666" s="582" t="n"/>
      <c r="H2666" s="583" t="n"/>
      <c r="I2666" s="510" t="n"/>
    </row>
    <row r="2667" ht="19.95" customFormat="1" customHeight="1" s="511">
      <c r="A2667" s="277" t="n"/>
      <c r="B2667" s="285" t="n"/>
      <c r="C2667" s="579" t="n"/>
      <c r="D2667" s="580" t="n"/>
      <c r="E2667" s="581" t="n"/>
      <c r="F2667" s="577" t="n"/>
      <c r="G2667" s="582" t="n"/>
      <c r="H2667" s="583" t="n"/>
      <c r="I2667" s="510" t="n"/>
    </row>
    <row r="2668" ht="19.95" customFormat="1" customHeight="1" s="511">
      <c r="A2668" s="277" t="n"/>
      <c r="B2668" s="285" t="n"/>
      <c r="C2668" s="579" t="n"/>
      <c r="D2668" s="580" t="n"/>
      <c r="E2668" s="581" t="n"/>
      <c r="F2668" s="577" t="n"/>
      <c r="G2668" s="582" t="n"/>
      <c r="H2668" s="583" t="n"/>
      <c r="I2668" s="510" t="n"/>
    </row>
    <row r="2669" ht="19.95" customFormat="1" customHeight="1" s="511">
      <c r="A2669" s="277" t="n"/>
      <c r="B2669" s="285" t="n"/>
      <c r="C2669" s="579" t="n"/>
      <c r="D2669" s="580" t="n"/>
      <c r="E2669" s="581" t="n"/>
      <c r="F2669" s="577" t="n"/>
      <c r="G2669" s="582" t="n"/>
      <c r="H2669" s="583" t="n"/>
      <c r="I2669" s="510" t="n"/>
    </row>
    <row r="2670" ht="19.95" customFormat="1" customHeight="1" s="511">
      <c r="A2670" s="277" t="n"/>
      <c r="B2670" s="285" t="n"/>
      <c r="C2670" s="579" t="n"/>
      <c r="D2670" s="580" t="n"/>
      <c r="E2670" s="581" t="n"/>
      <c r="F2670" s="577" t="n"/>
      <c r="G2670" s="582" t="n"/>
      <c r="H2670" s="583" t="n"/>
      <c r="I2670" s="510" t="n"/>
    </row>
    <row r="2671" ht="19.95" customFormat="1" customHeight="1" s="511">
      <c r="A2671" s="277" t="n"/>
      <c r="B2671" s="285" t="n"/>
      <c r="C2671" s="579" t="n"/>
      <c r="D2671" s="580" t="n"/>
      <c r="E2671" s="581" t="n"/>
      <c r="F2671" s="577" t="n"/>
      <c r="G2671" s="582" t="n"/>
      <c r="H2671" s="583" t="n"/>
      <c r="I2671" s="510" t="n"/>
    </row>
    <row r="2672" ht="19.95" customFormat="1" customHeight="1" s="511">
      <c r="A2672" s="277" t="n"/>
      <c r="B2672" s="285" t="n"/>
      <c r="C2672" s="579" t="n"/>
      <c r="D2672" s="580" t="n"/>
      <c r="E2672" s="581" t="n"/>
      <c r="F2672" s="577" t="n"/>
      <c r="G2672" s="582" t="n"/>
      <c r="H2672" s="583" t="n"/>
      <c r="I2672" s="510" t="n"/>
    </row>
    <row r="2673" ht="19.95" customFormat="1" customHeight="1" s="511">
      <c r="A2673" s="277" t="n"/>
      <c r="B2673" s="285" t="n"/>
      <c r="C2673" s="579" t="n"/>
      <c r="D2673" s="580" t="n"/>
      <c r="E2673" s="581" t="n"/>
      <c r="F2673" s="577" t="n"/>
      <c r="G2673" s="582" t="n"/>
      <c r="H2673" s="583" t="n"/>
      <c r="I2673" s="510" t="n"/>
    </row>
    <row r="2674" ht="19.95" customFormat="1" customHeight="1" s="511">
      <c r="A2674" s="277" t="n"/>
      <c r="B2674" s="285" t="n"/>
      <c r="C2674" s="579" t="n"/>
      <c r="D2674" s="580" t="n"/>
      <c r="E2674" s="581" t="n"/>
      <c r="F2674" s="577" t="n"/>
      <c r="G2674" s="582" t="n"/>
      <c r="H2674" s="583" t="n"/>
      <c r="I2674" s="510" t="n"/>
    </row>
    <row r="2675" ht="19.95" customFormat="1" customHeight="1" s="511">
      <c r="A2675" s="277" t="n"/>
      <c r="B2675" s="285" t="n"/>
      <c r="C2675" s="579" t="n"/>
      <c r="D2675" s="580" t="n"/>
      <c r="E2675" s="581" t="n"/>
      <c r="F2675" s="577" t="n"/>
      <c r="G2675" s="582" t="n"/>
      <c r="H2675" s="583" t="n"/>
      <c r="I2675" s="510" t="n"/>
    </row>
    <row r="2676" ht="19.95" customFormat="1" customHeight="1" s="511">
      <c r="A2676" s="277" t="n"/>
      <c r="B2676" s="285" t="n"/>
      <c r="C2676" s="579" t="n"/>
      <c r="D2676" s="580" t="n"/>
      <c r="E2676" s="581" t="n"/>
      <c r="F2676" s="577" t="n"/>
      <c r="G2676" s="582" t="n"/>
      <c r="H2676" s="583" t="n"/>
      <c r="I2676" s="510" t="n"/>
    </row>
    <row r="2677" ht="19.95" customFormat="1" customHeight="1" s="511">
      <c r="A2677" s="277" t="n"/>
      <c r="B2677" s="285" t="n"/>
      <c r="C2677" s="579" t="n"/>
      <c r="D2677" s="580" t="n"/>
      <c r="E2677" s="581" t="n"/>
      <c r="F2677" s="577" t="n"/>
      <c r="G2677" s="582" t="n"/>
      <c r="H2677" s="583" t="n"/>
      <c r="I2677" s="510" t="n"/>
    </row>
    <row r="2678" ht="19.95" customFormat="1" customHeight="1" s="511">
      <c r="A2678" s="277" t="n"/>
      <c r="B2678" s="285" t="n"/>
      <c r="C2678" s="579" t="n"/>
      <c r="D2678" s="580" t="n"/>
      <c r="E2678" s="581" t="n"/>
      <c r="F2678" s="577" t="n"/>
      <c r="G2678" s="582" t="n"/>
      <c r="H2678" s="583" t="n"/>
      <c r="I2678" s="510" t="n"/>
    </row>
    <row r="2679" ht="19.95" customFormat="1" customHeight="1" s="511">
      <c r="A2679" s="277" t="n"/>
      <c r="B2679" s="285" t="n"/>
      <c r="C2679" s="579" t="n"/>
      <c r="D2679" s="580" t="n"/>
      <c r="E2679" s="581" t="n"/>
      <c r="F2679" s="577" t="n"/>
      <c r="G2679" s="582" t="n"/>
      <c r="H2679" s="583" t="n"/>
      <c r="I2679" s="510" t="n"/>
    </row>
    <row r="2680" ht="19.95" customFormat="1" customHeight="1" s="511">
      <c r="A2680" s="277" t="n"/>
      <c r="B2680" s="285" t="n"/>
      <c r="C2680" s="579" t="n"/>
      <c r="D2680" s="580" t="n"/>
      <c r="E2680" s="581" t="n"/>
      <c r="F2680" s="577" t="n"/>
      <c r="G2680" s="582" t="n"/>
      <c r="H2680" s="583" t="n"/>
      <c r="I2680" s="510" t="n"/>
    </row>
    <row r="2681" ht="19.95" customFormat="1" customHeight="1" s="511">
      <c r="A2681" s="277" t="n"/>
      <c r="B2681" s="285" t="n"/>
      <c r="C2681" s="579" t="n"/>
      <c r="D2681" s="580" t="n"/>
      <c r="E2681" s="581" t="n"/>
      <c r="F2681" s="577" t="n"/>
      <c r="G2681" s="582" t="n"/>
      <c r="H2681" s="583" t="n"/>
      <c r="I2681" s="510" t="n"/>
    </row>
    <row r="2682" ht="19.95" customFormat="1" customHeight="1" s="511">
      <c r="A2682" s="277" t="n"/>
      <c r="B2682" s="285" t="n"/>
      <c r="C2682" s="579" t="n"/>
      <c r="D2682" s="580" t="n"/>
      <c r="E2682" s="581" t="n"/>
      <c r="F2682" s="577" t="n"/>
      <c r="G2682" s="582" t="n"/>
      <c r="H2682" s="583" t="n"/>
      <c r="I2682" s="510" t="n"/>
    </row>
    <row r="2683" ht="19.95" customFormat="1" customHeight="1" s="511">
      <c r="A2683" s="277" t="n"/>
      <c r="B2683" s="285" t="n"/>
      <c r="C2683" s="579" t="n"/>
      <c r="D2683" s="580" t="n"/>
      <c r="E2683" s="581" t="n"/>
      <c r="F2683" s="577" t="n"/>
      <c r="G2683" s="582" t="n"/>
      <c r="H2683" s="583" t="n"/>
      <c r="I2683" s="510" t="n"/>
    </row>
    <row r="2684" ht="19.95" customFormat="1" customHeight="1" s="511">
      <c r="A2684" s="277" t="n"/>
      <c r="B2684" s="285" t="n"/>
      <c r="C2684" s="579" t="n"/>
      <c r="D2684" s="580" t="n"/>
      <c r="E2684" s="581" t="n"/>
      <c r="F2684" s="577" t="n"/>
      <c r="G2684" s="582" t="n"/>
      <c r="H2684" s="583" t="n"/>
      <c r="I2684" s="510" t="n"/>
    </row>
    <row r="2685" ht="19.95" customFormat="1" customHeight="1" s="511">
      <c r="A2685" s="277" t="n"/>
      <c r="B2685" s="285" t="n"/>
      <c r="C2685" s="579" t="n"/>
      <c r="D2685" s="580" t="n"/>
      <c r="E2685" s="581" t="n"/>
      <c r="F2685" s="577" t="n"/>
      <c r="G2685" s="582" t="n"/>
      <c r="H2685" s="583" t="n"/>
      <c r="I2685" s="510" t="n"/>
    </row>
    <row r="2686" ht="19.95" customFormat="1" customHeight="1" s="511">
      <c r="A2686" s="277" t="n"/>
      <c r="B2686" s="285" t="n"/>
      <c r="C2686" s="579" t="n"/>
      <c r="D2686" s="580" t="n"/>
      <c r="E2686" s="581" t="n"/>
      <c r="F2686" s="577" t="n"/>
      <c r="G2686" s="582" t="n"/>
      <c r="H2686" s="583" t="n"/>
      <c r="I2686" s="510" t="n"/>
    </row>
    <row r="2687" ht="19.95" customFormat="1" customHeight="1" s="511">
      <c r="A2687" s="277" t="n"/>
      <c r="B2687" s="285" t="n"/>
      <c r="C2687" s="579" t="n"/>
      <c r="D2687" s="580" t="n"/>
      <c r="E2687" s="581" t="n"/>
      <c r="F2687" s="577" t="n"/>
      <c r="G2687" s="582" t="n"/>
      <c r="H2687" s="583" t="n"/>
      <c r="I2687" s="510" t="n"/>
    </row>
    <row r="2688" ht="19.95" customFormat="1" customHeight="1" s="511">
      <c r="A2688" s="277" t="n"/>
      <c r="B2688" s="285" t="n"/>
      <c r="C2688" s="579" t="n"/>
      <c r="D2688" s="580" t="n"/>
      <c r="E2688" s="581" t="n"/>
      <c r="F2688" s="577" t="n"/>
      <c r="G2688" s="582" t="n"/>
      <c r="H2688" s="583" t="n"/>
      <c r="I2688" s="510" t="n"/>
    </row>
    <row r="2689" ht="19.95" customFormat="1" customHeight="1" s="511">
      <c r="A2689" s="277" t="n"/>
      <c r="B2689" s="285" t="n"/>
      <c r="C2689" s="579" t="n"/>
      <c r="D2689" s="580" t="n"/>
      <c r="E2689" s="581" t="n"/>
      <c r="F2689" s="577" t="n"/>
      <c r="G2689" s="582" t="n"/>
      <c r="H2689" s="583" t="n"/>
      <c r="I2689" s="510" t="n"/>
    </row>
    <row r="2690" ht="19.95" customFormat="1" customHeight="1" s="511">
      <c r="A2690" s="277" t="n"/>
      <c r="B2690" s="285" t="n"/>
      <c r="C2690" s="579" t="n"/>
      <c r="D2690" s="580" t="n"/>
      <c r="E2690" s="581" t="n"/>
      <c r="F2690" s="577" t="n"/>
      <c r="G2690" s="582" t="n"/>
      <c r="H2690" s="583" t="n"/>
      <c r="I2690" s="510" t="n"/>
    </row>
    <row r="2691" ht="19.95" customFormat="1" customHeight="1" s="511">
      <c r="A2691" s="277" t="n"/>
      <c r="B2691" s="285" t="n"/>
      <c r="C2691" s="579" t="n"/>
      <c r="D2691" s="580" t="n"/>
      <c r="E2691" s="581" t="n"/>
      <c r="F2691" s="577" t="n"/>
      <c r="G2691" s="582" t="n"/>
      <c r="H2691" s="583" t="n"/>
      <c r="I2691" s="510" t="n"/>
    </row>
    <row r="2692" ht="19.95" customFormat="1" customHeight="1" s="511">
      <c r="A2692" s="277" t="n"/>
      <c r="B2692" s="285" t="n"/>
      <c r="C2692" s="579" t="n"/>
      <c r="D2692" s="580" t="n"/>
      <c r="E2692" s="581" t="n"/>
      <c r="F2692" s="577" t="n"/>
      <c r="G2692" s="582" t="n"/>
      <c r="H2692" s="583" t="n"/>
      <c r="I2692" s="510" t="n"/>
    </row>
    <row r="2693" ht="19.95" customFormat="1" customHeight="1" s="511">
      <c r="A2693" s="277" t="n"/>
      <c r="B2693" s="285" t="n"/>
      <c r="C2693" s="579" t="n"/>
      <c r="D2693" s="580" t="n"/>
      <c r="E2693" s="581" t="n"/>
      <c r="F2693" s="577" t="n"/>
      <c r="G2693" s="582" t="n"/>
      <c r="H2693" s="583" t="n"/>
      <c r="I2693" s="510" t="n"/>
    </row>
    <row r="2694" ht="19.95" customFormat="1" customHeight="1" s="511">
      <c r="A2694" s="277" t="n"/>
      <c r="B2694" s="285" t="n"/>
      <c r="C2694" s="579" t="n"/>
      <c r="D2694" s="580" t="n"/>
      <c r="E2694" s="581" t="n"/>
      <c r="F2694" s="577" t="n"/>
      <c r="G2694" s="582" t="n"/>
      <c r="H2694" s="583" t="n"/>
      <c r="I2694" s="510" t="n"/>
    </row>
    <row r="2695" ht="19.95" customFormat="1" customHeight="1" s="511">
      <c r="A2695" s="277" t="n"/>
      <c r="B2695" s="285" t="n"/>
      <c r="C2695" s="579" t="n"/>
      <c r="D2695" s="580" t="n"/>
      <c r="E2695" s="581" t="n"/>
      <c r="F2695" s="577" t="n"/>
      <c r="G2695" s="582" t="n"/>
      <c r="H2695" s="583" t="n"/>
      <c r="I2695" s="510" t="n"/>
    </row>
    <row r="2696" ht="19.95" customFormat="1" customHeight="1" s="511">
      <c r="A2696" s="277" t="n"/>
      <c r="B2696" s="285" t="n"/>
      <c r="C2696" s="579" t="n"/>
      <c r="D2696" s="580" t="n"/>
      <c r="E2696" s="581" t="n"/>
      <c r="F2696" s="577" t="n"/>
      <c r="G2696" s="582" t="n"/>
      <c r="H2696" s="583" t="n"/>
      <c r="I2696" s="510" t="n"/>
    </row>
    <row r="2697" ht="19.95" customFormat="1" customHeight="1" s="511">
      <c r="A2697" s="277" t="n"/>
      <c r="B2697" s="285" t="n"/>
      <c r="C2697" s="579" t="n"/>
      <c r="D2697" s="580" t="n"/>
      <c r="E2697" s="581" t="n"/>
      <c r="F2697" s="577" t="n"/>
      <c r="G2697" s="582" t="n"/>
      <c r="H2697" s="583" t="n"/>
      <c r="I2697" s="510" t="n"/>
    </row>
    <row r="2698" ht="19.95" customFormat="1" customHeight="1" s="511">
      <c r="A2698" s="277" t="n"/>
      <c r="B2698" s="285" t="n"/>
      <c r="C2698" s="579" t="n"/>
      <c r="D2698" s="580" t="n"/>
      <c r="E2698" s="581" t="n"/>
      <c r="F2698" s="577" t="n"/>
      <c r="G2698" s="582" t="n"/>
      <c r="H2698" s="583" t="n"/>
      <c r="I2698" s="510" t="n"/>
    </row>
    <row r="2699" ht="19.95" customFormat="1" customHeight="1" s="511">
      <c r="A2699" s="277" t="n"/>
      <c r="B2699" s="285" t="n"/>
      <c r="C2699" s="579" t="n"/>
      <c r="D2699" s="580" t="n"/>
      <c r="E2699" s="581" t="n"/>
      <c r="F2699" s="577" t="n"/>
      <c r="G2699" s="582" t="n"/>
      <c r="H2699" s="583" t="n"/>
      <c r="I2699" s="510" t="n"/>
    </row>
    <row r="2700" ht="19.95" customFormat="1" customHeight="1" s="511">
      <c r="A2700" s="277" t="n"/>
      <c r="B2700" s="285" t="n"/>
      <c r="C2700" s="579" t="n"/>
      <c r="D2700" s="580" t="n"/>
      <c r="E2700" s="581" t="n"/>
      <c r="F2700" s="577" t="n"/>
      <c r="G2700" s="582" t="n"/>
      <c r="H2700" s="583" t="n"/>
      <c r="I2700" s="510" t="n"/>
    </row>
    <row r="2701" ht="19.95" customFormat="1" customHeight="1" s="511">
      <c r="A2701" s="277" t="n"/>
      <c r="B2701" s="285" t="n"/>
      <c r="C2701" s="579" t="n"/>
      <c r="D2701" s="580" t="n"/>
      <c r="E2701" s="581" t="n"/>
      <c r="F2701" s="577" t="n"/>
      <c r="G2701" s="582" t="n"/>
      <c r="H2701" s="583" t="n"/>
      <c r="I2701" s="510" t="n"/>
    </row>
    <row r="2702" ht="19.95" customFormat="1" customHeight="1" s="511">
      <c r="A2702" s="277" t="n"/>
      <c r="B2702" s="285" t="n"/>
      <c r="C2702" s="579" t="n"/>
      <c r="D2702" s="580" t="n"/>
      <c r="E2702" s="581" t="n"/>
      <c r="F2702" s="577" t="n"/>
      <c r="G2702" s="582" t="n"/>
      <c r="H2702" s="583" t="n"/>
      <c r="I2702" s="510" t="n"/>
    </row>
    <row r="2703" ht="19.95" customFormat="1" customHeight="1" s="511">
      <c r="A2703" s="277" t="n"/>
      <c r="B2703" s="285" t="n"/>
      <c r="C2703" s="579" t="n"/>
      <c r="D2703" s="580" t="n"/>
      <c r="E2703" s="581" t="n"/>
      <c r="F2703" s="577" t="n"/>
      <c r="G2703" s="582" t="n"/>
      <c r="H2703" s="583" t="n"/>
      <c r="I2703" s="510" t="n"/>
    </row>
    <row r="2704" ht="19.95" customFormat="1" customHeight="1" s="511">
      <c r="A2704" s="277" t="n"/>
      <c r="B2704" s="285" t="n"/>
      <c r="C2704" s="579" t="n"/>
      <c r="D2704" s="580" t="n"/>
      <c r="E2704" s="581" t="n"/>
      <c r="F2704" s="577" t="n"/>
      <c r="G2704" s="582" t="n"/>
      <c r="H2704" s="583" t="n"/>
      <c r="I2704" s="510" t="n"/>
    </row>
    <row r="2705" ht="19.95" customFormat="1" customHeight="1" s="511">
      <c r="A2705" s="277" t="n"/>
      <c r="B2705" s="285" t="n"/>
      <c r="C2705" s="579" t="n"/>
      <c r="D2705" s="580" t="n"/>
      <c r="E2705" s="581" t="n"/>
      <c r="F2705" s="577" t="n"/>
      <c r="G2705" s="582" t="n"/>
      <c r="H2705" s="583" t="n"/>
      <c r="I2705" s="510" t="n"/>
    </row>
    <row r="2706" ht="19.95" customFormat="1" customHeight="1" s="511">
      <c r="A2706" s="277" t="n"/>
      <c r="B2706" s="285" t="n"/>
      <c r="C2706" s="579" t="n"/>
      <c r="D2706" s="580" t="n"/>
      <c r="E2706" s="581" t="n"/>
      <c r="F2706" s="577" t="n"/>
      <c r="G2706" s="582" t="n"/>
      <c r="H2706" s="583" t="n"/>
      <c r="I2706" s="510" t="n"/>
    </row>
    <row r="2707" ht="19.95" customFormat="1" customHeight="1" s="511">
      <c r="A2707" s="277" t="n"/>
      <c r="B2707" s="285" t="n"/>
      <c r="C2707" s="579" t="n"/>
      <c r="D2707" s="580" t="n"/>
      <c r="E2707" s="581" t="n"/>
      <c r="F2707" s="577" t="n"/>
      <c r="G2707" s="582" t="n"/>
      <c r="H2707" s="583" t="n"/>
      <c r="I2707" s="510" t="n"/>
    </row>
    <row r="2708" ht="19.95" customFormat="1" customHeight="1" s="511">
      <c r="A2708" s="277" t="n"/>
      <c r="B2708" s="285" t="n"/>
      <c r="C2708" s="579" t="n"/>
      <c r="D2708" s="580" t="n"/>
      <c r="E2708" s="581" t="n"/>
      <c r="F2708" s="577" t="n"/>
      <c r="G2708" s="582" t="n"/>
      <c r="H2708" s="583" t="n"/>
      <c r="I2708" s="510" t="n"/>
    </row>
    <row r="2709" ht="19.95" customFormat="1" customHeight="1" s="511">
      <c r="A2709" s="277" t="n"/>
      <c r="B2709" s="285" t="n"/>
      <c r="C2709" s="579" t="n"/>
      <c r="D2709" s="580" t="n"/>
      <c r="E2709" s="581" t="n"/>
      <c r="F2709" s="577" t="n"/>
      <c r="G2709" s="582" t="n"/>
      <c r="H2709" s="583" t="n"/>
      <c r="I2709" s="510" t="n"/>
    </row>
    <row r="2710" ht="19.95" customFormat="1" customHeight="1" s="511">
      <c r="A2710" s="277" t="n"/>
      <c r="B2710" s="285" t="n"/>
      <c r="C2710" s="579" t="n"/>
      <c r="D2710" s="580" t="n"/>
      <c r="E2710" s="581" t="n"/>
      <c r="F2710" s="577" t="n"/>
      <c r="G2710" s="582" t="n"/>
      <c r="H2710" s="583" t="n"/>
      <c r="I2710" s="510" t="n"/>
    </row>
    <row r="2711" ht="19.95" customFormat="1" customHeight="1" s="511">
      <c r="A2711" s="277" t="n"/>
      <c r="B2711" s="285" t="n"/>
      <c r="C2711" s="579" t="n"/>
      <c r="D2711" s="580" t="n"/>
      <c r="E2711" s="581" t="n"/>
      <c r="F2711" s="577" t="n"/>
      <c r="G2711" s="582" t="n"/>
      <c r="H2711" s="583" t="n"/>
      <c r="I2711" s="510" t="n"/>
    </row>
    <row r="2712" ht="19.95" customFormat="1" customHeight="1" s="511">
      <c r="A2712" s="277" t="n"/>
      <c r="B2712" s="285" t="n"/>
      <c r="C2712" s="579" t="n"/>
      <c r="D2712" s="580" t="n"/>
      <c r="E2712" s="581" t="n"/>
      <c r="F2712" s="577" t="n"/>
      <c r="G2712" s="582" t="n"/>
      <c r="H2712" s="583" t="n"/>
      <c r="I2712" s="510" t="n"/>
    </row>
    <row r="2713" ht="19.95" customFormat="1" customHeight="1" s="511">
      <c r="A2713" s="277" t="n"/>
      <c r="B2713" s="285" t="n"/>
      <c r="C2713" s="579" t="n"/>
      <c r="D2713" s="580" t="n"/>
      <c r="E2713" s="581" t="n"/>
      <c r="F2713" s="577" t="n"/>
      <c r="G2713" s="582" t="n"/>
      <c r="H2713" s="583" t="n"/>
      <c r="I2713" s="510" t="n"/>
    </row>
    <row r="2714" ht="19.95" customFormat="1" customHeight="1" s="511">
      <c r="A2714" s="277" t="n"/>
      <c r="B2714" s="285" t="n"/>
      <c r="C2714" s="579" t="n"/>
      <c r="D2714" s="580" t="n"/>
      <c r="E2714" s="581" t="n"/>
      <c r="F2714" s="577" t="n"/>
      <c r="G2714" s="582" t="n"/>
      <c r="H2714" s="583" t="n"/>
      <c r="I2714" s="510" t="n"/>
    </row>
    <row r="2715" ht="19.95" customFormat="1" customHeight="1" s="511">
      <c r="A2715" s="277" t="n"/>
      <c r="B2715" s="285" t="n"/>
      <c r="C2715" s="579" t="n"/>
      <c r="D2715" s="580" t="n"/>
      <c r="E2715" s="581" t="n"/>
      <c r="F2715" s="577" t="n"/>
      <c r="G2715" s="582" t="n"/>
      <c r="H2715" s="583" t="n"/>
      <c r="I2715" s="510" t="n"/>
    </row>
    <row r="2716" ht="19.95" customFormat="1" customHeight="1" s="511">
      <c r="A2716" s="277" t="n"/>
      <c r="B2716" s="285" t="n"/>
      <c r="C2716" s="579" t="n"/>
      <c r="D2716" s="580" t="n"/>
      <c r="E2716" s="581" t="n"/>
      <c r="F2716" s="577" t="n"/>
      <c r="G2716" s="582" t="n"/>
      <c r="H2716" s="583" t="n"/>
      <c r="I2716" s="510" t="n"/>
    </row>
    <row r="2717" ht="19.95" customFormat="1" customHeight="1" s="511">
      <c r="A2717" s="277" t="n"/>
      <c r="B2717" s="285" t="n"/>
      <c r="C2717" s="579" t="n"/>
      <c r="D2717" s="580" t="n"/>
      <c r="E2717" s="581" t="n"/>
      <c r="F2717" s="577" t="n"/>
      <c r="G2717" s="582" t="n"/>
      <c r="H2717" s="583" t="n"/>
      <c r="I2717" s="510" t="n"/>
    </row>
    <row r="2718" ht="19.95" customFormat="1" customHeight="1" s="511">
      <c r="A2718" s="277" t="n"/>
      <c r="B2718" s="285" t="n"/>
      <c r="C2718" s="579" t="n"/>
      <c r="D2718" s="580" t="n"/>
      <c r="E2718" s="581" t="n"/>
      <c r="F2718" s="577" t="n"/>
      <c r="G2718" s="582" t="n"/>
      <c r="H2718" s="583" t="n"/>
      <c r="I2718" s="510" t="n"/>
    </row>
    <row r="2719" ht="19.95" customFormat="1" customHeight="1" s="511">
      <c r="A2719" s="277" t="n"/>
      <c r="B2719" s="285" t="n"/>
      <c r="C2719" s="579" t="n"/>
      <c r="D2719" s="580" t="n"/>
      <c r="E2719" s="581" t="n"/>
      <c r="F2719" s="577" t="n"/>
      <c r="G2719" s="582" t="n"/>
      <c r="H2719" s="583" t="n"/>
      <c r="I2719" s="510" t="n"/>
    </row>
    <row r="2720" ht="19.95" customFormat="1" customHeight="1" s="511">
      <c r="A2720" s="277" t="n"/>
      <c r="B2720" s="285" t="n"/>
      <c r="C2720" s="579" t="n"/>
      <c r="D2720" s="580" t="n"/>
      <c r="E2720" s="581" t="n"/>
      <c r="F2720" s="577" t="n"/>
      <c r="G2720" s="582" t="n"/>
      <c r="H2720" s="583" t="n"/>
      <c r="I2720" s="510" t="n"/>
    </row>
    <row r="2721" ht="19.95" customFormat="1" customHeight="1" s="511">
      <c r="A2721" s="277" t="n"/>
      <c r="B2721" s="285" t="n"/>
      <c r="C2721" s="579" t="n"/>
      <c r="D2721" s="580" t="n"/>
      <c r="E2721" s="581" t="n"/>
      <c r="F2721" s="577" t="n"/>
      <c r="G2721" s="582" t="n"/>
      <c r="H2721" s="583" t="n"/>
      <c r="I2721" s="510" t="n"/>
    </row>
    <row r="2722" ht="19.95" customFormat="1" customHeight="1" s="511">
      <c r="A2722" s="277" t="n"/>
      <c r="B2722" s="285" t="n"/>
      <c r="C2722" s="579" t="n"/>
      <c r="D2722" s="580" t="n"/>
      <c r="E2722" s="581" t="n"/>
      <c r="F2722" s="577" t="n"/>
      <c r="G2722" s="582" t="n"/>
      <c r="H2722" s="583" t="n"/>
      <c r="I2722" s="510" t="n"/>
    </row>
    <row r="2723" ht="19.95" customFormat="1" customHeight="1" s="511">
      <c r="A2723" s="277" t="n"/>
      <c r="B2723" s="285" t="n"/>
      <c r="C2723" s="579" t="n"/>
      <c r="D2723" s="580" t="n"/>
      <c r="E2723" s="581" t="n"/>
      <c r="F2723" s="577" t="n"/>
      <c r="G2723" s="582" t="n"/>
      <c r="H2723" s="583" t="n"/>
      <c r="I2723" s="510" t="n"/>
    </row>
    <row r="2724" ht="19.95" customFormat="1" customHeight="1" s="511">
      <c r="A2724" s="277" t="n"/>
      <c r="B2724" s="285" t="n"/>
      <c r="C2724" s="579" t="n"/>
      <c r="D2724" s="580" t="n"/>
      <c r="E2724" s="581" t="n"/>
      <c r="F2724" s="577" t="n"/>
      <c r="G2724" s="582" t="n"/>
      <c r="H2724" s="583" t="n"/>
      <c r="I2724" s="510" t="n"/>
    </row>
    <row r="2725" ht="19.95" customFormat="1" customHeight="1" s="511">
      <c r="A2725" s="277" t="n"/>
      <c r="B2725" s="285" t="n"/>
      <c r="C2725" s="579" t="n"/>
      <c r="D2725" s="580" t="n"/>
      <c r="E2725" s="581" t="n"/>
      <c r="F2725" s="577" t="n"/>
      <c r="G2725" s="582" t="n"/>
      <c r="H2725" s="583" t="n"/>
      <c r="I2725" s="510" t="n"/>
    </row>
    <row r="2726" ht="19.95" customFormat="1" customHeight="1" s="511">
      <c r="A2726" s="277" t="n"/>
      <c r="B2726" s="285" t="n"/>
      <c r="C2726" s="579" t="n"/>
      <c r="D2726" s="580" t="n"/>
      <c r="E2726" s="581" t="n"/>
      <c r="F2726" s="577" t="n"/>
      <c r="G2726" s="582" t="n"/>
      <c r="H2726" s="583" t="n"/>
      <c r="I2726" s="510" t="n"/>
    </row>
    <row r="2727" ht="19.95" customFormat="1" customHeight="1" s="511">
      <c r="A2727" s="277" t="n"/>
      <c r="B2727" s="285" t="n"/>
      <c r="C2727" s="579" t="n"/>
      <c r="D2727" s="580" t="n"/>
      <c r="E2727" s="581" t="n"/>
      <c r="F2727" s="577" t="n"/>
      <c r="G2727" s="582" t="n"/>
      <c r="H2727" s="583" t="n"/>
      <c r="I2727" s="510" t="n"/>
    </row>
    <row r="2728" ht="19.95" customFormat="1" customHeight="1" s="511">
      <c r="A2728" s="277" t="n"/>
      <c r="B2728" s="285" t="n"/>
      <c r="C2728" s="579" t="n"/>
      <c r="D2728" s="580" t="n"/>
      <c r="E2728" s="581" t="n"/>
      <c r="F2728" s="577" t="n"/>
      <c r="G2728" s="582" t="n"/>
      <c r="H2728" s="583" t="n"/>
      <c r="I2728" s="510" t="n"/>
    </row>
    <row r="2729" ht="19.95" customFormat="1" customHeight="1" s="511">
      <c r="A2729" s="277" t="n"/>
      <c r="B2729" s="285" t="n"/>
      <c r="C2729" s="579" t="n"/>
      <c r="D2729" s="580" t="n"/>
      <c r="E2729" s="581" t="n"/>
      <c r="F2729" s="577" t="n"/>
      <c r="G2729" s="582" t="n"/>
      <c r="H2729" s="583" t="n"/>
      <c r="I2729" s="510" t="n"/>
    </row>
    <row r="2730" ht="19.95" customFormat="1" customHeight="1" s="511">
      <c r="A2730" s="277" t="n"/>
      <c r="B2730" s="285" t="n"/>
      <c r="C2730" s="579" t="n"/>
      <c r="D2730" s="580" t="n"/>
      <c r="E2730" s="581" t="n"/>
      <c r="F2730" s="577" t="n"/>
      <c r="G2730" s="582" t="n"/>
      <c r="H2730" s="583" t="n"/>
      <c r="I2730" s="510" t="n"/>
    </row>
    <row r="2731" ht="19.95" customFormat="1" customHeight="1" s="511">
      <c r="A2731" s="277" t="n"/>
      <c r="B2731" s="285" t="n"/>
      <c r="C2731" s="579" t="n"/>
      <c r="D2731" s="580" t="n"/>
      <c r="E2731" s="581" t="n"/>
      <c r="F2731" s="577" t="n"/>
      <c r="G2731" s="582" t="n"/>
      <c r="H2731" s="583" t="n"/>
      <c r="I2731" s="510" t="n"/>
    </row>
    <row r="2732" ht="19.95" customFormat="1" customHeight="1" s="511">
      <c r="A2732" s="277" t="n"/>
      <c r="B2732" s="285" t="n"/>
      <c r="C2732" s="579" t="n"/>
      <c r="D2732" s="580" t="n"/>
      <c r="E2732" s="581" t="n"/>
      <c r="F2732" s="577" t="n"/>
      <c r="G2732" s="582" t="n"/>
      <c r="H2732" s="583" t="n"/>
      <c r="I2732" s="510" t="n"/>
    </row>
    <row r="2733" ht="19.95" customFormat="1" customHeight="1" s="511">
      <c r="A2733" s="277" t="n"/>
      <c r="B2733" s="285" t="n"/>
      <c r="C2733" s="579" t="n"/>
      <c r="D2733" s="580" t="n"/>
      <c r="E2733" s="581" t="n"/>
      <c r="F2733" s="577" t="n"/>
      <c r="G2733" s="582" t="n"/>
      <c r="H2733" s="583" t="n"/>
      <c r="I2733" s="510" t="n"/>
    </row>
    <row r="2734" ht="19.95" customFormat="1" customHeight="1" s="511">
      <c r="A2734" s="277" t="n"/>
      <c r="B2734" s="285" t="n"/>
      <c r="C2734" s="579" t="n"/>
      <c r="D2734" s="580" t="n"/>
      <c r="E2734" s="581" t="n"/>
      <c r="F2734" s="577" t="n"/>
      <c r="G2734" s="582" t="n"/>
      <c r="H2734" s="583" t="n"/>
      <c r="I2734" s="510" t="n"/>
    </row>
    <row r="2735" ht="19.95" customFormat="1" customHeight="1" s="511">
      <c r="A2735" s="277" t="n"/>
      <c r="B2735" s="285" t="n"/>
      <c r="C2735" s="579" t="n"/>
      <c r="D2735" s="580" t="n"/>
      <c r="E2735" s="581" t="n"/>
      <c r="F2735" s="577" t="n"/>
      <c r="G2735" s="582" t="n"/>
      <c r="H2735" s="583" t="n"/>
      <c r="I2735" s="510" t="n"/>
    </row>
    <row r="2736" ht="19.95" customFormat="1" customHeight="1" s="511">
      <c r="A2736" s="277" t="n"/>
      <c r="B2736" s="285" t="n"/>
      <c r="C2736" s="579" t="n"/>
      <c r="D2736" s="580" t="n"/>
      <c r="E2736" s="581" t="n"/>
      <c r="F2736" s="577" t="n"/>
      <c r="G2736" s="582" t="n"/>
      <c r="H2736" s="583" t="n"/>
      <c r="I2736" s="510" t="n"/>
    </row>
    <row r="2737" ht="19.95" customFormat="1" customHeight="1" s="511">
      <c r="A2737" s="277" t="n"/>
      <c r="B2737" s="285" t="n"/>
      <c r="C2737" s="579" t="n"/>
      <c r="D2737" s="580" t="n"/>
      <c r="E2737" s="581" t="n"/>
      <c r="F2737" s="577" t="n"/>
      <c r="G2737" s="582" t="n"/>
      <c r="H2737" s="583" t="n"/>
      <c r="I2737" s="510" t="n"/>
    </row>
    <row r="2738" ht="19.95" customFormat="1" customHeight="1" s="511">
      <c r="A2738" s="277" t="n"/>
      <c r="B2738" s="285" t="n"/>
      <c r="C2738" s="579" t="n"/>
      <c r="D2738" s="580" t="n"/>
      <c r="E2738" s="581" t="n"/>
      <c r="F2738" s="577" t="n"/>
      <c r="G2738" s="582" t="n"/>
      <c r="H2738" s="583" t="n"/>
      <c r="I2738" s="510" t="n"/>
    </row>
    <row r="2739" ht="19.95" customFormat="1" customHeight="1" s="511">
      <c r="A2739" s="277" t="n"/>
      <c r="B2739" s="285" t="n"/>
      <c r="C2739" s="579" t="n"/>
      <c r="D2739" s="580" t="n"/>
      <c r="E2739" s="581" t="n"/>
      <c r="F2739" s="577" t="n"/>
      <c r="G2739" s="582" t="n"/>
      <c r="H2739" s="583" t="n"/>
      <c r="I2739" s="510" t="n"/>
    </row>
    <row r="2740" ht="19.95" customFormat="1" customHeight="1" s="511">
      <c r="A2740" s="277" t="n"/>
      <c r="B2740" s="285" t="n"/>
      <c r="C2740" s="579" t="n"/>
      <c r="D2740" s="580" t="n"/>
      <c r="E2740" s="581" t="n"/>
      <c r="F2740" s="577" t="n"/>
      <c r="G2740" s="582" t="n"/>
      <c r="H2740" s="583" t="n"/>
      <c r="I2740" s="510" t="n"/>
    </row>
    <row r="2741" ht="19.95" customFormat="1" customHeight="1" s="511">
      <c r="A2741" s="277" t="n"/>
      <c r="B2741" s="285" t="n"/>
      <c r="C2741" s="579" t="n"/>
      <c r="D2741" s="580" t="n"/>
      <c r="E2741" s="581" t="n"/>
      <c r="F2741" s="577" t="n"/>
      <c r="G2741" s="582" t="n"/>
      <c r="H2741" s="583" t="n"/>
      <c r="I2741" s="510" t="n"/>
    </row>
    <row r="2742" ht="19.95" customFormat="1" customHeight="1" s="511">
      <c r="A2742" s="277" t="n"/>
      <c r="B2742" s="285" t="n"/>
      <c r="C2742" s="579" t="n"/>
      <c r="D2742" s="580" t="n"/>
      <c r="E2742" s="581" t="n"/>
      <c r="F2742" s="577" t="n"/>
      <c r="G2742" s="582" t="n"/>
      <c r="H2742" s="583" t="n"/>
      <c r="I2742" s="510" t="n"/>
    </row>
    <row r="2743" ht="19.95" customFormat="1" customHeight="1" s="511">
      <c r="A2743" s="277" t="n"/>
      <c r="B2743" s="285" t="n"/>
      <c r="C2743" s="579" t="n"/>
      <c r="D2743" s="580" t="n"/>
      <c r="E2743" s="581" t="n"/>
      <c r="F2743" s="577" t="n"/>
      <c r="G2743" s="582" t="n"/>
      <c r="H2743" s="583" t="n"/>
      <c r="I2743" s="510" t="n"/>
    </row>
    <row r="2744" ht="19.95" customFormat="1" customHeight="1" s="511">
      <c r="A2744" s="277" t="n"/>
      <c r="B2744" s="285" t="n"/>
      <c r="C2744" s="579" t="n"/>
      <c r="D2744" s="580" t="n"/>
      <c r="E2744" s="581" t="n"/>
      <c r="F2744" s="577" t="n"/>
      <c r="G2744" s="582" t="n"/>
      <c r="H2744" s="583" t="n"/>
      <c r="I2744" s="510" t="n"/>
    </row>
    <row r="2745" ht="19.95" customFormat="1" customHeight="1" s="511">
      <c r="A2745" s="277" t="n"/>
      <c r="B2745" s="285" t="n"/>
      <c r="C2745" s="579" t="n"/>
      <c r="D2745" s="580" t="n"/>
      <c r="E2745" s="581" t="n"/>
      <c r="F2745" s="577" t="n"/>
      <c r="G2745" s="582" t="n"/>
      <c r="H2745" s="583" t="n"/>
      <c r="I2745" s="510" t="n"/>
    </row>
    <row r="2746" ht="19.95" customFormat="1" customHeight="1" s="511">
      <c r="A2746" s="277" t="n"/>
      <c r="B2746" s="285" t="n"/>
      <c r="C2746" s="579" t="n"/>
      <c r="D2746" s="580" t="n"/>
      <c r="E2746" s="581" t="n"/>
      <c r="F2746" s="577" t="n"/>
      <c r="G2746" s="582" t="n"/>
      <c r="H2746" s="583" t="n"/>
      <c r="I2746" s="510" t="n"/>
    </row>
    <row r="2747" ht="19.95" customFormat="1" customHeight="1" s="511">
      <c r="A2747" s="277" t="n"/>
      <c r="B2747" s="285" t="n"/>
      <c r="C2747" s="579" t="n"/>
      <c r="D2747" s="580" t="n"/>
      <c r="E2747" s="581" t="n"/>
      <c r="F2747" s="577" t="n"/>
      <c r="G2747" s="582" t="n"/>
      <c r="H2747" s="583" t="n"/>
      <c r="I2747" s="510" t="n"/>
    </row>
    <row r="2748" ht="19.95" customFormat="1" customHeight="1" s="511">
      <c r="A2748" s="277" t="n"/>
      <c r="B2748" s="285" t="n"/>
      <c r="C2748" s="579" t="n"/>
      <c r="D2748" s="580" t="n"/>
      <c r="E2748" s="581" t="n"/>
      <c r="F2748" s="577" t="n"/>
      <c r="G2748" s="582" t="n"/>
      <c r="H2748" s="583" t="n"/>
      <c r="I2748" s="510" t="n"/>
    </row>
    <row r="2749" ht="19.95" customFormat="1" customHeight="1" s="511">
      <c r="A2749" s="277" t="n"/>
      <c r="B2749" s="285" t="n"/>
      <c r="C2749" s="579" t="n"/>
      <c r="D2749" s="580" t="n"/>
      <c r="E2749" s="581" t="n"/>
      <c r="F2749" s="577" t="n"/>
      <c r="G2749" s="582" t="n"/>
      <c r="H2749" s="583" t="n"/>
      <c r="I2749" s="510" t="n"/>
    </row>
    <row r="2750" ht="19.95" customFormat="1" customHeight="1" s="511">
      <c r="A2750" s="277" t="n"/>
      <c r="B2750" s="285" t="n"/>
      <c r="C2750" s="579" t="n"/>
      <c r="D2750" s="580" t="n"/>
      <c r="E2750" s="581" t="n"/>
      <c r="F2750" s="577" t="n"/>
      <c r="G2750" s="582" t="n"/>
      <c r="H2750" s="583" t="n"/>
      <c r="I2750" s="510" t="n"/>
    </row>
    <row r="2751" ht="19.95" customFormat="1" customHeight="1" s="511">
      <c r="A2751" s="277" t="n"/>
      <c r="B2751" s="285" t="n"/>
      <c r="C2751" s="579" t="n"/>
      <c r="D2751" s="580" t="n"/>
      <c r="E2751" s="581" t="n"/>
      <c r="F2751" s="577" t="n"/>
      <c r="G2751" s="582" t="n"/>
      <c r="H2751" s="583" t="n"/>
      <c r="I2751" s="510" t="n"/>
    </row>
    <row r="2752" ht="19.95" customFormat="1" customHeight="1" s="511">
      <c r="A2752" s="277" t="n"/>
      <c r="B2752" s="285" t="n"/>
      <c r="C2752" s="579" t="n"/>
      <c r="D2752" s="580" t="n"/>
      <c r="E2752" s="581" t="n"/>
      <c r="F2752" s="577" t="n"/>
      <c r="G2752" s="582" t="n"/>
      <c r="H2752" s="583" t="n"/>
      <c r="I2752" s="510" t="n"/>
    </row>
    <row r="2753" ht="19.95" customFormat="1" customHeight="1" s="511">
      <c r="A2753" s="277" t="n"/>
      <c r="B2753" s="285" t="n"/>
      <c r="C2753" s="579" t="n"/>
      <c r="D2753" s="580" t="n"/>
      <c r="E2753" s="581" t="n"/>
      <c r="F2753" s="577" t="n"/>
      <c r="G2753" s="582" t="n"/>
      <c r="H2753" s="583" t="n"/>
      <c r="I2753" s="510" t="n"/>
    </row>
    <row r="2754" ht="19.95" customFormat="1" customHeight="1" s="511">
      <c r="A2754" s="277" t="n"/>
      <c r="B2754" s="285" t="n"/>
      <c r="C2754" s="579" t="n"/>
      <c r="D2754" s="580" t="n"/>
      <c r="E2754" s="581" t="n"/>
      <c r="F2754" s="577" t="n"/>
      <c r="G2754" s="582" t="n"/>
      <c r="H2754" s="583" t="n"/>
      <c r="I2754" s="510" t="n"/>
    </row>
    <row r="2755" ht="19.95" customFormat="1" customHeight="1" s="511">
      <c r="A2755" s="277" t="n"/>
      <c r="B2755" s="285" t="n"/>
      <c r="C2755" s="579" t="n"/>
      <c r="D2755" s="580" t="n"/>
      <c r="E2755" s="581" t="n"/>
      <c r="F2755" s="577" t="n"/>
      <c r="G2755" s="582" t="n"/>
      <c r="H2755" s="583" t="n"/>
      <c r="I2755" s="510" t="n"/>
    </row>
    <row r="2756" ht="19.95" customFormat="1" customHeight="1" s="511">
      <c r="A2756" s="277" t="n"/>
      <c r="B2756" s="285" t="n"/>
      <c r="C2756" s="579" t="n"/>
      <c r="D2756" s="580" t="n"/>
      <c r="E2756" s="581" t="n"/>
      <c r="F2756" s="577" t="n"/>
      <c r="G2756" s="582" t="n"/>
      <c r="H2756" s="583" t="n"/>
      <c r="I2756" s="510" t="n"/>
    </row>
    <row r="2757" ht="19.95" customFormat="1" customHeight="1" s="511">
      <c r="A2757" s="277" t="n"/>
      <c r="B2757" s="285" t="n"/>
      <c r="C2757" s="579" t="n"/>
      <c r="D2757" s="580" t="n"/>
      <c r="E2757" s="581" t="n"/>
      <c r="F2757" s="577" t="n"/>
      <c r="G2757" s="582" t="n"/>
      <c r="H2757" s="583" t="n"/>
      <c r="I2757" s="510" t="n"/>
    </row>
    <row r="2758" ht="19.95" customFormat="1" customHeight="1" s="511">
      <c r="A2758" s="277" t="n"/>
      <c r="B2758" s="285" t="n"/>
      <c r="C2758" s="579" t="n"/>
      <c r="D2758" s="580" t="n"/>
      <c r="E2758" s="581" t="n"/>
      <c r="F2758" s="577" t="n"/>
      <c r="G2758" s="582" t="n"/>
      <c r="H2758" s="583" t="n"/>
      <c r="I2758" s="510" t="n"/>
    </row>
    <row r="2759" ht="19.95" customFormat="1" customHeight="1" s="511">
      <c r="A2759" s="277" t="n"/>
      <c r="B2759" s="285" t="n"/>
      <c r="C2759" s="579" t="n"/>
      <c r="D2759" s="580" t="n"/>
      <c r="E2759" s="581" t="n"/>
      <c r="F2759" s="577" t="n"/>
      <c r="G2759" s="582" t="n"/>
      <c r="H2759" s="583" t="n"/>
      <c r="I2759" s="510" t="n"/>
    </row>
    <row r="2760" ht="19.95" customFormat="1" customHeight="1" s="511">
      <c r="A2760" s="277" t="n"/>
      <c r="B2760" s="285" t="n"/>
      <c r="C2760" s="579" t="n"/>
      <c r="D2760" s="580" t="n"/>
      <c r="E2760" s="581" t="n"/>
      <c r="F2760" s="577" t="n"/>
      <c r="G2760" s="582" t="n"/>
      <c r="H2760" s="583" t="n"/>
      <c r="I2760" s="510" t="n"/>
    </row>
    <row r="2761" ht="19.95" customFormat="1" customHeight="1" s="511">
      <c r="A2761" s="277" t="n"/>
      <c r="B2761" s="285" t="n"/>
      <c r="C2761" s="579" t="n"/>
      <c r="D2761" s="580" t="n"/>
      <c r="E2761" s="581" t="n"/>
      <c r="F2761" s="577" t="n"/>
      <c r="G2761" s="582" t="n"/>
      <c r="H2761" s="583" t="n"/>
      <c r="I2761" s="510" t="n"/>
    </row>
    <row r="2762" ht="19.95" customFormat="1" customHeight="1" s="511">
      <c r="A2762" s="277" t="n"/>
      <c r="B2762" s="285" t="n"/>
      <c r="C2762" s="579" t="n"/>
      <c r="D2762" s="580" t="n"/>
      <c r="E2762" s="581" t="n"/>
      <c r="F2762" s="577" t="n"/>
      <c r="G2762" s="582" t="n"/>
      <c r="H2762" s="583" t="n"/>
      <c r="I2762" s="510" t="n"/>
    </row>
    <row r="2763" ht="19.95" customFormat="1" customHeight="1" s="511">
      <c r="A2763" s="277" t="n"/>
      <c r="B2763" s="285" t="n"/>
      <c r="C2763" s="579" t="n"/>
      <c r="D2763" s="580" t="n"/>
      <c r="E2763" s="581" t="n"/>
      <c r="F2763" s="577" t="n"/>
      <c r="G2763" s="582" t="n"/>
      <c r="H2763" s="583" t="n"/>
      <c r="I2763" s="510" t="n"/>
    </row>
    <row r="2764" ht="19.95" customFormat="1" customHeight="1" s="511">
      <c r="A2764" s="277" t="n"/>
      <c r="B2764" s="285" t="n"/>
      <c r="C2764" s="579" t="n"/>
      <c r="D2764" s="580" t="n"/>
      <c r="E2764" s="581" t="n"/>
      <c r="F2764" s="577" t="n"/>
      <c r="G2764" s="582" t="n"/>
      <c r="H2764" s="583" t="n"/>
      <c r="I2764" s="510" t="n"/>
    </row>
    <row r="2765" ht="19.95" customFormat="1" customHeight="1" s="511">
      <c r="A2765" s="277" t="n"/>
      <c r="B2765" s="285" t="n"/>
      <c r="C2765" s="579" t="n"/>
      <c r="D2765" s="580" t="n"/>
      <c r="E2765" s="581" t="n"/>
      <c r="F2765" s="577" t="n"/>
      <c r="G2765" s="582" t="n"/>
      <c r="H2765" s="583" t="n"/>
      <c r="I2765" s="510" t="n"/>
    </row>
    <row r="2766" ht="19.95" customFormat="1" customHeight="1" s="511">
      <c r="A2766" s="277" t="n"/>
      <c r="B2766" s="285" t="n"/>
      <c r="C2766" s="579" t="n"/>
      <c r="D2766" s="580" t="n"/>
      <c r="E2766" s="581" t="n"/>
      <c r="F2766" s="577" t="n"/>
      <c r="G2766" s="582" t="n"/>
      <c r="H2766" s="583" t="n"/>
      <c r="I2766" s="510" t="n"/>
    </row>
    <row r="2767" ht="19.95" customFormat="1" customHeight="1" s="511">
      <c r="A2767" s="277" t="n"/>
      <c r="B2767" s="285" t="n"/>
      <c r="C2767" s="579" t="n"/>
      <c r="D2767" s="580" t="n"/>
      <c r="E2767" s="581" t="n"/>
      <c r="F2767" s="577" t="n"/>
      <c r="G2767" s="582" t="n"/>
      <c r="H2767" s="583" t="n"/>
      <c r="I2767" s="510" t="n"/>
    </row>
    <row r="2768" ht="19.95" customFormat="1" customHeight="1" s="511">
      <c r="A2768" s="277" t="n"/>
      <c r="B2768" s="285" t="n"/>
      <c r="C2768" s="579" t="n"/>
      <c r="D2768" s="580" t="n"/>
      <c r="E2768" s="581" t="n"/>
      <c r="F2768" s="577" t="n"/>
      <c r="G2768" s="582" t="n"/>
      <c r="H2768" s="583" t="n"/>
      <c r="I2768" s="510" t="n"/>
    </row>
    <row r="2769" ht="19.95" customFormat="1" customHeight="1" s="511">
      <c r="A2769" s="277" t="n"/>
      <c r="B2769" s="285" t="n"/>
      <c r="C2769" s="579" t="n"/>
      <c r="D2769" s="580" t="n"/>
      <c r="E2769" s="581" t="n"/>
      <c r="F2769" s="577" t="n"/>
      <c r="G2769" s="582" t="n"/>
      <c r="H2769" s="583" t="n"/>
      <c r="I2769" s="510" t="n"/>
    </row>
    <row r="2770" ht="19.95" customFormat="1" customHeight="1" s="511">
      <c r="A2770" s="277" t="n"/>
      <c r="B2770" s="285" t="n"/>
      <c r="C2770" s="579" t="n"/>
      <c r="D2770" s="580" t="n"/>
      <c r="E2770" s="581" t="n"/>
      <c r="F2770" s="577" t="n"/>
      <c r="G2770" s="582" t="n"/>
      <c r="H2770" s="583" t="n"/>
      <c r="I2770" s="510" t="n"/>
    </row>
    <row r="2771" ht="19.95" customFormat="1" customHeight="1" s="511">
      <c r="A2771" s="277" t="n"/>
      <c r="B2771" s="285" t="n"/>
      <c r="C2771" s="579" t="n"/>
      <c r="D2771" s="580" t="n"/>
      <c r="E2771" s="581" t="n"/>
      <c r="F2771" s="577" t="n"/>
      <c r="G2771" s="582" t="n"/>
      <c r="H2771" s="583" t="n"/>
      <c r="I2771" s="510" t="n"/>
    </row>
    <row r="2772" ht="19.95" customFormat="1" customHeight="1" s="511">
      <c r="A2772" s="277" t="n"/>
      <c r="B2772" s="285" t="n"/>
      <c r="C2772" s="579" t="n"/>
      <c r="D2772" s="580" t="n"/>
      <c r="E2772" s="581" t="n"/>
      <c r="F2772" s="577" t="n"/>
      <c r="G2772" s="582" t="n"/>
      <c r="H2772" s="583" t="n"/>
      <c r="I2772" s="510" t="n"/>
    </row>
    <row r="2773" ht="19.95" customFormat="1" customHeight="1" s="511">
      <c r="A2773" s="277" t="n"/>
      <c r="B2773" s="285" t="n"/>
      <c r="C2773" s="579" t="n"/>
      <c r="D2773" s="580" t="n"/>
      <c r="E2773" s="581" t="n"/>
      <c r="F2773" s="577" t="n"/>
      <c r="G2773" s="582" t="n"/>
      <c r="H2773" s="583" t="n"/>
      <c r="I2773" s="510" t="n"/>
    </row>
    <row r="2774" ht="19.95" customFormat="1" customHeight="1" s="511">
      <c r="A2774" s="277" t="n"/>
      <c r="B2774" s="285" t="n"/>
      <c r="C2774" s="579" t="n"/>
      <c r="D2774" s="580" t="n"/>
      <c r="E2774" s="581" t="n"/>
      <c r="F2774" s="577" t="n"/>
      <c r="G2774" s="582" t="n"/>
      <c r="H2774" s="583" t="n"/>
      <c r="I2774" s="510" t="n"/>
    </row>
    <row r="2775" ht="19.95" customFormat="1" customHeight="1" s="511">
      <c r="A2775" s="277" t="n"/>
      <c r="B2775" s="285" t="n"/>
      <c r="C2775" s="579" t="n"/>
      <c r="D2775" s="580" t="n"/>
      <c r="E2775" s="581" t="n"/>
      <c r="F2775" s="577" t="n"/>
      <c r="G2775" s="582" t="n"/>
      <c r="H2775" s="583" t="n"/>
      <c r="I2775" s="510" t="n"/>
    </row>
    <row r="2776" ht="19.95" customFormat="1" customHeight="1" s="511">
      <c r="A2776" s="277" t="n"/>
      <c r="B2776" s="285" t="n"/>
      <c r="C2776" s="579" t="n"/>
      <c r="D2776" s="580" t="n"/>
      <c r="E2776" s="581" t="n"/>
      <c r="F2776" s="577" t="n"/>
      <c r="G2776" s="582" t="n"/>
      <c r="H2776" s="583" t="n"/>
      <c r="I2776" s="510" t="n"/>
    </row>
    <row r="2777" ht="19.95" customFormat="1" customHeight="1" s="511">
      <c r="A2777" s="277" t="n"/>
      <c r="B2777" s="285" t="n"/>
      <c r="C2777" s="579" t="n"/>
      <c r="D2777" s="580" t="n"/>
      <c r="E2777" s="581" t="n"/>
      <c r="F2777" s="577" t="n"/>
      <c r="G2777" s="582" t="n"/>
      <c r="H2777" s="583" t="n"/>
      <c r="I2777" s="510" t="n"/>
    </row>
    <row r="2778" ht="19.95" customFormat="1" customHeight="1" s="511">
      <c r="A2778" s="277" t="n"/>
      <c r="B2778" s="285" t="n"/>
      <c r="C2778" s="579" t="n"/>
      <c r="D2778" s="580" t="n"/>
      <c r="E2778" s="581" t="n"/>
      <c r="F2778" s="577" t="n"/>
      <c r="G2778" s="582" t="n"/>
      <c r="H2778" s="583" t="n"/>
      <c r="I2778" s="510" t="n"/>
    </row>
    <row r="2779" ht="19.95" customFormat="1" customHeight="1" s="511">
      <c r="A2779" s="277" t="n"/>
      <c r="B2779" s="285" t="n"/>
      <c r="C2779" s="579" t="n"/>
      <c r="D2779" s="580" t="n"/>
      <c r="E2779" s="581" t="n"/>
      <c r="F2779" s="577" t="n"/>
      <c r="G2779" s="582" t="n"/>
      <c r="H2779" s="583" t="n"/>
      <c r="I2779" s="510" t="n"/>
    </row>
    <row r="2780" ht="19.95" customFormat="1" customHeight="1" s="511">
      <c r="A2780" s="277" t="n"/>
      <c r="B2780" s="285" t="n"/>
      <c r="C2780" s="579" t="n"/>
      <c r="D2780" s="580" t="n"/>
      <c r="E2780" s="581" t="n"/>
      <c r="F2780" s="577" t="n"/>
      <c r="G2780" s="582" t="n"/>
      <c r="H2780" s="583" t="n"/>
      <c r="I2780" s="510" t="n"/>
    </row>
    <row r="2781" ht="19.95" customFormat="1" customHeight="1" s="511">
      <c r="A2781" s="277" t="n"/>
      <c r="B2781" s="285" t="n"/>
      <c r="C2781" s="579" t="n"/>
      <c r="D2781" s="580" t="n"/>
      <c r="E2781" s="581" t="n"/>
      <c r="F2781" s="577" t="n"/>
      <c r="G2781" s="582" t="n"/>
      <c r="H2781" s="583" t="n"/>
      <c r="I2781" s="510" t="n"/>
    </row>
    <row r="2782" ht="19.95" customFormat="1" customHeight="1" s="511">
      <c r="A2782" s="277" t="n"/>
      <c r="B2782" s="285" t="n"/>
      <c r="C2782" s="579" t="n"/>
      <c r="D2782" s="580" t="n"/>
      <c r="E2782" s="581" t="n"/>
      <c r="F2782" s="577" t="n"/>
      <c r="G2782" s="582" t="n"/>
      <c r="H2782" s="583" t="n"/>
      <c r="I2782" s="510" t="n"/>
    </row>
    <row r="2783" ht="19.95" customFormat="1" customHeight="1" s="511">
      <c r="A2783" s="277" t="n"/>
      <c r="B2783" s="285" t="n"/>
      <c r="C2783" s="579" t="n"/>
      <c r="D2783" s="580" t="n"/>
      <c r="E2783" s="581" t="n"/>
      <c r="F2783" s="577" t="n"/>
      <c r="G2783" s="582" t="n"/>
      <c r="H2783" s="583" t="n"/>
      <c r="I2783" s="510" t="n"/>
    </row>
    <row r="2784" ht="19.95" customFormat="1" customHeight="1" s="511">
      <c r="A2784" s="277" t="n"/>
      <c r="B2784" s="285" t="n"/>
      <c r="C2784" s="579" t="n"/>
      <c r="D2784" s="580" t="n"/>
      <c r="E2784" s="581" t="n"/>
      <c r="F2784" s="577" t="n"/>
      <c r="G2784" s="582" t="n"/>
      <c r="H2784" s="583" t="n"/>
      <c r="I2784" s="510" t="n"/>
    </row>
    <row r="2785" ht="19.95" customFormat="1" customHeight="1" s="511">
      <c r="A2785" s="277" t="n"/>
      <c r="B2785" s="285" t="n"/>
      <c r="C2785" s="579" t="n"/>
      <c r="D2785" s="580" t="n"/>
      <c r="E2785" s="581" t="n"/>
      <c r="F2785" s="577" t="n"/>
      <c r="G2785" s="582" t="n"/>
      <c r="H2785" s="583" t="n"/>
      <c r="I2785" s="510" t="n"/>
    </row>
    <row r="2786" ht="19.95" customFormat="1" customHeight="1" s="511">
      <c r="A2786" s="277" t="n"/>
      <c r="B2786" s="285" t="n"/>
      <c r="C2786" s="579" t="n"/>
      <c r="D2786" s="580" t="n"/>
      <c r="E2786" s="581" t="n"/>
      <c r="F2786" s="577" t="n"/>
      <c r="G2786" s="582" t="n"/>
      <c r="H2786" s="583" t="n"/>
      <c r="I2786" s="510" t="n"/>
    </row>
    <row r="2787" ht="19.95" customFormat="1" customHeight="1" s="511">
      <c r="A2787" s="277" t="n"/>
      <c r="B2787" s="285" t="n"/>
      <c r="C2787" s="579" t="n"/>
      <c r="D2787" s="580" t="n"/>
      <c r="E2787" s="581" t="n"/>
      <c r="F2787" s="577" t="n"/>
      <c r="G2787" s="582" t="n"/>
      <c r="H2787" s="583" t="n"/>
      <c r="I2787" s="510" t="n"/>
    </row>
    <row r="2788" ht="19.95" customFormat="1" customHeight="1" s="511">
      <c r="A2788" s="277" t="n"/>
      <c r="B2788" s="285" t="n"/>
      <c r="C2788" s="579" t="n"/>
      <c r="D2788" s="580" t="n"/>
      <c r="E2788" s="581" t="n"/>
      <c r="F2788" s="577" t="n"/>
      <c r="G2788" s="582" t="n"/>
      <c r="H2788" s="583" t="n"/>
      <c r="I2788" s="510" t="n"/>
    </row>
    <row r="2789" ht="19.95" customFormat="1" customHeight="1" s="511">
      <c r="A2789" s="277" t="n"/>
      <c r="B2789" s="285" t="n"/>
      <c r="C2789" s="579" t="n"/>
      <c r="D2789" s="580" t="n"/>
      <c r="E2789" s="581" t="n"/>
      <c r="F2789" s="577" t="n"/>
      <c r="G2789" s="582" t="n"/>
      <c r="H2789" s="583" t="n"/>
      <c r="I2789" s="510" t="n"/>
    </row>
    <row r="2790" ht="19.95" customFormat="1" customHeight="1" s="511">
      <c r="A2790" s="277" t="n"/>
      <c r="B2790" s="285" t="n"/>
      <c r="C2790" s="579" t="n"/>
      <c r="D2790" s="580" t="n"/>
      <c r="E2790" s="581" t="n"/>
      <c r="F2790" s="577" t="n"/>
      <c r="G2790" s="582" t="n"/>
      <c r="H2790" s="583" t="n"/>
      <c r="I2790" s="510" t="n"/>
    </row>
    <row r="2791" ht="19.95" customFormat="1" customHeight="1" s="511">
      <c r="A2791" s="277" t="n"/>
      <c r="B2791" s="285" t="n"/>
      <c r="C2791" s="579" t="n"/>
      <c r="D2791" s="580" t="n"/>
      <c r="E2791" s="581" t="n"/>
      <c r="F2791" s="577" t="n"/>
      <c r="G2791" s="582" t="n"/>
      <c r="H2791" s="583" t="n"/>
      <c r="I2791" s="510" t="n"/>
    </row>
    <row r="2792" ht="19.95" customFormat="1" customHeight="1" s="511">
      <c r="A2792" s="277" t="n"/>
      <c r="B2792" s="285" t="n"/>
      <c r="C2792" s="579" t="n"/>
      <c r="D2792" s="580" t="n"/>
      <c r="E2792" s="581" t="n"/>
      <c r="F2792" s="577" t="n"/>
      <c r="G2792" s="582" t="n"/>
      <c r="H2792" s="583" t="n"/>
      <c r="I2792" s="510" t="n"/>
    </row>
    <row r="2793" ht="19.95" customFormat="1" customHeight="1" s="511">
      <c r="A2793" s="277" t="n"/>
      <c r="B2793" s="285" t="n"/>
      <c r="C2793" s="579" t="n"/>
      <c r="D2793" s="580" t="n"/>
      <c r="E2793" s="581" t="n"/>
      <c r="F2793" s="577" t="n"/>
      <c r="G2793" s="582" t="n"/>
      <c r="H2793" s="583" t="n"/>
      <c r="I2793" s="510" t="n"/>
    </row>
    <row r="2794" ht="19.95" customFormat="1" customHeight="1" s="511">
      <c r="A2794" s="277" t="n"/>
      <c r="B2794" s="285" t="n"/>
      <c r="C2794" s="579" t="n"/>
      <c r="D2794" s="580" t="n"/>
      <c r="E2794" s="581" t="n"/>
      <c r="F2794" s="577" t="n"/>
      <c r="G2794" s="582" t="n"/>
      <c r="H2794" s="583" t="n"/>
      <c r="I2794" s="510" t="n"/>
    </row>
    <row r="2795" ht="19.95" customFormat="1" customHeight="1" s="511">
      <c r="A2795" s="277" t="n"/>
      <c r="B2795" s="285" t="n"/>
      <c r="C2795" s="579" t="n"/>
      <c r="D2795" s="580" t="n"/>
      <c r="E2795" s="581" t="n"/>
      <c r="F2795" s="577" t="n"/>
      <c r="G2795" s="582" t="n"/>
      <c r="H2795" s="583" t="n"/>
      <c r="I2795" s="510" t="n"/>
    </row>
    <row r="2796" ht="19.95" customFormat="1" customHeight="1" s="511">
      <c r="A2796" s="277" t="n"/>
      <c r="B2796" s="285" t="n"/>
      <c r="C2796" s="579" t="n"/>
      <c r="D2796" s="580" t="n"/>
      <c r="E2796" s="581" t="n"/>
      <c r="F2796" s="577" t="n"/>
      <c r="G2796" s="582" t="n"/>
      <c r="H2796" s="583" t="n"/>
      <c r="I2796" s="510" t="n"/>
    </row>
    <row r="2797" ht="19.95" customFormat="1" customHeight="1" s="511">
      <c r="A2797" s="277" t="n"/>
      <c r="B2797" s="285" t="n"/>
      <c r="C2797" s="579" t="n"/>
      <c r="D2797" s="580" t="n"/>
      <c r="E2797" s="581" t="n"/>
      <c r="F2797" s="577" t="n"/>
      <c r="G2797" s="582" t="n"/>
      <c r="H2797" s="583" t="n"/>
      <c r="I2797" s="510" t="n"/>
    </row>
    <row r="2798" ht="19.95" customFormat="1" customHeight="1" s="511">
      <c r="A2798" s="277" t="n"/>
      <c r="B2798" s="285" t="n"/>
      <c r="C2798" s="579" t="n"/>
      <c r="D2798" s="580" t="n"/>
      <c r="E2798" s="581" t="n"/>
      <c r="F2798" s="577" t="n"/>
      <c r="G2798" s="582" t="n"/>
      <c r="H2798" s="583" t="n"/>
      <c r="I2798" s="510" t="n"/>
    </row>
    <row r="2799" ht="19.95" customFormat="1" customHeight="1" s="511">
      <c r="A2799" s="277" t="n"/>
      <c r="B2799" s="285" t="n"/>
      <c r="C2799" s="579" t="n"/>
      <c r="D2799" s="580" t="n"/>
      <c r="E2799" s="581" t="n"/>
      <c r="F2799" s="577" t="n"/>
      <c r="G2799" s="582" t="n"/>
      <c r="H2799" s="583" t="n"/>
      <c r="I2799" s="510" t="n"/>
    </row>
    <row r="2800" ht="19.95" customFormat="1" customHeight="1" s="511">
      <c r="A2800" s="277" t="n"/>
      <c r="B2800" s="285" t="n"/>
      <c r="C2800" s="579" t="n"/>
      <c r="D2800" s="580" t="n"/>
      <c r="E2800" s="581" t="n"/>
      <c r="F2800" s="577" t="n"/>
      <c r="G2800" s="582" t="n"/>
      <c r="H2800" s="583" t="n"/>
      <c r="I2800" s="510" t="n"/>
    </row>
    <row r="2801" ht="19.95" customFormat="1" customHeight="1" s="511">
      <c r="A2801" s="277" t="n"/>
      <c r="B2801" s="285" t="n"/>
      <c r="C2801" s="579" t="n"/>
      <c r="D2801" s="580" t="n"/>
      <c r="E2801" s="581" t="n"/>
      <c r="F2801" s="577" t="n"/>
      <c r="G2801" s="582" t="n"/>
      <c r="H2801" s="583" t="n"/>
      <c r="I2801" s="510" t="n"/>
    </row>
    <row r="2802" ht="19.95" customFormat="1" customHeight="1" s="511">
      <c r="A2802" s="277" t="n"/>
      <c r="B2802" s="285" t="n"/>
      <c r="C2802" s="579" t="n"/>
      <c r="D2802" s="580" t="n"/>
      <c r="E2802" s="581" t="n"/>
      <c r="F2802" s="577" t="n"/>
      <c r="G2802" s="582" t="n"/>
      <c r="H2802" s="583" t="n"/>
      <c r="I2802" s="510" t="n"/>
    </row>
    <row r="2803" ht="19.95" customFormat="1" customHeight="1" s="511">
      <c r="A2803" s="277" t="n"/>
      <c r="B2803" s="285" t="n"/>
      <c r="C2803" s="579" t="n"/>
      <c r="D2803" s="580" t="n"/>
      <c r="E2803" s="581" t="n"/>
      <c r="F2803" s="577" t="n"/>
      <c r="G2803" s="582" t="n"/>
      <c r="H2803" s="583" t="n"/>
      <c r="I2803" s="510" t="n"/>
    </row>
    <row r="2804" ht="19.95" customFormat="1" customHeight="1" s="511">
      <c r="A2804" s="277" t="n"/>
      <c r="B2804" s="285" t="n"/>
      <c r="C2804" s="579" t="n"/>
      <c r="D2804" s="580" t="n"/>
      <c r="E2804" s="581" t="n"/>
      <c r="F2804" s="577" t="n"/>
      <c r="G2804" s="582" t="n"/>
      <c r="H2804" s="583" t="n"/>
      <c r="I2804" s="510" t="n"/>
    </row>
    <row r="2805" ht="19.95" customFormat="1" customHeight="1" s="511">
      <c r="A2805" s="277" t="n"/>
      <c r="B2805" s="285" t="n"/>
      <c r="C2805" s="579" t="n"/>
      <c r="D2805" s="580" t="n"/>
      <c r="E2805" s="581" t="n"/>
      <c r="F2805" s="577" t="n"/>
      <c r="G2805" s="582" t="n"/>
      <c r="H2805" s="583" t="n"/>
      <c r="I2805" s="510" t="n"/>
    </row>
    <row r="2806" ht="19.95" customFormat="1" customHeight="1" s="511">
      <c r="A2806" s="277" t="n"/>
      <c r="B2806" s="285" t="n"/>
      <c r="C2806" s="579" t="n"/>
      <c r="D2806" s="580" t="n"/>
      <c r="E2806" s="581" t="n"/>
      <c r="F2806" s="577" t="n"/>
      <c r="G2806" s="582" t="n"/>
      <c r="H2806" s="583" t="n"/>
      <c r="I2806" s="510" t="n"/>
    </row>
    <row r="2807" ht="19.95" customFormat="1" customHeight="1" s="511">
      <c r="A2807" s="277" t="n"/>
      <c r="B2807" s="285" t="n"/>
      <c r="C2807" s="579" t="n"/>
      <c r="D2807" s="580" t="n"/>
      <c r="E2807" s="581" t="n"/>
      <c r="F2807" s="577" t="n"/>
      <c r="G2807" s="582" t="n"/>
      <c r="H2807" s="583" t="n"/>
      <c r="I2807" s="510" t="n"/>
    </row>
    <row r="2808" ht="19.95" customFormat="1" customHeight="1" s="511">
      <c r="A2808" s="277" t="n"/>
      <c r="B2808" s="285" t="n"/>
      <c r="C2808" s="579" t="n"/>
      <c r="D2808" s="580" t="n"/>
      <c r="E2808" s="581" t="n"/>
      <c r="F2808" s="577" t="n"/>
      <c r="G2808" s="582" t="n"/>
      <c r="H2808" s="583" t="n"/>
      <c r="I2808" s="510" t="n"/>
    </row>
    <row r="2809" ht="19.95" customFormat="1" customHeight="1" s="511">
      <c r="A2809" s="277" t="n"/>
      <c r="B2809" s="285" t="n"/>
      <c r="C2809" s="579" t="n"/>
      <c r="D2809" s="580" t="n"/>
      <c r="E2809" s="581" t="n"/>
      <c r="F2809" s="577" t="n"/>
      <c r="G2809" s="582" t="n"/>
      <c r="H2809" s="583" t="n"/>
      <c r="I2809" s="510" t="n"/>
    </row>
    <row r="2810" ht="19.95" customFormat="1" customHeight="1" s="511">
      <c r="A2810" s="277" t="n"/>
      <c r="B2810" s="285" t="n"/>
      <c r="C2810" s="579" t="n"/>
      <c r="D2810" s="580" t="n"/>
      <c r="E2810" s="581" t="n"/>
      <c r="F2810" s="577" t="n"/>
      <c r="G2810" s="582" t="n"/>
      <c r="H2810" s="583" t="n"/>
      <c r="I2810" s="510" t="n"/>
    </row>
    <row r="2811" ht="19.95" customFormat="1" customHeight="1" s="511">
      <c r="A2811" s="277" t="n"/>
      <c r="B2811" s="285" t="n"/>
      <c r="C2811" s="579" t="n"/>
      <c r="D2811" s="580" t="n"/>
      <c r="E2811" s="581" t="n"/>
      <c r="F2811" s="577" t="n"/>
      <c r="G2811" s="582" t="n"/>
      <c r="H2811" s="583" t="n"/>
      <c r="I2811" s="510" t="n"/>
    </row>
    <row r="2812" ht="19.95" customFormat="1" customHeight="1" s="511">
      <c r="A2812" s="277" t="n"/>
      <c r="B2812" s="285" t="n"/>
      <c r="C2812" s="579" t="n"/>
      <c r="D2812" s="580" t="n"/>
      <c r="E2812" s="581" t="n"/>
      <c r="F2812" s="577" t="n"/>
      <c r="G2812" s="582" t="n"/>
      <c r="H2812" s="583" t="n"/>
      <c r="I2812" s="510" t="n"/>
    </row>
    <row r="2813" ht="19.95" customFormat="1" customHeight="1" s="511">
      <c r="A2813" s="277" t="n"/>
      <c r="B2813" s="285" t="n"/>
      <c r="C2813" s="579" t="n"/>
      <c r="D2813" s="580" t="n"/>
      <c r="E2813" s="581" t="n"/>
      <c r="F2813" s="577" t="n"/>
      <c r="G2813" s="582" t="n"/>
      <c r="H2813" s="583" t="n"/>
      <c r="I2813" s="510" t="n"/>
    </row>
    <row r="2814" ht="19.95" customFormat="1" customHeight="1" s="511">
      <c r="A2814" s="277" t="n"/>
      <c r="B2814" s="285" t="n"/>
      <c r="C2814" s="579" t="n"/>
      <c r="D2814" s="580" t="n"/>
      <c r="E2814" s="581" t="n"/>
      <c r="F2814" s="577" t="n"/>
      <c r="G2814" s="582" t="n"/>
      <c r="H2814" s="583" t="n"/>
      <c r="I2814" s="510" t="n"/>
    </row>
    <row r="2815" ht="19.95" customFormat="1" customHeight="1" s="511">
      <c r="A2815" s="277" t="n"/>
      <c r="B2815" s="285" t="n"/>
      <c r="C2815" s="579" t="n"/>
      <c r="D2815" s="580" t="n"/>
      <c r="E2815" s="581" t="n"/>
      <c r="F2815" s="577" t="n"/>
      <c r="G2815" s="582" t="n"/>
      <c r="H2815" s="583" t="n"/>
      <c r="I2815" s="510" t="n"/>
    </row>
    <row r="2816" ht="19.95" customFormat="1" customHeight="1" s="511">
      <c r="A2816" s="277" t="n"/>
      <c r="B2816" s="285" t="n"/>
      <c r="C2816" s="579" t="n"/>
      <c r="D2816" s="580" t="n"/>
      <c r="E2816" s="581" t="n"/>
      <c r="F2816" s="577" t="n"/>
      <c r="G2816" s="582" t="n"/>
      <c r="H2816" s="583" t="n"/>
      <c r="I2816" s="510" t="n"/>
    </row>
    <row r="2817" ht="19.95" customFormat="1" customHeight="1" s="511">
      <c r="A2817" s="277" t="n"/>
      <c r="B2817" s="285" t="n"/>
      <c r="C2817" s="579" t="n"/>
      <c r="D2817" s="580" t="n"/>
      <c r="E2817" s="581" t="n"/>
      <c r="F2817" s="577" t="n"/>
      <c r="G2817" s="582" t="n"/>
      <c r="H2817" s="583" t="n"/>
      <c r="I2817" s="510" t="n"/>
    </row>
    <row r="2818" ht="19.95" customFormat="1" customHeight="1" s="511">
      <c r="A2818" s="277" t="n"/>
      <c r="B2818" s="285" t="n"/>
      <c r="C2818" s="579" t="n"/>
      <c r="D2818" s="580" t="n"/>
      <c r="E2818" s="581" t="n"/>
      <c r="F2818" s="577" t="n"/>
      <c r="G2818" s="582" t="n"/>
      <c r="H2818" s="583" t="n"/>
      <c r="I2818" s="510" t="n"/>
    </row>
    <row r="2819" ht="19.95" customFormat="1" customHeight="1" s="511">
      <c r="A2819" s="277" t="n"/>
      <c r="B2819" s="285" t="n"/>
      <c r="C2819" s="579" t="n"/>
      <c r="D2819" s="580" t="n"/>
      <c r="E2819" s="581" t="n"/>
      <c r="F2819" s="577" t="n"/>
      <c r="G2819" s="582" t="n"/>
      <c r="H2819" s="583" t="n"/>
      <c r="I2819" s="510" t="n"/>
    </row>
    <row r="2820" ht="19.95" customFormat="1" customHeight="1" s="511">
      <c r="A2820" s="277" t="n"/>
      <c r="B2820" s="285" t="n"/>
      <c r="C2820" s="579" t="n"/>
      <c r="D2820" s="580" t="n"/>
      <c r="E2820" s="581" t="n"/>
      <c r="F2820" s="577" t="n"/>
      <c r="G2820" s="582" t="n"/>
      <c r="H2820" s="583" t="n"/>
      <c r="I2820" s="510" t="n"/>
    </row>
    <row r="2821" ht="19.95" customFormat="1" customHeight="1" s="511">
      <c r="A2821" s="277" t="n"/>
      <c r="B2821" s="285" t="n"/>
      <c r="C2821" s="579" t="n"/>
      <c r="D2821" s="580" t="n"/>
      <c r="E2821" s="581" t="n"/>
      <c r="F2821" s="577" t="n"/>
      <c r="G2821" s="582" t="n"/>
      <c r="H2821" s="583" t="n"/>
      <c r="I2821" s="510" t="n"/>
    </row>
    <row r="2822" ht="19.95" customFormat="1" customHeight="1" s="511">
      <c r="A2822" s="277" t="n"/>
      <c r="B2822" s="285" t="n"/>
      <c r="C2822" s="579" t="n"/>
      <c r="D2822" s="580" t="n"/>
      <c r="E2822" s="581" t="n"/>
      <c r="F2822" s="577" t="n"/>
      <c r="G2822" s="582" t="n"/>
      <c r="H2822" s="583" t="n"/>
      <c r="I2822" s="510" t="n"/>
    </row>
    <row r="2823" ht="19.95" customFormat="1" customHeight="1" s="511">
      <c r="A2823" s="277" t="n"/>
      <c r="B2823" s="285" t="n"/>
      <c r="C2823" s="579" t="n"/>
      <c r="D2823" s="580" t="n"/>
      <c r="E2823" s="581" t="n"/>
      <c r="F2823" s="577" t="n"/>
      <c r="G2823" s="582" t="n"/>
      <c r="H2823" s="583" t="n"/>
      <c r="I2823" s="510" t="n"/>
    </row>
    <row r="2824" ht="19.95" customFormat="1" customHeight="1" s="511">
      <c r="A2824" s="277" t="n"/>
      <c r="B2824" s="285" t="n"/>
      <c r="C2824" s="579" t="n"/>
      <c r="D2824" s="580" t="n"/>
      <c r="E2824" s="581" t="n"/>
      <c r="F2824" s="577" t="n"/>
      <c r="G2824" s="582" t="n"/>
      <c r="H2824" s="583" t="n"/>
      <c r="I2824" s="510" t="n"/>
    </row>
    <row r="2825" ht="19.95" customFormat="1" customHeight="1" s="511">
      <c r="A2825" s="277" t="n"/>
      <c r="B2825" s="285" t="n"/>
      <c r="C2825" s="579" t="n"/>
      <c r="D2825" s="580" t="n"/>
      <c r="E2825" s="581" t="n"/>
      <c r="F2825" s="577" t="n"/>
      <c r="G2825" s="582" t="n"/>
      <c r="H2825" s="583" t="n"/>
      <c r="I2825" s="510" t="n"/>
    </row>
    <row r="2826" ht="19.95" customFormat="1" customHeight="1" s="511">
      <c r="A2826" s="277" t="n"/>
      <c r="B2826" s="285" t="n"/>
      <c r="C2826" s="579" t="n"/>
      <c r="D2826" s="580" t="n"/>
      <c r="E2826" s="581" t="n"/>
      <c r="F2826" s="577" t="n"/>
      <c r="G2826" s="582" t="n"/>
      <c r="H2826" s="583" t="n"/>
      <c r="I2826" s="510" t="n"/>
    </row>
    <row r="2827" ht="19.95" customFormat="1" customHeight="1" s="511">
      <c r="A2827" s="277" t="n"/>
      <c r="B2827" s="285" t="n"/>
      <c r="C2827" s="579" t="n"/>
      <c r="D2827" s="580" t="n"/>
      <c r="E2827" s="581" t="n"/>
      <c r="F2827" s="577" t="n"/>
      <c r="G2827" s="582" t="n"/>
      <c r="H2827" s="583" t="n"/>
      <c r="I2827" s="510" t="n"/>
    </row>
    <row r="2828" ht="19.95" customFormat="1" customHeight="1" s="511">
      <c r="A2828" s="277" t="n"/>
      <c r="B2828" s="285" t="n"/>
      <c r="C2828" s="579" t="n"/>
      <c r="D2828" s="580" t="n"/>
      <c r="E2828" s="581" t="n"/>
      <c r="F2828" s="577" t="n"/>
      <c r="G2828" s="582" t="n"/>
      <c r="H2828" s="583" t="n"/>
      <c r="I2828" s="510" t="n"/>
    </row>
    <row r="2829" ht="19.95" customFormat="1" customHeight="1" s="511">
      <c r="A2829" s="277" t="n"/>
      <c r="B2829" s="285" t="n"/>
      <c r="C2829" s="579" t="n"/>
      <c r="D2829" s="580" t="n"/>
      <c r="E2829" s="581" t="n"/>
      <c r="F2829" s="577" t="n"/>
      <c r="G2829" s="582" t="n"/>
      <c r="H2829" s="583" t="n"/>
      <c r="I2829" s="510" t="n"/>
    </row>
    <row r="2830" ht="19.95" customFormat="1" customHeight="1" s="511">
      <c r="A2830" s="277" t="n"/>
      <c r="B2830" s="285" t="n"/>
      <c r="C2830" s="579" t="n"/>
      <c r="D2830" s="580" t="n"/>
      <c r="E2830" s="581" t="n"/>
      <c r="F2830" s="577" t="n"/>
      <c r="G2830" s="582" t="n"/>
      <c r="H2830" s="583" t="n"/>
      <c r="I2830" s="510" t="n"/>
    </row>
    <row r="2831" ht="19.95" customFormat="1" customHeight="1" s="511">
      <c r="A2831" s="277" t="n"/>
      <c r="B2831" s="285" t="n"/>
      <c r="C2831" s="579" t="n"/>
      <c r="D2831" s="580" t="n"/>
      <c r="E2831" s="581" t="n"/>
      <c r="F2831" s="577" t="n"/>
      <c r="G2831" s="582" t="n"/>
      <c r="H2831" s="583" t="n"/>
      <c r="I2831" s="510" t="n"/>
    </row>
    <row r="2832" ht="19.95" customFormat="1" customHeight="1" s="511">
      <c r="A2832" s="277" t="n"/>
      <c r="B2832" s="285" t="n"/>
      <c r="C2832" s="579" t="n"/>
      <c r="D2832" s="580" t="n"/>
      <c r="E2832" s="581" t="n"/>
      <c r="F2832" s="577" t="n"/>
      <c r="G2832" s="582" t="n"/>
      <c r="H2832" s="583" t="n"/>
      <c r="I2832" s="510" t="n"/>
    </row>
    <row r="2833" ht="19.95" customFormat="1" customHeight="1" s="511">
      <c r="A2833" s="277" t="n"/>
      <c r="B2833" s="285" t="n"/>
      <c r="C2833" s="579" t="n"/>
      <c r="D2833" s="580" t="n"/>
      <c r="E2833" s="581" t="n"/>
      <c r="F2833" s="577" t="n"/>
      <c r="G2833" s="582" t="n"/>
      <c r="H2833" s="583" t="n"/>
      <c r="I2833" s="510" t="n"/>
    </row>
    <row r="2834" ht="19.95" customFormat="1" customHeight="1" s="511">
      <c r="A2834" s="277" t="n"/>
      <c r="B2834" s="285" t="n"/>
      <c r="C2834" s="579" t="n"/>
      <c r="D2834" s="580" t="n"/>
      <c r="E2834" s="581" t="n"/>
      <c r="F2834" s="577" t="n"/>
      <c r="G2834" s="582" t="n"/>
      <c r="H2834" s="583" t="n"/>
      <c r="I2834" s="510" t="n"/>
    </row>
    <row r="2835" ht="19.95" customFormat="1" customHeight="1" s="511">
      <c r="A2835" s="277" t="n"/>
      <c r="B2835" s="285" t="n"/>
      <c r="C2835" s="579" t="n"/>
      <c r="D2835" s="580" t="n"/>
      <c r="E2835" s="581" t="n"/>
      <c r="F2835" s="577" t="n"/>
      <c r="G2835" s="582" t="n"/>
      <c r="H2835" s="583" t="n"/>
      <c r="I2835" s="510" t="n"/>
    </row>
    <row r="2836" ht="19.95" customFormat="1" customHeight="1" s="511">
      <c r="A2836" s="277" t="n"/>
      <c r="B2836" s="285" t="n"/>
      <c r="C2836" s="579" t="n"/>
      <c r="D2836" s="580" t="n"/>
      <c r="E2836" s="581" t="n"/>
      <c r="F2836" s="577" t="n"/>
      <c r="G2836" s="582" t="n"/>
      <c r="H2836" s="583" t="n"/>
      <c r="I2836" s="510" t="n"/>
    </row>
    <row r="2837" ht="19.95" customFormat="1" customHeight="1" s="511">
      <c r="A2837" s="277" t="n"/>
      <c r="B2837" s="285" t="n"/>
      <c r="C2837" s="579" t="n"/>
      <c r="D2837" s="580" t="n"/>
      <c r="E2837" s="581" t="n"/>
      <c r="F2837" s="577" t="n"/>
      <c r="G2837" s="582" t="n"/>
      <c r="H2837" s="583" t="n"/>
      <c r="I2837" s="510" t="n"/>
    </row>
    <row r="2838" ht="19.95" customFormat="1" customHeight="1" s="511">
      <c r="A2838" s="277" t="n"/>
      <c r="B2838" s="285" t="n"/>
      <c r="C2838" s="579" t="n"/>
      <c r="D2838" s="580" t="n"/>
      <c r="E2838" s="581" t="n"/>
      <c r="F2838" s="577" t="n"/>
      <c r="G2838" s="582" t="n"/>
      <c r="H2838" s="583" t="n"/>
      <c r="I2838" s="510" t="n"/>
    </row>
    <row r="2839" ht="19.95" customFormat="1" customHeight="1" s="511">
      <c r="A2839" s="277" t="n"/>
      <c r="B2839" s="285" t="n"/>
      <c r="C2839" s="579" t="n"/>
      <c r="D2839" s="580" t="n"/>
      <c r="E2839" s="581" t="n"/>
      <c r="F2839" s="577" t="n"/>
      <c r="G2839" s="582" t="n"/>
      <c r="H2839" s="583" t="n"/>
      <c r="I2839" s="510" t="n"/>
    </row>
    <row r="2840" ht="19.95" customFormat="1" customHeight="1" s="511">
      <c r="A2840" s="277" t="n"/>
      <c r="B2840" s="285" t="n"/>
      <c r="C2840" s="579" t="n"/>
      <c r="D2840" s="580" t="n"/>
      <c r="E2840" s="581" t="n"/>
      <c r="F2840" s="577" t="n"/>
      <c r="G2840" s="582" t="n"/>
      <c r="H2840" s="583" t="n"/>
      <c r="I2840" s="510" t="n"/>
    </row>
    <row r="2841" ht="19.95" customFormat="1" customHeight="1" s="511">
      <c r="A2841" s="277" t="n"/>
      <c r="B2841" s="285" t="n"/>
      <c r="C2841" s="579" t="n"/>
      <c r="D2841" s="580" t="n"/>
      <c r="E2841" s="581" t="n"/>
      <c r="F2841" s="577" t="n"/>
      <c r="G2841" s="582" t="n"/>
      <c r="H2841" s="583" t="n"/>
      <c r="I2841" s="510" t="n"/>
    </row>
    <row r="2842" ht="19.95" customFormat="1" customHeight="1" s="511">
      <c r="A2842" s="277" t="n"/>
      <c r="B2842" s="285" t="n"/>
      <c r="C2842" s="579" t="n"/>
      <c r="D2842" s="580" t="n"/>
      <c r="E2842" s="581" t="n"/>
      <c r="F2842" s="577" t="n"/>
      <c r="G2842" s="582" t="n"/>
      <c r="H2842" s="583" t="n"/>
      <c r="I2842" s="510" t="n"/>
    </row>
    <row r="2843" ht="19.95" customFormat="1" customHeight="1" s="511">
      <c r="A2843" s="277" t="n"/>
      <c r="B2843" s="285" t="n"/>
      <c r="C2843" s="579" t="n"/>
      <c r="D2843" s="580" t="n"/>
      <c r="E2843" s="581" t="n"/>
      <c r="F2843" s="577" t="n"/>
      <c r="G2843" s="582" t="n"/>
      <c r="H2843" s="583" t="n"/>
      <c r="I2843" s="510" t="n"/>
    </row>
    <row r="2844" ht="19.95" customFormat="1" customHeight="1" s="511">
      <c r="A2844" s="277" t="n"/>
      <c r="B2844" s="285" t="n"/>
      <c r="C2844" s="579" t="n"/>
      <c r="D2844" s="580" t="n"/>
      <c r="E2844" s="581" t="n"/>
      <c r="F2844" s="577" t="n"/>
      <c r="G2844" s="582" t="n"/>
      <c r="H2844" s="583" t="n"/>
      <c r="I2844" s="510" t="n"/>
    </row>
    <row r="2845" ht="19.95" customFormat="1" customHeight="1" s="511">
      <c r="A2845" s="277" t="n"/>
      <c r="B2845" s="285" t="n"/>
      <c r="C2845" s="579" t="n"/>
      <c r="D2845" s="580" t="n"/>
      <c r="E2845" s="581" t="n"/>
      <c r="F2845" s="577" t="n"/>
      <c r="G2845" s="582" t="n"/>
      <c r="H2845" s="583" t="n"/>
      <c r="I2845" s="510" t="n"/>
    </row>
    <row r="2846" ht="19.95" customFormat="1" customHeight="1" s="511">
      <c r="A2846" s="277" t="n"/>
      <c r="B2846" s="285" t="n"/>
      <c r="C2846" s="579" t="n"/>
      <c r="D2846" s="580" t="n"/>
      <c r="E2846" s="581" t="n"/>
      <c r="F2846" s="577" t="n"/>
      <c r="G2846" s="582" t="n"/>
      <c r="H2846" s="583" t="n"/>
      <c r="I2846" s="510" t="n"/>
    </row>
    <row r="2847" ht="19.95" customFormat="1" customHeight="1" s="511">
      <c r="A2847" s="277" t="n"/>
      <c r="B2847" s="285" t="n"/>
      <c r="C2847" s="579" t="n"/>
      <c r="D2847" s="580" t="n"/>
      <c r="E2847" s="581" t="n"/>
      <c r="F2847" s="577" t="n"/>
      <c r="G2847" s="582" t="n"/>
      <c r="H2847" s="583" t="n"/>
      <c r="I2847" s="510" t="n"/>
    </row>
    <row r="2848" ht="19.95" customFormat="1" customHeight="1" s="511">
      <c r="A2848" s="277" t="n"/>
      <c r="B2848" s="285" t="n"/>
      <c r="C2848" s="579" t="n"/>
      <c r="D2848" s="580" t="n"/>
      <c r="E2848" s="581" t="n"/>
      <c r="F2848" s="577" t="n"/>
      <c r="G2848" s="582" t="n"/>
      <c r="H2848" s="583" t="n"/>
      <c r="I2848" s="510" t="n"/>
    </row>
    <row r="2849" ht="19.95" customFormat="1" customHeight="1" s="511">
      <c r="A2849" s="277" t="n"/>
      <c r="B2849" s="285" t="n"/>
      <c r="C2849" s="579" t="n"/>
      <c r="D2849" s="580" t="n"/>
      <c r="E2849" s="581" t="n"/>
      <c r="F2849" s="577" t="n"/>
      <c r="G2849" s="582" t="n"/>
      <c r="H2849" s="583" t="n"/>
      <c r="I2849" s="510" t="n"/>
    </row>
    <row r="2850" ht="19.95" customFormat="1" customHeight="1" s="511">
      <c r="A2850" s="277" t="n"/>
      <c r="B2850" s="285" t="n"/>
      <c r="C2850" s="579" t="n"/>
      <c r="D2850" s="580" t="n"/>
      <c r="E2850" s="581" t="n"/>
      <c r="F2850" s="577" t="n"/>
      <c r="G2850" s="582" t="n"/>
      <c r="H2850" s="583" t="n"/>
      <c r="I2850" s="510" t="n"/>
    </row>
    <row r="2851" ht="19.95" customFormat="1" customHeight="1" s="511">
      <c r="A2851" s="277" t="n"/>
      <c r="B2851" s="285" t="n"/>
      <c r="C2851" s="579" t="n"/>
      <c r="D2851" s="580" t="n"/>
      <c r="E2851" s="581" t="n"/>
      <c r="F2851" s="577" t="n"/>
      <c r="G2851" s="582" t="n"/>
      <c r="H2851" s="583" t="n"/>
      <c r="I2851" s="510" t="n"/>
    </row>
    <row r="2852" ht="19.95" customFormat="1" customHeight="1" s="511">
      <c r="A2852" s="277" t="n"/>
      <c r="B2852" s="285" t="n"/>
      <c r="C2852" s="579" t="n"/>
      <c r="D2852" s="580" t="n"/>
      <c r="E2852" s="581" t="n"/>
      <c r="F2852" s="577" t="n"/>
      <c r="G2852" s="582" t="n"/>
      <c r="H2852" s="583" t="n"/>
      <c r="I2852" s="510" t="n"/>
    </row>
    <row r="2853" ht="19.95" customFormat="1" customHeight="1" s="511">
      <c r="A2853" s="277" t="n"/>
      <c r="B2853" s="285" t="n"/>
      <c r="C2853" s="579" t="n"/>
      <c r="D2853" s="580" t="n"/>
      <c r="E2853" s="581" t="n"/>
      <c r="F2853" s="577" t="n"/>
      <c r="G2853" s="582" t="n"/>
      <c r="H2853" s="583" t="n"/>
      <c r="I2853" s="510" t="n"/>
    </row>
    <row r="2854" ht="19.95" customFormat="1" customHeight="1" s="511">
      <c r="A2854" s="277" t="n"/>
      <c r="B2854" s="285" t="n"/>
      <c r="C2854" s="579" t="n"/>
      <c r="D2854" s="580" t="n"/>
      <c r="E2854" s="581" t="n"/>
      <c r="F2854" s="577" t="n"/>
      <c r="G2854" s="582" t="n"/>
      <c r="H2854" s="583" t="n"/>
      <c r="I2854" s="510" t="n"/>
    </row>
    <row r="2855" ht="19.95" customFormat="1" customHeight="1" s="511">
      <c r="A2855" s="277" t="n"/>
      <c r="B2855" s="285" t="n"/>
      <c r="C2855" s="579" t="n"/>
      <c r="D2855" s="580" t="n"/>
      <c r="E2855" s="581" t="n"/>
      <c r="F2855" s="577" t="n"/>
      <c r="G2855" s="582" t="n"/>
      <c r="H2855" s="583" t="n"/>
      <c r="I2855" s="510" t="n"/>
    </row>
    <row r="2856" ht="19.95" customFormat="1" customHeight="1" s="511">
      <c r="A2856" s="277" t="n"/>
      <c r="B2856" s="285" t="n"/>
      <c r="C2856" s="579" t="n"/>
      <c r="D2856" s="580" t="n"/>
      <c r="E2856" s="581" t="n"/>
      <c r="F2856" s="577" t="n"/>
      <c r="G2856" s="582" t="n"/>
      <c r="H2856" s="583" t="n"/>
      <c r="I2856" s="510" t="n"/>
    </row>
    <row r="2857" ht="19.95" customFormat="1" customHeight="1" s="511">
      <c r="A2857" s="277" t="n"/>
      <c r="B2857" s="285" t="n"/>
      <c r="C2857" s="579" t="n"/>
      <c r="D2857" s="580" t="n"/>
      <c r="E2857" s="581" t="n"/>
      <c r="F2857" s="577" t="n"/>
      <c r="G2857" s="582" t="n"/>
      <c r="H2857" s="583" t="n"/>
      <c r="I2857" s="510" t="n"/>
    </row>
    <row r="2858" ht="19.95" customFormat="1" customHeight="1" s="511">
      <c r="A2858" s="277" t="n"/>
      <c r="B2858" s="285" t="n"/>
      <c r="C2858" s="579" t="n"/>
      <c r="D2858" s="580" t="n"/>
      <c r="E2858" s="581" t="n"/>
      <c r="F2858" s="577" t="n"/>
      <c r="G2858" s="582" t="n"/>
      <c r="H2858" s="583" t="n"/>
      <c r="I2858" s="510" t="n"/>
    </row>
    <row r="2859" ht="19.95" customFormat="1" customHeight="1" s="511">
      <c r="A2859" s="277" t="n"/>
      <c r="B2859" s="285" t="n"/>
      <c r="C2859" s="579" t="n"/>
      <c r="D2859" s="580" t="n"/>
      <c r="E2859" s="581" t="n"/>
      <c r="F2859" s="577" t="n"/>
      <c r="G2859" s="582" t="n"/>
      <c r="H2859" s="583" t="n"/>
      <c r="I2859" s="510" t="n"/>
    </row>
    <row r="2860" ht="19.95" customFormat="1" customHeight="1" s="511">
      <c r="A2860" s="277" t="n"/>
      <c r="B2860" s="285" t="n"/>
      <c r="C2860" s="579" t="n"/>
      <c r="D2860" s="580" t="n"/>
      <c r="E2860" s="581" t="n"/>
      <c r="F2860" s="577" t="n"/>
      <c r="G2860" s="582" t="n"/>
      <c r="H2860" s="583" t="n"/>
      <c r="I2860" s="510" t="n"/>
    </row>
    <row r="2861" ht="19.95" customFormat="1" customHeight="1" s="511">
      <c r="A2861" s="277" t="n"/>
      <c r="B2861" s="285" t="n"/>
      <c r="C2861" s="579" t="n"/>
      <c r="D2861" s="580" t="n"/>
      <c r="E2861" s="581" t="n"/>
      <c r="F2861" s="577" t="n"/>
      <c r="G2861" s="582" t="n"/>
      <c r="H2861" s="583" t="n"/>
      <c r="I2861" s="510" t="n"/>
    </row>
    <row r="2862" ht="19.95" customFormat="1" customHeight="1" s="511">
      <c r="A2862" s="277" t="n"/>
      <c r="B2862" s="285" t="n"/>
      <c r="C2862" s="579" t="n"/>
      <c r="D2862" s="580" t="n"/>
      <c r="E2862" s="581" t="n"/>
      <c r="F2862" s="577" t="n"/>
      <c r="G2862" s="582" t="n"/>
      <c r="H2862" s="583" t="n"/>
      <c r="I2862" s="510" t="n"/>
    </row>
    <row r="2863" ht="19.95" customFormat="1" customHeight="1" s="511">
      <c r="A2863" s="277" t="n"/>
      <c r="B2863" s="285" t="n"/>
      <c r="C2863" s="579" t="n"/>
      <c r="D2863" s="580" t="n"/>
      <c r="E2863" s="581" t="n"/>
      <c r="F2863" s="577" t="n"/>
      <c r="G2863" s="582" t="n"/>
      <c r="H2863" s="583" t="n"/>
      <c r="I2863" s="510" t="n"/>
    </row>
    <row r="2864" ht="19.95" customFormat="1" customHeight="1" s="511">
      <c r="A2864" s="277" t="n"/>
      <c r="B2864" s="285" t="n"/>
      <c r="C2864" s="579" t="n"/>
      <c r="D2864" s="580" t="n"/>
      <c r="E2864" s="581" t="n"/>
      <c r="F2864" s="577" t="n"/>
      <c r="G2864" s="582" t="n"/>
      <c r="H2864" s="583" t="n"/>
      <c r="I2864" s="510" t="n"/>
    </row>
    <row r="2865" ht="19.95" customFormat="1" customHeight="1" s="511">
      <c r="A2865" s="277" t="n"/>
      <c r="B2865" s="285" t="n"/>
      <c r="C2865" s="579" t="n"/>
      <c r="D2865" s="580" t="n"/>
      <c r="E2865" s="581" t="n"/>
      <c r="F2865" s="577" t="n"/>
      <c r="G2865" s="582" t="n"/>
      <c r="H2865" s="583" t="n"/>
      <c r="I2865" s="510" t="n"/>
    </row>
    <row r="2866" ht="19.95" customFormat="1" customHeight="1" s="511">
      <c r="A2866" s="277" t="n"/>
      <c r="B2866" s="285" t="n"/>
      <c r="C2866" s="579" t="n"/>
      <c r="D2866" s="580" t="n"/>
      <c r="E2866" s="581" t="n"/>
      <c r="F2866" s="577" t="n"/>
      <c r="G2866" s="582" t="n"/>
      <c r="H2866" s="583" t="n"/>
      <c r="I2866" s="510" t="n"/>
    </row>
    <row r="2867" ht="19.95" customFormat="1" customHeight="1" s="511">
      <c r="A2867" s="277" t="n"/>
      <c r="B2867" s="285" t="n"/>
      <c r="C2867" s="579" t="n"/>
      <c r="D2867" s="580" t="n"/>
      <c r="E2867" s="581" t="n"/>
      <c r="F2867" s="577" t="n"/>
      <c r="G2867" s="582" t="n"/>
      <c r="H2867" s="583" t="n"/>
      <c r="I2867" s="510" t="n"/>
    </row>
    <row r="2868" ht="19.95" customFormat="1" customHeight="1" s="511">
      <c r="A2868" s="277" t="n"/>
      <c r="B2868" s="285" t="n"/>
      <c r="C2868" s="579" t="n"/>
      <c r="D2868" s="580" t="n"/>
      <c r="E2868" s="581" t="n"/>
      <c r="F2868" s="577" t="n"/>
      <c r="G2868" s="582" t="n"/>
      <c r="H2868" s="583" t="n"/>
      <c r="I2868" s="510" t="n"/>
    </row>
    <row r="2869" ht="19.95" customFormat="1" customHeight="1" s="511">
      <c r="A2869" s="277" t="n"/>
      <c r="B2869" s="285" t="n"/>
      <c r="C2869" s="579" t="n"/>
      <c r="D2869" s="580" t="n"/>
      <c r="E2869" s="581" t="n"/>
      <c r="F2869" s="577" t="n"/>
      <c r="G2869" s="582" t="n"/>
      <c r="H2869" s="583" t="n"/>
      <c r="I2869" s="510" t="n"/>
    </row>
    <row r="2870" ht="19.95" customFormat="1" customHeight="1" s="511">
      <c r="A2870" s="277" t="n"/>
      <c r="B2870" s="285" t="n"/>
      <c r="C2870" s="579" t="n"/>
      <c r="D2870" s="580" t="n"/>
      <c r="E2870" s="581" t="n"/>
      <c r="F2870" s="577" t="n"/>
      <c r="G2870" s="582" t="n"/>
      <c r="H2870" s="583" t="n"/>
      <c r="I2870" s="510" t="n"/>
    </row>
    <row r="2871" ht="19.95" customFormat="1" customHeight="1" s="511">
      <c r="A2871" s="277" t="n"/>
      <c r="B2871" s="285" t="n"/>
      <c r="C2871" s="579" t="n"/>
      <c r="D2871" s="580" t="n"/>
      <c r="E2871" s="581" t="n"/>
      <c r="F2871" s="577" t="n"/>
      <c r="G2871" s="582" t="n"/>
      <c r="H2871" s="583" t="n"/>
      <c r="I2871" s="510" t="n"/>
    </row>
    <row r="2872" ht="19.95" customFormat="1" customHeight="1" s="511">
      <c r="A2872" s="277" t="n"/>
      <c r="B2872" s="285" t="n"/>
      <c r="C2872" s="579" t="n"/>
      <c r="D2872" s="580" t="n"/>
      <c r="E2872" s="581" t="n"/>
      <c r="F2872" s="577" t="n"/>
      <c r="G2872" s="582" t="n"/>
      <c r="H2872" s="583" t="n"/>
      <c r="I2872" s="510" t="n"/>
    </row>
    <row r="2873" ht="19.95" customFormat="1" customHeight="1" s="511">
      <c r="A2873" s="277" t="n"/>
      <c r="B2873" s="285" t="n"/>
      <c r="C2873" s="579" t="n"/>
      <c r="D2873" s="580" t="n"/>
      <c r="E2873" s="581" t="n"/>
      <c r="F2873" s="577" t="n"/>
      <c r="G2873" s="582" t="n"/>
      <c r="H2873" s="583" t="n"/>
      <c r="I2873" s="510" t="n"/>
    </row>
    <row r="2874" ht="19.95" customFormat="1" customHeight="1" s="511">
      <c r="A2874" s="277" t="n"/>
      <c r="B2874" s="285" t="n"/>
      <c r="C2874" s="579" t="n"/>
      <c r="D2874" s="580" t="n"/>
      <c r="E2874" s="581" t="n"/>
      <c r="F2874" s="577" t="n"/>
      <c r="G2874" s="582" t="n"/>
      <c r="H2874" s="583" t="n"/>
      <c r="I2874" s="510" t="n"/>
    </row>
    <row r="2875" ht="19.95" customFormat="1" customHeight="1" s="511">
      <c r="A2875" s="277" t="n"/>
      <c r="B2875" s="285" t="n"/>
      <c r="C2875" s="579" t="n"/>
      <c r="D2875" s="580" t="n"/>
      <c r="E2875" s="581" t="n"/>
      <c r="F2875" s="577" t="n"/>
      <c r="G2875" s="582" t="n"/>
      <c r="H2875" s="583" t="n"/>
      <c r="I2875" s="510" t="n"/>
    </row>
    <row r="2876" ht="19.95" customFormat="1" customHeight="1" s="511">
      <c r="A2876" s="277" t="n"/>
      <c r="B2876" s="285" t="n"/>
      <c r="C2876" s="579" t="n"/>
      <c r="D2876" s="580" t="n"/>
      <c r="E2876" s="581" t="n"/>
      <c r="F2876" s="577" t="n"/>
      <c r="G2876" s="582" t="n"/>
      <c r="H2876" s="583" t="n"/>
      <c r="I2876" s="510" t="n"/>
    </row>
    <row r="2877" ht="19.95" customFormat="1" customHeight="1" s="511">
      <c r="A2877" s="277" t="n"/>
      <c r="B2877" s="285" t="n"/>
      <c r="C2877" s="579" t="n"/>
      <c r="D2877" s="580" t="n"/>
      <c r="E2877" s="581" t="n"/>
      <c r="F2877" s="577" t="n"/>
      <c r="G2877" s="582" t="n"/>
      <c r="H2877" s="583" t="n"/>
      <c r="I2877" s="510" t="n"/>
    </row>
    <row r="2878" ht="19.95" customFormat="1" customHeight="1" s="511">
      <c r="A2878" s="277" t="n"/>
      <c r="B2878" s="285" t="n"/>
      <c r="C2878" s="579" t="n"/>
      <c r="D2878" s="580" t="n"/>
      <c r="E2878" s="581" t="n"/>
      <c r="F2878" s="577" t="n"/>
      <c r="G2878" s="582" t="n"/>
      <c r="H2878" s="583" t="n"/>
      <c r="I2878" s="510" t="n"/>
    </row>
    <row r="2879" ht="19.95" customFormat="1" customHeight="1" s="511">
      <c r="A2879" s="277" t="n"/>
      <c r="B2879" s="285" t="n"/>
      <c r="C2879" s="579" t="n"/>
      <c r="D2879" s="580" t="n"/>
      <c r="E2879" s="581" t="n"/>
      <c r="F2879" s="577" t="n"/>
      <c r="G2879" s="582" t="n"/>
      <c r="H2879" s="583" t="n"/>
      <c r="I2879" s="510" t="n"/>
    </row>
    <row r="2880" ht="19.95" customFormat="1" customHeight="1" s="511">
      <c r="A2880" s="277" t="n"/>
      <c r="B2880" s="285" t="n"/>
      <c r="C2880" s="579" t="n"/>
      <c r="D2880" s="580" t="n"/>
      <c r="E2880" s="581" t="n"/>
      <c r="F2880" s="577" t="n"/>
      <c r="G2880" s="582" t="n"/>
      <c r="H2880" s="583" t="n"/>
      <c r="I2880" s="510" t="n"/>
    </row>
    <row r="2881" ht="19.95" customFormat="1" customHeight="1" s="511">
      <c r="A2881" s="277" t="n"/>
      <c r="B2881" s="285" t="n"/>
      <c r="C2881" s="579" t="n"/>
      <c r="D2881" s="580" t="n"/>
      <c r="E2881" s="581" t="n"/>
      <c r="F2881" s="577" t="n"/>
      <c r="G2881" s="582" t="n"/>
      <c r="H2881" s="583" t="n"/>
      <c r="I2881" s="510" t="n"/>
    </row>
    <row r="2882" ht="19.95" customFormat="1" customHeight="1" s="511">
      <c r="A2882" s="277" t="n"/>
      <c r="B2882" s="285" t="n"/>
      <c r="C2882" s="579" t="n"/>
      <c r="D2882" s="580" t="n"/>
      <c r="E2882" s="581" t="n"/>
      <c r="F2882" s="577" t="n"/>
      <c r="G2882" s="582" t="n"/>
      <c r="H2882" s="583" t="n"/>
      <c r="I2882" s="510" t="n"/>
    </row>
    <row r="2883" ht="19.95" customFormat="1" customHeight="1" s="511">
      <c r="A2883" s="277" t="n"/>
      <c r="B2883" s="285" t="n"/>
      <c r="C2883" s="579" t="n"/>
      <c r="D2883" s="580" t="n"/>
      <c r="E2883" s="581" t="n"/>
      <c r="F2883" s="577" t="n"/>
      <c r="G2883" s="582" t="n"/>
      <c r="H2883" s="583" t="n"/>
      <c r="I2883" s="510" t="n"/>
    </row>
    <row r="2884" ht="19.95" customFormat="1" customHeight="1" s="511">
      <c r="A2884" s="277" t="n"/>
      <c r="B2884" s="285" t="n"/>
      <c r="C2884" s="579" t="n"/>
      <c r="D2884" s="580" t="n"/>
      <c r="E2884" s="581" t="n"/>
      <c r="F2884" s="577" t="n"/>
      <c r="G2884" s="582" t="n"/>
      <c r="H2884" s="583" t="n"/>
      <c r="I2884" s="510" t="n"/>
    </row>
    <row r="2885" ht="19.95" customFormat="1" customHeight="1" s="511">
      <c r="A2885" s="277" t="n"/>
      <c r="B2885" s="285" t="n"/>
      <c r="C2885" s="579" t="n"/>
      <c r="D2885" s="580" t="n"/>
      <c r="E2885" s="581" t="n"/>
      <c r="F2885" s="577" t="n"/>
      <c r="G2885" s="582" t="n"/>
      <c r="H2885" s="583" t="n"/>
      <c r="I2885" s="510" t="n"/>
    </row>
    <row r="2886" ht="19.95" customFormat="1" customHeight="1" s="511">
      <c r="A2886" s="277" t="n"/>
      <c r="B2886" s="285" t="n"/>
      <c r="C2886" s="579" t="n"/>
      <c r="D2886" s="580" t="n"/>
      <c r="E2886" s="581" t="n"/>
      <c r="F2886" s="577" t="n"/>
      <c r="G2886" s="582" t="n"/>
      <c r="H2886" s="583" t="n"/>
      <c r="I2886" s="510" t="n"/>
    </row>
    <row r="2887" ht="19.95" customFormat="1" customHeight="1" s="511">
      <c r="A2887" s="277" t="n"/>
      <c r="B2887" s="285" t="n"/>
      <c r="C2887" s="579" t="n"/>
      <c r="D2887" s="580" t="n"/>
      <c r="E2887" s="581" t="n"/>
      <c r="F2887" s="577" t="n"/>
      <c r="G2887" s="582" t="n"/>
      <c r="H2887" s="583" t="n"/>
      <c r="I2887" s="510" t="n"/>
    </row>
    <row r="2888" ht="19.95" customFormat="1" customHeight="1" s="511">
      <c r="A2888" s="277" t="n"/>
      <c r="B2888" s="285" t="n"/>
      <c r="C2888" s="579" t="n"/>
      <c r="D2888" s="580" t="n"/>
      <c r="E2888" s="581" t="n"/>
      <c r="F2888" s="577" t="n"/>
      <c r="G2888" s="582" t="n"/>
      <c r="H2888" s="583" t="n"/>
      <c r="I2888" s="510" t="n"/>
    </row>
    <row r="2889" ht="19.95" customFormat="1" customHeight="1" s="511">
      <c r="A2889" s="277" t="n"/>
      <c r="B2889" s="285" t="n"/>
      <c r="C2889" s="579" t="n"/>
      <c r="D2889" s="580" t="n"/>
      <c r="E2889" s="581" t="n"/>
      <c r="F2889" s="577" t="n"/>
      <c r="G2889" s="582" t="n"/>
      <c r="H2889" s="583" t="n"/>
      <c r="I2889" s="510" t="n"/>
    </row>
    <row r="2890" ht="19.95" customFormat="1" customHeight="1" s="511">
      <c r="A2890" s="277" t="n"/>
      <c r="B2890" s="285" t="n"/>
      <c r="C2890" s="579" t="n"/>
      <c r="D2890" s="580" t="n"/>
      <c r="E2890" s="581" t="n"/>
      <c r="F2890" s="577" t="n"/>
      <c r="G2890" s="582" t="n"/>
      <c r="H2890" s="583" t="n"/>
      <c r="I2890" s="510" t="n"/>
    </row>
    <row r="2891" ht="19.95" customFormat="1" customHeight="1" s="511">
      <c r="A2891" s="277" t="n"/>
      <c r="B2891" s="285" t="n"/>
      <c r="C2891" s="579" t="n"/>
      <c r="D2891" s="580" t="n"/>
      <c r="E2891" s="581" t="n"/>
      <c r="F2891" s="577" t="n"/>
      <c r="G2891" s="582" t="n"/>
      <c r="H2891" s="583" t="n"/>
      <c r="I2891" s="510" t="n"/>
    </row>
    <row r="2892" ht="19.95" customFormat="1" customHeight="1" s="511">
      <c r="A2892" s="277" t="n"/>
      <c r="B2892" s="285" t="n"/>
      <c r="C2892" s="579" t="n"/>
      <c r="D2892" s="580" t="n"/>
      <c r="E2892" s="581" t="n"/>
      <c r="F2892" s="577" t="n"/>
      <c r="G2892" s="582" t="n"/>
      <c r="H2892" s="583" t="n"/>
      <c r="I2892" s="510" t="n"/>
    </row>
    <row r="2893" ht="19.95" customFormat="1" customHeight="1" s="511">
      <c r="A2893" s="277" t="n"/>
      <c r="B2893" s="285" t="n"/>
      <c r="C2893" s="579" t="n"/>
      <c r="D2893" s="580" t="n"/>
      <c r="E2893" s="581" t="n"/>
      <c r="F2893" s="577" t="n"/>
      <c r="G2893" s="582" t="n"/>
      <c r="H2893" s="583" t="n"/>
      <c r="I2893" s="510" t="n"/>
    </row>
    <row r="2894" ht="19.95" customFormat="1" customHeight="1" s="511">
      <c r="A2894" s="277" t="n"/>
      <c r="B2894" s="285" t="n"/>
      <c r="C2894" s="579" t="n"/>
      <c r="D2894" s="580" t="n"/>
      <c r="E2894" s="581" t="n"/>
      <c r="F2894" s="577" t="n"/>
      <c r="G2894" s="582" t="n"/>
      <c r="H2894" s="583" t="n"/>
      <c r="I2894" s="510" t="n"/>
    </row>
    <row r="2895" ht="19.95" customFormat="1" customHeight="1" s="511">
      <c r="A2895" s="277" t="n"/>
      <c r="B2895" s="285" t="n"/>
      <c r="C2895" s="579" t="n"/>
      <c r="D2895" s="580" t="n"/>
      <c r="E2895" s="581" t="n"/>
      <c r="F2895" s="577" t="n"/>
      <c r="G2895" s="582" t="n"/>
      <c r="H2895" s="583" t="n"/>
      <c r="I2895" s="510" t="n"/>
    </row>
    <row r="2896" ht="19.95" customFormat="1" customHeight="1" s="511">
      <c r="A2896" s="277" t="n"/>
      <c r="B2896" s="285" t="n"/>
      <c r="C2896" s="579" t="n"/>
      <c r="D2896" s="580" t="n"/>
      <c r="E2896" s="581" t="n"/>
      <c r="F2896" s="577" t="n"/>
      <c r="G2896" s="582" t="n"/>
      <c r="H2896" s="583" t="n"/>
      <c r="I2896" s="510" t="n"/>
    </row>
    <row r="2897" ht="19.95" customFormat="1" customHeight="1" s="511">
      <c r="A2897" s="277" t="n"/>
      <c r="B2897" s="285" t="n"/>
      <c r="C2897" s="579" t="n"/>
      <c r="D2897" s="580" t="n"/>
      <c r="E2897" s="581" t="n"/>
      <c r="F2897" s="577" t="n"/>
      <c r="G2897" s="582" t="n"/>
      <c r="H2897" s="583" t="n"/>
      <c r="I2897" s="510" t="n"/>
    </row>
    <row r="2898" ht="19.95" customFormat="1" customHeight="1" s="511">
      <c r="A2898" s="277" t="n"/>
      <c r="B2898" s="285" t="n"/>
      <c r="C2898" s="579" t="n"/>
      <c r="D2898" s="580" t="n"/>
      <c r="E2898" s="581" t="n"/>
      <c r="F2898" s="577" t="n"/>
      <c r="G2898" s="582" t="n"/>
      <c r="H2898" s="583" t="n"/>
      <c r="I2898" s="510" t="n"/>
    </row>
    <row r="2899" ht="19.95" customFormat="1" customHeight="1" s="511">
      <c r="A2899" s="277" t="n"/>
      <c r="B2899" s="285" t="n"/>
      <c r="C2899" s="579" t="n"/>
      <c r="D2899" s="580" t="n"/>
      <c r="E2899" s="581" t="n"/>
      <c r="F2899" s="577" t="n"/>
      <c r="G2899" s="582" t="n"/>
      <c r="H2899" s="583" t="n"/>
      <c r="I2899" s="510" t="n"/>
    </row>
    <row r="2900" ht="19.95" customFormat="1" customHeight="1" s="511">
      <c r="A2900" s="277" t="n"/>
      <c r="B2900" s="285" t="n"/>
      <c r="C2900" s="579" t="n"/>
      <c r="D2900" s="580" t="n"/>
      <c r="E2900" s="581" t="n"/>
      <c r="F2900" s="577" t="n"/>
      <c r="G2900" s="582" t="n"/>
      <c r="H2900" s="583" t="n"/>
      <c r="I2900" s="510" t="n"/>
    </row>
    <row r="2901" ht="19.95" customFormat="1" customHeight="1" s="511">
      <c r="A2901" s="277" t="n"/>
      <c r="B2901" s="285" t="n"/>
      <c r="C2901" s="579" t="n"/>
      <c r="D2901" s="580" t="n"/>
      <c r="E2901" s="581" t="n"/>
      <c r="F2901" s="577" t="n"/>
      <c r="G2901" s="582" t="n"/>
      <c r="H2901" s="583" t="n"/>
      <c r="I2901" s="510" t="n"/>
    </row>
    <row r="2902" ht="19.95" customFormat="1" customHeight="1" s="511">
      <c r="A2902" s="277" t="n"/>
      <c r="B2902" s="285" t="n"/>
      <c r="C2902" s="579" t="n"/>
      <c r="D2902" s="580" t="n"/>
      <c r="E2902" s="581" t="n"/>
      <c r="F2902" s="577" t="n"/>
      <c r="G2902" s="582" t="n"/>
      <c r="H2902" s="583" t="n"/>
      <c r="I2902" s="510" t="n"/>
    </row>
    <row r="2903" ht="19.95" customFormat="1" customHeight="1" s="511">
      <c r="A2903" s="277" t="n"/>
      <c r="B2903" s="285" t="n"/>
      <c r="C2903" s="579" t="n"/>
      <c r="D2903" s="580" t="n"/>
      <c r="E2903" s="581" t="n"/>
      <c r="F2903" s="577" t="n"/>
      <c r="G2903" s="582" t="n"/>
      <c r="H2903" s="583" t="n"/>
      <c r="I2903" s="510" t="n"/>
    </row>
    <row r="2904" ht="19.95" customFormat="1" customHeight="1" s="511">
      <c r="A2904" s="277" t="n"/>
      <c r="B2904" s="285" t="n"/>
      <c r="C2904" s="579" t="n"/>
      <c r="D2904" s="580" t="n"/>
      <c r="E2904" s="581" t="n"/>
      <c r="F2904" s="577" t="n"/>
      <c r="G2904" s="582" t="n"/>
      <c r="H2904" s="583" t="n"/>
      <c r="I2904" s="510" t="n"/>
    </row>
    <row r="2905" ht="19.95" customFormat="1" customHeight="1" s="511">
      <c r="A2905" s="277" t="n"/>
      <c r="B2905" s="285" t="n"/>
      <c r="C2905" s="579" t="n"/>
      <c r="D2905" s="580" t="n"/>
      <c r="E2905" s="581" t="n"/>
      <c r="F2905" s="577" t="n"/>
      <c r="G2905" s="582" t="n"/>
      <c r="H2905" s="583" t="n"/>
      <c r="I2905" s="510" t="n"/>
    </row>
    <row r="2906" ht="19.95" customFormat="1" customHeight="1" s="511">
      <c r="A2906" s="277" t="n"/>
      <c r="B2906" s="285" t="n"/>
      <c r="C2906" s="579" t="n"/>
      <c r="D2906" s="580" t="n"/>
      <c r="E2906" s="581" t="n"/>
      <c r="F2906" s="577" t="n"/>
      <c r="G2906" s="582" t="n"/>
      <c r="H2906" s="583" t="n"/>
      <c r="I2906" s="510" t="n"/>
    </row>
    <row r="2907" ht="19.95" customFormat="1" customHeight="1" s="511">
      <c r="A2907" s="277" t="n"/>
      <c r="B2907" s="285" t="n"/>
      <c r="C2907" s="579" t="n"/>
      <c r="D2907" s="580" t="n"/>
      <c r="E2907" s="581" t="n"/>
      <c r="F2907" s="577" t="n"/>
      <c r="G2907" s="582" t="n"/>
      <c r="H2907" s="583" t="n"/>
      <c r="I2907" s="510" t="n"/>
    </row>
    <row r="2908" ht="19.95" customFormat="1" customHeight="1" s="511">
      <c r="A2908" s="277" t="n"/>
      <c r="B2908" s="285" t="n"/>
      <c r="C2908" s="579" t="n"/>
      <c r="D2908" s="580" t="n"/>
      <c r="E2908" s="581" t="n"/>
      <c r="F2908" s="577" t="n"/>
      <c r="G2908" s="582" t="n"/>
      <c r="H2908" s="583" t="n"/>
      <c r="I2908" s="510" t="n"/>
    </row>
    <row r="2909" ht="19.95" customFormat="1" customHeight="1" s="511">
      <c r="A2909" s="277" t="n"/>
      <c r="B2909" s="285" t="n"/>
      <c r="C2909" s="579" t="n"/>
      <c r="D2909" s="580" t="n"/>
      <c r="E2909" s="581" t="n"/>
      <c r="F2909" s="577" t="n"/>
      <c r="G2909" s="582" t="n"/>
      <c r="H2909" s="583" t="n"/>
      <c r="I2909" s="510" t="n"/>
    </row>
    <row r="2910" ht="19.95" customFormat="1" customHeight="1" s="511">
      <c r="A2910" s="277" t="n"/>
      <c r="B2910" s="285" t="n"/>
      <c r="C2910" s="579" t="n"/>
      <c r="D2910" s="580" t="n"/>
      <c r="E2910" s="581" t="n"/>
      <c r="F2910" s="577" t="n"/>
      <c r="G2910" s="582" t="n"/>
      <c r="H2910" s="583" t="n"/>
      <c r="I2910" s="510" t="n"/>
    </row>
    <row r="2911" ht="19.95" customFormat="1" customHeight="1" s="511">
      <c r="A2911" s="277" t="n"/>
      <c r="B2911" s="285" t="n"/>
      <c r="C2911" s="579" t="n"/>
      <c r="D2911" s="580" t="n"/>
      <c r="E2911" s="581" t="n"/>
      <c r="F2911" s="577" t="n"/>
      <c r="G2911" s="582" t="n"/>
      <c r="H2911" s="583" t="n"/>
      <c r="I2911" s="510" t="n"/>
    </row>
    <row r="2912" ht="19.95" customFormat="1" customHeight="1" s="511">
      <c r="A2912" s="277" t="n"/>
      <c r="B2912" s="285" t="n"/>
      <c r="C2912" s="579" t="n"/>
      <c r="D2912" s="580" t="n"/>
      <c r="E2912" s="581" t="n"/>
      <c r="F2912" s="577" t="n"/>
      <c r="G2912" s="582" t="n"/>
      <c r="H2912" s="583" t="n"/>
      <c r="I2912" s="510" t="n"/>
    </row>
    <row r="2913" ht="19.95" customFormat="1" customHeight="1" s="511">
      <c r="A2913" s="277" t="n"/>
      <c r="B2913" s="285" t="n"/>
      <c r="C2913" s="579" t="n"/>
      <c r="D2913" s="580" t="n"/>
      <c r="E2913" s="581" t="n"/>
      <c r="F2913" s="577" t="n"/>
      <c r="G2913" s="582" t="n"/>
      <c r="H2913" s="583" t="n"/>
      <c r="I2913" s="510" t="n"/>
    </row>
    <row r="2914" ht="19.95" customFormat="1" customHeight="1" s="511">
      <c r="A2914" s="277" t="n"/>
      <c r="B2914" s="285" t="n"/>
      <c r="C2914" s="579" t="n"/>
      <c r="D2914" s="580" t="n"/>
      <c r="E2914" s="581" t="n"/>
      <c r="F2914" s="577" t="n"/>
      <c r="G2914" s="582" t="n"/>
      <c r="H2914" s="583" t="n"/>
      <c r="I2914" s="510" t="n"/>
    </row>
    <row r="2915" ht="19.95" customFormat="1" customHeight="1" s="511">
      <c r="A2915" s="277" t="n"/>
      <c r="B2915" s="285" t="n"/>
      <c r="C2915" s="579" t="n"/>
      <c r="D2915" s="580" t="n"/>
      <c r="E2915" s="581" t="n"/>
      <c r="F2915" s="577" t="n"/>
      <c r="G2915" s="582" t="n"/>
      <c r="H2915" s="583" t="n"/>
      <c r="I2915" s="510" t="n"/>
    </row>
    <row r="2916" ht="19.95" customFormat="1" customHeight="1" s="511">
      <c r="A2916" s="277" t="n"/>
      <c r="B2916" s="285" t="n"/>
      <c r="C2916" s="579" t="n"/>
      <c r="D2916" s="580" t="n"/>
      <c r="E2916" s="581" t="n"/>
      <c r="F2916" s="577" t="n"/>
      <c r="G2916" s="582" t="n"/>
      <c r="H2916" s="583" t="n"/>
      <c r="I2916" s="510" t="n"/>
    </row>
    <row r="2917" ht="19.95" customFormat="1" customHeight="1" s="511">
      <c r="A2917" s="277" t="n"/>
      <c r="B2917" s="285" t="n"/>
      <c r="C2917" s="579" t="n"/>
      <c r="D2917" s="580" t="n"/>
      <c r="E2917" s="581" t="n"/>
      <c r="F2917" s="577" t="n"/>
      <c r="G2917" s="582" t="n"/>
      <c r="H2917" s="583" t="n"/>
      <c r="I2917" s="510" t="n"/>
    </row>
    <row r="2918" ht="19.95" customFormat="1" customHeight="1" s="511">
      <c r="A2918" s="277" t="n"/>
      <c r="B2918" s="285" t="n"/>
      <c r="C2918" s="579" t="n"/>
      <c r="D2918" s="580" t="n"/>
      <c r="E2918" s="581" t="n"/>
      <c r="F2918" s="577" t="n"/>
      <c r="G2918" s="582" t="n"/>
      <c r="H2918" s="583" t="n"/>
      <c r="I2918" s="510" t="n"/>
    </row>
    <row r="2919" ht="19.95" customFormat="1" customHeight="1" s="511">
      <c r="A2919" s="277" t="n"/>
      <c r="B2919" s="285" t="n"/>
      <c r="C2919" s="579" t="n"/>
      <c r="D2919" s="580" t="n"/>
      <c r="E2919" s="581" t="n"/>
      <c r="F2919" s="577" t="n"/>
      <c r="G2919" s="582" t="n"/>
      <c r="H2919" s="583" t="n"/>
      <c r="I2919" s="510" t="n"/>
    </row>
    <row r="2920" ht="19.95" customFormat="1" customHeight="1" s="511">
      <c r="A2920" s="277" t="n"/>
      <c r="B2920" s="285" t="n"/>
      <c r="C2920" s="579" t="n"/>
      <c r="D2920" s="580" t="n"/>
      <c r="E2920" s="581" t="n"/>
      <c r="F2920" s="577" t="n"/>
      <c r="G2920" s="582" t="n"/>
      <c r="H2920" s="583" t="n"/>
      <c r="I2920" s="510" t="n"/>
    </row>
    <row r="2921" ht="19.95" customFormat="1" customHeight="1" s="511">
      <c r="A2921" s="277" t="n"/>
      <c r="B2921" s="285" t="n"/>
      <c r="C2921" s="579" t="n"/>
      <c r="D2921" s="580" t="n"/>
      <c r="E2921" s="581" t="n"/>
      <c r="F2921" s="577" t="n"/>
      <c r="G2921" s="582" t="n"/>
      <c r="H2921" s="583" t="n"/>
      <c r="I2921" s="510" t="n"/>
    </row>
    <row r="2922" ht="19.95" customFormat="1" customHeight="1" s="511">
      <c r="A2922" s="277" t="n"/>
      <c r="B2922" s="285" t="n"/>
      <c r="C2922" s="579" t="n"/>
      <c r="D2922" s="580" t="n"/>
      <c r="E2922" s="581" t="n"/>
      <c r="F2922" s="577" t="n"/>
      <c r="G2922" s="582" t="n"/>
      <c r="H2922" s="583" t="n"/>
      <c r="I2922" s="510" t="n"/>
    </row>
    <row r="2923" ht="19.95" customFormat="1" customHeight="1" s="511">
      <c r="A2923" s="277" t="n"/>
      <c r="B2923" s="285" t="n"/>
      <c r="C2923" s="579" t="n"/>
      <c r="D2923" s="580" t="n"/>
      <c r="E2923" s="581" t="n"/>
      <c r="F2923" s="577" t="n"/>
      <c r="G2923" s="582" t="n"/>
      <c r="H2923" s="583" t="n"/>
      <c r="I2923" s="510" t="n"/>
    </row>
    <row r="2924" ht="19.95" customFormat="1" customHeight="1" s="511">
      <c r="A2924" s="277" t="n"/>
      <c r="B2924" s="285" t="n"/>
      <c r="C2924" s="579" t="n"/>
      <c r="D2924" s="580" t="n"/>
      <c r="E2924" s="581" t="n"/>
      <c r="F2924" s="577" t="n"/>
      <c r="G2924" s="582" t="n"/>
      <c r="H2924" s="583" t="n"/>
      <c r="I2924" s="510" t="n"/>
    </row>
    <row r="2925" ht="19.95" customFormat="1" customHeight="1" s="511">
      <c r="A2925" s="277" t="n"/>
      <c r="B2925" s="285" t="n"/>
      <c r="C2925" s="579" t="n"/>
      <c r="D2925" s="580" t="n"/>
      <c r="E2925" s="581" t="n"/>
      <c r="F2925" s="577" t="n"/>
      <c r="G2925" s="582" t="n"/>
      <c r="H2925" s="583" t="n"/>
      <c r="I2925" s="510" t="n"/>
    </row>
    <row r="2926" ht="19.95" customFormat="1" customHeight="1" s="511">
      <c r="A2926" s="277" t="n"/>
      <c r="B2926" s="285" t="n"/>
      <c r="C2926" s="579" t="n"/>
      <c r="D2926" s="580" t="n"/>
      <c r="E2926" s="581" t="n"/>
      <c r="F2926" s="577" t="n"/>
      <c r="G2926" s="582" t="n"/>
      <c r="H2926" s="583" t="n"/>
      <c r="I2926" s="510" t="n"/>
    </row>
    <row r="2927" ht="19.95" customFormat="1" customHeight="1" s="511">
      <c r="A2927" s="277" t="n"/>
      <c r="B2927" s="285" t="n"/>
      <c r="C2927" s="579" t="n"/>
      <c r="D2927" s="580" t="n"/>
      <c r="E2927" s="581" t="n"/>
      <c r="F2927" s="577" t="n"/>
      <c r="G2927" s="582" t="n"/>
      <c r="H2927" s="583" t="n"/>
      <c r="I2927" s="510" t="n"/>
    </row>
    <row r="2928" ht="19.95" customFormat="1" customHeight="1" s="511">
      <c r="A2928" s="277" t="n"/>
      <c r="B2928" s="285" t="n"/>
      <c r="C2928" s="579" t="n"/>
      <c r="D2928" s="580" t="n"/>
      <c r="E2928" s="581" t="n"/>
      <c r="F2928" s="577" t="n"/>
      <c r="G2928" s="582" t="n"/>
      <c r="H2928" s="583" t="n"/>
      <c r="I2928" s="510" t="n"/>
    </row>
    <row r="2929" ht="19.95" customFormat="1" customHeight="1" s="511">
      <c r="A2929" s="277" t="n"/>
      <c r="B2929" s="285" t="n"/>
      <c r="C2929" s="579" t="n"/>
      <c r="D2929" s="580" t="n"/>
      <c r="E2929" s="581" t="n"/>
      <c r="F2929" s="577" t="n"/>
      <c r="G2929" s="582" t="n"/>
      <c r="H2929" s="583" t="n"/>
      <c r="I2929" s="510" t="n"/>
    </row>
    <row r="2930" ht="19.95" customFormat="1" customHeight="1" s="511">
      <c r="A2930" s="277" t="n"/>
      <c r="B2930" s="285" t="n"/>
      <c r="C2930" s="579" t="n"/>
      <c r="D2930" s="580" t="n"/>
      <c r="E2930" s="581" t="n"/>
      <c r="F2930" s="577" t="n"/>
      <c r="G2930" s="582" t="n"/>
      <c r="H2930" s="583" t="n"/>
      <c r="I2930" s="510" t="n"/>
    </row>
    <row r="2931" ht="19.95" customFormat="1" customHeight="1" s="511">
      <c r="A2931" s="277" t="n"/>
      <c r="B2931" s="285" t="n"/>
      <c r="C2931" s="579" t="n"/>
      <c r="D2931" s="580" t="n"/>
      <c r="E2931" s="581" t="n"/>
      <c r="F2931" s="577" t="n"/>
      <c r="G2931" s="582" t="n"/>
      <c r="H2931" s="583" t="n"/>
      <c r="I2931" s="510" t="n"/>
    </row>
    <row r="2932" ht="19.95" customFormat="1" customHeight="1" s="511">
      <c r="A2932" s="277" t="n"/>
      <c r="B2932" s="285" t="n"/>
      <c r="C2932" s="579" t="n"/>
      <c r="D2932" s="580" t="n"/>
      <c r="E2932" s="581" t="n"/>
      <c r="F2932" s="577" t="n"/>
      <c r="G2932" s="582" t="n"/>
      <c r="H2932" s="583" t="n"/>
      <c r="I2932" s="510" t="n"/>
    </row>
    <row r="2933" ht="19.95" customFormat="1" customHeight="1" s="511">
      <c r="A2933" s="277" t="n"/>
      <c r="B2933" s="285" t="n"/>
      <c r="C2933" s="579" t="n"/>
      <c r="D2933" s="580" t="n"/>
      <c r="E2933" s="581" t="n"/>
      <c r="F2933" s="577" t="n"/>
      <c r="G2933" s="582" t="n"/>
      <c r="H2933" s="583" t="n"/>
      <c r="I2933" s="510" t="n"/>
    </row>
    <row r="2934" ht="19.95" customFormat="1" customHeight="1" s="511">
      <c r="A2934" s="277" t="n"/>
      <c r="B2934" s="285" t="n"/>
      <c r="C2934" s="579" t="n"/>
      <c r="D2934" s="580" t="n"/>
      <c r="E2934" s="581" t="n"/>
      <c r="F2934" s="577" t="n"/>
      <c r="G2934" s="582" t="n"/>
      <c r="H2934" s="583" t="n"/>
      <c r="I2934" s="510" t="n"/>
    </row>
    <row r="2935" ht="19.95" customFormat="1" customHeight="1" s="511">
      <c r="A2935" s="277" t="n"/>
      <c r="B2935" s="285" t="n"/>
      <c r="C2935" s="579" t="n"/>
      <c r="D2935" s="580" t="n"/>
      <c r="E2935" s="581" t="n"/>
      <c r="F2935" s="577" t="n"/>
      <c r="G2935" s="582" t="n"/>
      <c r="H2935" s="583" t="n"/>
      <c r="I2935" s="510" t="n"/>
    </row>
    <row r="2936" ht="19.95" customFormat="1" customHeight="1" s="511">
      <c r="A2936" s="277" t="n"/>
      <c r="B2936" s="285" t="n"/>
      <c r="C2936" s="579" t="n"/>
      <c r="D2936" s="580" t="n"/>
      <c r="E2936" s="581" t="n"/>
      <c r="F2936" s="577" t="n"/>
      <c r="G2936" s="582" t="n"/>
      <c r="H2936" s="583" t="n"/>
      <c r="I2936" s="510" t="n"/>
    </row>
    <row r="2937" ht="19.95" customFormat="1" customHeight="1" s="511">
      <c r="A2937" s="277" t="n"/>
      <c r="B2937" s="285" t="n"/>
      <c r="C2937" s="579" t="n"/>
      <c r="D2937" s="580" t="n"/>
      <c r="E2937" s="581" t="n"/>
      <c r="F2937" s="577" t="n"/>
      <c r="G2937" s="582" t="n"/>
      <c r="H2937" s="583" t="n"/>
      <c r="I2937" s="510" t="n"/>
    </row>
    <row r="2938" ht="19.95" customFormat="1" customHeight="1" s="511">
      <c r="A2938" s="277" t="n"/>
      <c r="B2938" s="285" t="n"/>
      <c r="C2938" s="579" t="n"/>
      <c r="D2938" s="580" t="n"/>
      <c r="E2938" s="581" t="n"/>
      <c r="F2938" s="577" t="n"/>
      <c r="G2938" s="582" t="n"/>
      <c r="H2938" s="583" t="n"/>
      <c r="I2938" s="510" t="n"/>
    </row>
    <row r="2939" ht="19.95" customFormat="1" customHeight="1" s="511">
      <c r="A2939" s="277" t="n"/>
      <c r="B2939" s="285" t="n"/>
      <c r="C2939" s="579" t="n"/>
      <c r="D2939" s="580" t="n"/>
      <c r="E2939" s="581" t="n"/>
      <c r="F2939" s="577" t="n"/>
      <c r="G2939" s="582" t="n"/>
      <c r="H2939" s="583" t="n"/>
      <c r="I2939" s="510" t="n"/>
    </row>
    <row r="2940" ht="19.95" customFormat="1" customHeight="1" s="511">
      <c r="A2940" s="277" t="n"/>
      <c r="B2940" s="285" t="n"/>
      <c r="C2940" s="579" t="n"/>
      <c r="D2940" s="580" t="n"/>
      <c r="E2940" s="581" t="n"/>
      <c r="F2940" s="577" t="n"/>
      <c r="G2940" s="582" t="n"/>
      <c r="H2940" s="583" t="n"/>
      <c r="I2940" s="510" t="n"/>
    </row>
    <row r="2941" ht="19.95" customFormat="1" customHeight="1" s="511">
      <c r="A2941" s="277" t="n"/>
      <c r="B2941" s="285" t="n"/>
      <c r="C2941" s="579" t="n"/>
      <c r="D2941" s="580" t="n"/>
      <c r="E2941" s="581" t="n"/>
      <c r="F2941" s="577" t="n"/>
      <c r="G2941" s="582" t="n"/>
      <c r="H2941" s="583" t="n"/>
      <c r="I2941" s="510" t="n"/>
    </row>
    <row r="2942" ht="19.95" customFormat="1" customHeight="1" s="511">
      <c r="A2942" s="277" t="n"/>
      <c r="B2942" s="285" t="n"/>
      <c r="C2942" s="579" t="n"/>
      <c r="D2942" s="580" t="n"/>
      <c r="E2942" s="581" t="n"/>
      <c r="F2942" s="577" t="n"/>
      <c r="G2942" s="582" t="n"/>
      <c r="H2942" s="583" t="n"/>
      <c r="I2942" s="510" t="n"/>
    </row>
    <row r="2943" ht="19.95" customFormat="1" customHeight="1" s="511">
      <c r="A2943" s="277" t="n"/>
      <c r="B2943" s="285" t="n"/>
      <c r="C2943" s="579" t="n"/>
      <c r="D2943" s="580" t="n"/>
      <c r="E2943" s="581" t="n"/>
      <c r="F2943" s="577" t="n"/>
      <c r="G2943" s="582" t="n"/>
      <c r="H2943" s="583" t="n"/>
      <c r="I2943" s="510" t="n"/>
    </row>
    <row r="2944" ht="19.95" customFormat="1" customHeight="1" s="511">
      <c r="A2944" s="277" t="n"/>
      <c r="B2944" s="285" t="n"/>
      <c r="C2944" s="579" t="n"/>
      <c r="D2944" s="580" t="n"/>
      <c r="E2944" s="581" t="n"/>
      <c r="F2944" s="577" t="n"/>
      <c r="G2944" s="582" t="n"/>
      <c r="H2944" s="583" t="n"/>
      <c r="I2944" s="510" t="n"/>
    </row>
    <row r="2945" ht="19.95" customFormat="1" customHeight="1" s="511">
      <c r="A2945" s="277" t="n"/>
      <c r="B2945" s="285" t="n"/>
      <c r="C2945" s="579" t="n"/>
      <c r="D2945" s="580" t="n"/>
      <c r="E2945" s="581" t="n"/>
      <c r="F2945" s="577" t="n"/>
      <c r="G2945" s="582" t="n"/>
      <c r="H2945" s="583" t="n"/>
      <c r="I2945" s="510" t="n"/>
    </row>
    <row r="2946" ht="19.95" customFormat="1" customHeight="1" s="511">
      <c r="A2946" s="277" t="n"/>
      <c r="B2946" s="285" t="n"/>
      <c r="C2946" s="579" t="n"/>
      <c r="D2946" s="580" t="n"/>
      <c r="E2946" s="581" t="n"/>
      <c r="F2946" s="577" t="n"/>
      <c r="G2946" s="582" t="n"/>
      <c r="H2946" s="583" t="n"/>
      <c r="I2946" s="510" t="n"/>
    </row>
    <row r="2947" ht="19.95" customFormat="1" customHeight="1" s="511">
      <c r="A2947" s="277" t="n"/>
      <c r="B2947" s="285" t="n"/>
      <c r="C2947" s="579" t="n"/>
      <c r="D2947" s="580" t="n"/>
      <c r="E2947" s="581" t="n"/>
      <c r="F2947" s="577" t="n"/>
      <c r="G2947" s="582" t="n"/>
      <c r="H2947" s="583" t="n"/>
      <c r="I2947" s="510" t="n"/>
    </row>
    <row r="2948" ht="19.95" customFormat="1" customHeight="1" s="511">
      <c r="A2948" s="277" t="n"/>
      <c r="B2948" s="285" t="n"/>
      <c r="C2948" s="579" t="n"/>
      <c r="D2948" s="580" t="n"/>
      <c r="E2948" s="581" t="n"/>
      <c r="F2948" s="577" t="n"/>
      <c r="G2948" s="582" t="n"/>
      <c r="H2948" s="583" t="n"/>
      <c r="I2948" s="510" t="n"/>
    </row>
    <row r="2949" ht="19.95" customFormat="1" customHeight="1" s="511">
      <c r="A2949" s="277" t="n"/>
      <c r="B2949" s="285" t="n"/>
      <c r="C2949" s="579" t="n"/>
      <c r="D2949" s="580" t="n"/>
      <c r="E2949" s="581" t="n"/>
      <c r="F2949" s="577" t="n"/>
      <c r="G2949" s="582" t="n"/>
      <c r="H2949" s="583" t="n"/>
      <c r="I2949" s="510" t="n"/>
    </row>
    <row r="2950" ht="19.95" customFormat="1" customHeight="1" s="511">
      <c r="A2950" s="277" t="n"/>
      <c r="B2950" s="285" t="n"/>
      <c r="C2950" s="579" t="n"/>
      <c r="D2950" s="580" t="n"/>
      <c r="E2950" s="581" t="n"/>
      <c r="F2950" s="577" t="n"/>
      <c r="G2950" s="582" t="n"/>
      <c r="H2950" s="583" t="n"/>
      <c r="I2950" s="510" t="n"/>
    </row>
    <row r="2951" ht="19.95" customFormat="1" customHeight="1" s="511">
      <c r="A2951" s="277" t="n"/>
      <c r="B2951" s="285" t="n"/>
      <c r="C2951" s="579" t="n"/>
      <c r="D2951" s="580" t="n"/>
      <c r="E2951" s="581" t="n"/>
      <c r="F2951" s="577" t="n"/>
      <c r="G2951" s="582" t="n"/>
      <c r="H2951" s="583" t="n"/>
      <c r="I2951" s="510" t="n"/>
    </row>
    <row r="2952" ht="19.95" customFormat="1" customHeight="1" s="511">
      <c r="A2952" s="277" t="n"/>
      <c r="B2952" s="285" t="n"/>
      <c r="C2952" s="579" t="n"/>
      <c r="D2952" s="580" t="n"/>
      <c r="E2952" s="581" t="n"/>
      <c r="F2952" s="577" t="n"/>
      <c r="G2952" s="582" t="n"/>
      <c r="H2952" s="583" t="n"/>
      <c r="I2952" s="510" t="n"/>
    </row>
    <row r="2953" ht="19.95" customFormat="1" customHeight="1" s="511">
      <c r="A2953" s="277" t="n"/>
      <c r="B2953" s="285" t="n"/>
      <c r="C2953" s="579" t="n"/>
      <c r="D2953" s="580" t="n"/>
      <c r="E2953" s="581" t="n"/>
      <c r="F2953" s="577" t="n"/>
      <c r="G2953" s="582" t="n"/>
      <c r="H2953" s="583" t="n"/>
      <c r="I2953" s="510" t="n"/>
    </row>
    <row r="2954" ht="19.95" customFormat="1" customHeight="1" s="511">
      <c r="A2954" s="277" t="n"/>
      <c r="B2954" s="285" t="n"/>
      <c r="C2954" s="579" t="n"/>
      <c r="D2954" s="580" t="n"/>
      <c r="E2954" s="581" t="n"/>
      <c r="F2954" s="577" t="n"/>
      <c r="G2954" s="582" t="n"/>
      <c r="H2954" s="583" t="n"/>
      <c r="I2954" s="510" t="n"/>
    </row>
    <row r="2955" ht="19.95" customFormat="1" customHeight="1" s="511">
      <c r="A2955" s="277" t="n"/>
      <c r="B2955" s="285" t="n"/>
      <c r="C2955" s="579" t="n"/>
      <c r="D2955" s="580" t="n"/>
      <c r="E2955" s="581" t="n"/>
      <c r="F2955" s="577" t="n"/>
      <c r="G2955" s="582" t="n"/>
      <c r="H2955" s="583" t="n"/>
      <c r="I2955" s="510" t="n"/>
    </row>
    <row r="2956" ht="19.95" customFormat="1" customHeight="1" s="511">
      <c r="A2956" s="277" t="n"/>
      <c r="B2956" s="285" t="n"/>
      <c r="C2956" s="579" t="n"/>
      <c r="D2956" s="580" t="n"/>
      <c r="E2956" s="581" t="n"/>
      <c r="F2956" s="577" t="n"/>
      <c r="G2956" s="582" t="n"/>
      <c r="H2956" s="583" t="n"/>
      <c r="I2956" s="510" t="n"/>
    </row>
    <row r="2957" ht="19.95" customFormat="1" customHeight="1" s="511">
      <c r="A2957" s="277" t="n"/>
      <c r="B2957" s="285" t="n"/>
      <c r="C2957" s="579" t="n"/>
      <c r="D2957" s="580" t="n"/>
      <c r="E2957" s="581" t="n"/>
      <c r="F2957" s="577" t="n"/>
      <c r="G2957" s="582" t="n"/>
      <c r="H2957" s="583" t="n"/>
      <c r="I2957" s="510" t="n"/>
    </row>
    <row r="2958" ht="19.95" customFormat="1" customHeight="1" s="511">
      <c r="A2958" s="277" t="n"/>
      <c r="B2958" s="285" t="n"/>
      <c r="C2958" s="579" t="n"/>
      <c r="D2958" s="580" t="n"/>
      <c r="E2958" s="581" t="n"/>
      <c r="F2958" s="577" t="n"/>
      <c r="G2958" s="582" t="n"/>
      <c r="H2958" s="583" t="n"/>
      <c r="I2958" s="510" t="n"/>
    </row>
    <row r="2959" ht="19.95" customFormat="1" customHeight="1" s="511">
      <c r="A2959" s="277" t="n"/>
      <c r="B2959" s="285" t="n"/>
      <c r="C2959" s="579" t="n"/>
      <c r="D2959" s="580" t="n"/>
      <c r="E2959" s="581" t="n"/>
      <c r="F2959" s="577" t="n"/>
      <c r="G2959" s="582" t="n"/>
      <c r="H2959" s="583" t="n"/>
      <c r="I2959" s="510" t="n"/>
    </row>
    <row r="2960" ht="19.95" customFormat="1" customHeight="1" s="511">
      <c r="A2960" s="277" t="n"/>
      <c r="B2960" s="285" t="n"/>
      <c r="C2960" s="579" t="n"/>
      <c r="D2960" s="580" t="n"/>
      <c r="E2960" s="581" t="n"/>
      <c r="F2960" s="577" t="n"/>
      <c r="G2960" s="582" t="n"/>
      <c r="H2960" s="583" t="n"/>
      <c r="I2960" s="510" t="n"/>
    </row>
    <row r="2961" ht="19.95" customFormat="1" customHeight="1" s="511">
      <c r="A2961" s="277" t="n"/>
      <c r="B2961" s="285" t="n"/>
      <c r="C2961" s="579" t="n"/>
      <c r="D2961" s="580" t="n"/>
      <c r="E2961" s="581" t="n"/>
      <c r="F2961" s="577" t="n"/>
      <c r="G2961" s="582" t="n"/>
      <c r="H2961" s="583" t="n"/>
      <c r="I2961" s="510" t="n"/>
    </row>
    <row r="2962" ht="19.95" customFormat="1" customHeight="1" s="511">
      <c r="A2962" s="277" t="n"/>
      <c r="B2962" s="285" t="n"/>
      <c r="C2962" s="579" t="n"/>
      <c r="D2962" s="580" t="n"/>
      <c r="E2962" s="581" t="n"/>
      <c r="F2962" s="577" t="n"/>
      <c r="G2962" s="582" t="n"/>
      <c r="H2962" s="583" t="n"/>
      <c r="I2962" s="510" t="n"/>
    </row>
    <row r="2963" ht="19.95" customFormat="1" customHeight="1" s="511">
      <c r="A2963" s="277" t="n"/>
      <c r="B2963" s="285" t="n"/>
      <c r="C2963" s="579" t="n"/>
      <c r="D2963" s="580" t="n"/>
      <c r="E2963" s="581" t="n"/>
      <c r="F2963" s="577" t="n"/>
      <c r="G2963" s="582" t="n"/>
      <c r="H2963" s="583" t="n"/>
      <c r="I2963" s="510" t="n"/>
    </row>
    <row r="2964" ht="19.95" customFormat="1" customHeight="1" s="511">
      <c r="A2964" s="277" t="n"/>
      <c r="B2964" s="285" t="n"/>
      <c r="C2964" s="579" t="n"/>
      <c r="D2964" s="580" t="n"/>
      <c r="E2964" s="581" t="n"/>
      <c r="F2964" s="577" t="n"/>
      <c r="G2964" s="582" t="n"/>
      <c r="H2964" s="583" t="n"/>
      <c r="I2964" s="510" t="n"/>
    </row>
    <row r="2965" ht="19.95" customFormat="1" customHeight="1" s="511">
      <c r="A2965" s="277" t="n"/>
      <c r="B2965" s="285" t="n"/>
      <c r="C2965" s="579" t="n"/>
      <c r="D2965" s="580" t="n"/>
      <c r="E2965" s="581" t="n"/>
      <c r="F2965" s="577" t="n"/>
      <c r="G2965" s="582" t="n"/>
      <c r="H2965" s="583" t="n"/>
      <c r="I2965" s="510" t="n"/>
    </row>
    <row r="2966" ht="19.95" customFormat="1" customHeight="1" s="511">
      <c r="A2966" s="277" t="n"/>
      <c r="B2966" s="285" t="n"/>
      <c r="C2966" s="579" t="n"/>
      <c r="D2966" s="580" t="n"/>
      <c r="E2966" s="581" t="n"/>
      <c r="F2966" s="577" t="n"/>
      <c r="G2966" s="582" t="n"/>
      <c r="H2966" s="583" t="n"/>
      <c r="I2966" s="510" t="n"/>
    </row>
    <row r="2967" ht="19.95" customFormat="1" customHeight="1" s="511">
      <c r="A2967" s="277" t="n"/>
      <c r="B2967" s="285" t="n"/>
      <c r="C2967" s="579" t="n"/>
      <c r="D2967" s="580" t="n"/>
      <c r="E2967" s="581" t="n"/>
      <c r="F2967" s="577" t="n"/>
      <c r="G2967" s="582" t="n"/>
      <c r="H2967" s="583" t="n"/>
      <c r="I2967" s="510" t="n"/>
    </row>
    <row r="2968" ht="19.95" customFormat="1" customHeight="1" s="511">
      <c r="A2968" s="277" t="n"/>
      <c r="B2968" s="285" t="n"/>
      <c r="C2968" s="579" t="n"/>
      <c r="D2968" s="580" t="n"/>
      <c r="E2968" s="581" t="n"/>
      <c r="F2968" s="577" t="n"/>
      <c r="G2968" s="582" t="n"/>
      <c r="H2968" s="583" t="n"/>
      <c r="I2968" s="510" t="n"/>
    </row>
    <row r="2969" ht="19.95" customFormat="1" customHeight="1" s="511">
      <c r="A2969" s="277" t="n"/>
      <c r="B2969" s="285" t="n"/>
      <c r="C2969" s="579" t="n"/>
      <c r="D2969" s="580" t="n"/>
      <c r="E2969" s="581" t="n"/>
      <c r="F2969" s="577" t="n"/>
      <c r="G2969" s="582" t="n"/>
      <c r="H2969" s="583" t="n"/>
      <c r="I2969" s="510" t="n"/>
    </row>
    <row r="2970" ht="19.95" customFormat="1" customHeight="1" s="511">
      <c r="A2970" s="277" t="n"/>
      <c r="B2970" s="285" t="n"/>
      <c r="C2970" s="579" t="n"/>
      <c r="D2970" s="580" t="n"/>
      <c r="E2970" s="581" t="n"/>
      <c r="F2970" s="577" t="n"/>
      <c r="G2970" s="582" t="n"/>
      <c r="H2970" s="583" t="n"/>
      <c r="I2970" s="510" t="n"/>
    </row>
    <row r="2971" ht="19.95" customFormat="1" customHeight="1" s="511">
      <c r="A2971" s="277" t="n"/>
      <c r="B2971" s="285" t="n"/>
      <c r="C2971" s="579" t="n"/>
      <c r="D2971" s="580" t="n"/>
      <c r="E2971" s="581" t="n"/>
      <c r="F2971" s="577" t="n"/>
      <c r="G2971" s="582" t="n"/>
      <c r="H2971" s="583" t="n"/>
      <c r="I2971" s="510" t="n"/>
    </row>
    <row r="2972" ht="19.95" customFormat="1" customHeight="1" s="511">
      <c r="A2972" s="277" t="n"/>
      <c r="B2972" s="285" t="n"/>
      <c r="C2972" s="579" t="n"/>
      <c r="D2972" s="580" t="n"/>
      <c r="E2972" s="581" t="n"/>
      <c r="F2972" s="577" t="n"/>
      <c r="G2972" s="582" t="n"/>
      <c r="H2972" s="583" t="n"/>
      <c r="I2972" s="510" t="n"/>
    </row>
    <row r="2973" ht="19.95" customFormat="1" customHeight="1" s="511">
      <c r="A2973" s="277" t="n"/>
      <c r="B2973" s="285" t="n"/>
      <c r="C2973" s="579" t="n"/>
      <c r="D2973" s="580" t="n"/>
      <c r="E2973" s="581" t="n"/>
      <c r="F2973" s="577" t="n"/>
      <c r="G2973" s="582" t="n"/>
      <c r="H2973" s="583" t="n"/>
      <c r="I2973" s="510" t="n"/>
    </row>
    <row r="2974" ht="19.95" customFormat="1" customHeight="1" s="511">
      <c r="A2974" s="277" t="n"/>
      <c r="B2974" s="285" t="n"/>
      <c r="C2974" s="579" t="n"/>
      <c r="D2974" s="580" t="n"/>
      <c r="E2974" s="581" t="n"/>
      <c r="F2974" s="577" t="n"/>
      <c r="G2974" s="582" t="n"/>
      <c r="H2974" s="583" t="n"/>
      <c r="I2974" s="510" t="n"/>
    </row>
    <row r="2975" ht="19.95" customFormat="1" customHeight="1" s="511">
      <c r="A2975" s="277" t="n"/>
      <c r="B2975" s="285" t="n"/>
      <c r="C2975" s="579" t="n"/>
      <c r="D2975" s="580" t="n"/>
      <c r="E2975" s="581" t="n"/>
      <c r="F2975" s="577" t="n"/>
      <c r="G2975" s="582" t="n"/>
      <c r="H2975" s="583" t="n"/>
      <c r="I2975" s="510" t="n"/>
    </row>
    <row r="2976" ht="19.95" customFormat="1" customHeight="1" s="511">
      <c r="A2976" s="277" t="n"/>
      <c r="B2976" s="285" t="n"/>
      <c r="C2976" s="579" t="n"/>
      <c r="D2976" s="580" t="n"/>
      <c r="E2976" s="581" t="n"/>
      <c r="F2976" s="577" t="n"/>
      <c r="G2976" s="582" t="n"/>
      <c r="H2976" s="583" t="n"/>
      <c r="I2976" s="510" t="n"/>
    </row>
    <row r="2977" ht="19.95" customFormat="1" customHeight="1" s="511">
      <c r="A2977" s="277" t="n"/>
      <c r="B2977" s="285" t="n"/>
      <c r="C2977" s="579" t="n"/>
      <c r="D2977" s="580" t="n"/>
      <c r="E2977" s="581" t="n"/>
      <c r="F2977" s="577" t="n"/>
      <c r="G2977" s="582" t="n"/>
      <c r="H2977" s="583" t="n"/>
      <c r="I2977" s="510" t="n"/>
    </row>
    <row r="2978" ht="19.95" customFormat="1" customHeight="1" s="511">
      <c r="A2978" s="277" t="n"/>
      <c r="B2978" s="285" t="n"/>
      <c r="C2978" s="579" t="n"/>
      <c r="D2978" s="580" t="n"/>
      <c r="E2978" s="581" t="n"/>
      <c r="F2978" s="577" t="n"/>
      <c r="G2978" s="582" t="n"/>
      <c r="H2978" s="583" t="n"/>
      <c r="I2978" s="510" t="n"/>
    </row>
    <row r="2979" ht="19.95" customFormat="1" customHeight="1" s="511">
      <c r="A2979" s="277" t="n"/>
      <c r="B2979" s="285" t="n"/>
      <c r="C2979" s="579" t="n"/>
      <c r="D2979" s="580" t="n"/>
      <c r="E2979" s="581" t="n"/>
      <c r="F2979" s="577" t="n"/>
      <c r="G2979" s="582" t="n"/>
      <c r="H2979" s="583" t="n"/>
      <c r="I2979" s="510" t="n"/>
    </row>
    <row r="2980" ht="19.95" customFormat="1" customHeight="1" s="511">
      <c r="A2980" s="277" t="n"/>
      <c r="B2980" s="285" t="n"/>
      <c r="C2980" s="579" t="n"/>
      <c r="D2980" s="580" t="n"/>
      <c r="E2980" s="581" t="n"/>
      <c r="F2980" s="577" t="n"/>
      <c r="G2980" s="582" t="n"/>
      <c r="H2980" s="583" t="n"/>
      <c r="I2980" s="510" t="n"/>
    </row>
    <row r="2981" ht="19.95" customFormat="1" customHeight="1" s="511">
      <c r="A2981" s="277" t="n"/>
      <c r="B2981" s="285" t="n"/>
      <c r="C2981" s="579" t="n"/>
      <c r="D2981" s="580" t="n"/>
      <c r="E2981" s="581" t="n"/>
      <c r="F2981" s="577" t="n"/>
      <c r="G2981" s="582" t="n"/>
      <c r="H2981" s="583" t="n"/>
      <c r="I2981" s="510" t="n"/>
    </row>
    <row r="2982" ht="19.95" customFormat="1" customHeight="1" s="511">
      <c r="A2982" s="277" t="n"/>
      <c r="B2982" s="285" t="n"/>
      <c r="C2982" s="579" t="n"/>
      <c r="D2982" s="580" t="n"/>
      <c r="E2982" s="581" t="n"/>
      <c r="F2982" s="577" t="n"/>
      <c r="G2982" s="582" t="n"/>
      <c r="H2982" s="583" t="n"/>
      <c r="I2982" s="510" t="n"/>
    </row>
    <row r="2983" ht="19.95" customFormat="1" customHeight="1" s="511">
      <c r="A2983" s="277" t="n"/>
      <c r="B2983" s="285" t="n"/>
      <c r="C2983" s="579" t="n"/>
      <c r="D2983" s="580" t="n"/>
      <c r="E2983" s="581" t="n"/>
      <c r="F2983" s="577" t="n"/>
      <c r="G2983" s="582" t="n"/>
      <c r="H2983" s="583" t="n"/>
      <c r="I2983" s="510" t="n"/>
    </row>
    <row r="2984" ht="19.95" customFormat="1" customHeight="1" s="511">
      <c r="A2984" s="277" t="n"/>
      <c r="B2984" s="285" t="n"/>
      <c r="C2984" s="579" t="n"/>
      <c r="D2984" s="580" t="n"/>
      <c r="E2984" s="581" t="n"/>
      <c r="F2984" s="577" t="n"/>
      <c r="G2984" s="582" t="n"/>
      <c r="H2984" s="583" t="n"/>
      <c r="I2984" s="510" t="n"/>
    </row>
    <row r="2985" ht="19.95" customFormat="1" customHeight="1" s="511">
      <c r="A2985" s="277" t="n"/>
      <c r="B2985" s="285" t="n"/>
      <c r="C2985" s="579" t="n"/>
      <c r="D2985" s="580" t="n"/>
      <c r="E2985" s="581" t="n"/>
      <c r="F2985" s="577" t="n"/>
      <c r="G2985" s="582" t="n"/>
      <c r="H2985" s="583" t="n"/>
      <c r="I2985" s="510" t="n"/>
    </row>
    <row r="2986" ht="19.95" customFormat="1" customHeight="1" s="511">
      <c r="A2986" s="277" t="n"/>
      <c r="B2986" s="285" t="n"/>
      <c r="C2986" s="579" t="n"/>
      <c r="D2986" s="580" t="n"/>
      <c r="E2986" s="581" t="n"/>
      <c r="F2986" s="577" t="n"/>
      <c r="G2986" s="582" t="n"/>
      <c r="H2986" s="583" t="n"/>
      <c r="I2986" s="510" t="n"/>
    </row>
    <row r="2987" ht="19.95" customFormat="1" customHeight="1" s="511">
      <c r="A2987" s="277" t="n"/>
      <c r="B2987" s="285" t="n"/>
      <c r="C2987" s="579" t="n"/>
      <c r="D2987" s="580" t="n"/>
      <c r="E2987" s="581" t="n"/>
      <c r="F2987" s="577" t="n"/>
      <c r="G2987" s="582" t="n"/>
      <c r="H2987" s="583" t="n"/>
      <c r="I2987" s="510" t="n"/>
    </row>
    <row r="2988" ht="19.95" customFormat="1" customHeight="1" s="511">
      <c r="A2988" s="277" t="n"/>
      <c r="B2988" s="285" t="n"/>
      <c r="C2988" s="579" t="n"/>
      <c r="D2988" s="580" t="n"/>
      <c r="E2988" s="581" t="n"/>
      <c r="F2988" s="577" t="n"/>
      <c r="G2988" s="582" t="n"/>
      <c r="H2988" s="583" t="n"/>
      <c r="I2988" s="510" t="n"/>
    </row>
    <row r="2989" ht="19.95" customFormat="1" customHeight="1" s="511">
      <c r="A2989" s="277" t="n"/>
      <c r="B2989" s="285" t="n"/>
      <c r="C2989" s="579" t="n"/>
      <c r="D2989" s="580" t="n"/>
      <c r="E2989" s="581" t="n"/>
      <c r="F2989" s="577" t="n"/>
      <c r="G2989" s="582" t="n"/>
      <c r="H2989" s="583" t="n"/>
      <c r="I2989" s="510" t="n"/>
    </row>
    <row r="2990" ht="19.95" customFormat="1" customHeight="1" s="511">
      <c r="A2990" s="277" t="n"/>
      <c r="B2990" s="285" t="n"/>
      <c r="C2990" s="579" t="n"/>
      <c r="D2990" s="580" t="n"/>
      <c r="E2990" s="581" t="n"/>
      <c r="F2990" s="577" t="n"/>
      <c r="G2990" s="582" t="n"/>
      <c r="H2990" s="583" t="n"/>
      <c r="I2990" s="510" t="n"/>
    </row>
    <row r="2991" ht="19.95" customFormat="1" customHeight="1" s="511">
      <c r="A2991" s="277" t="n"/>
      <c r="B2991" s="285" t="n"/>
      <c r="C2991" s="579" t="n"/>
      <c r="D2991" s="580" t="n"/>
      <c r="E2991" s="581" t="n"/>
      <c r="F2991" s="577" t="n"/>
      <c r="G2991" s="582" t="n"/>
      <c r="H2991" s="583" t="n"/>
      <c r="I2991" s="510" t="n"/>
    </row>
    <row r="2992" ht="19.95" customFormat="1" customHeight="1" s="511">
      <c r="A2992" s="277" t="n"/>
      <c r="B2992" s="285" t="n"/>
      <c r="C2992" s="579" t="n"/>
      <c r="D2992" s="580" t="n"/>
      <c r="E2992" s="581" t="n"/>
      <c r="F2992" s="577" t="n"/>
      <c r="G2992" s="582" t="n"/>
      <c r="H2992" s="583" t="n"/>
      <c r="I2992" s="510" t="n"/>
    </row>
    <row r="2993" ht="19.95" customFormat="1" customHeight="1" s="511">
      <c r="A2993" s="277" t="n"/>
      <c r="B2993" s="285" t="n"/>
      <c r="C2993" s="579" t="n"/>
      <c r="D2993" s="580" t="n"/>
      <c r="E2993" s="581" t="n"/>
      <c r="F2993" s="577" t="n"/>
      <c r="G2993" s="582" t="n"/>
      <c r="H2993" s="583" t="n"/>
      <c r="I2993" s="510" t="n"/>
    </row>
    <row r="2994" ht="19.95" customFormat="1" customHeight="1" s="511">
      <c r="A2994" s="277" t="n"/>
      <c r="B2994" s="285" t="n"/>
      <c r="C2994" s="579" t="n"/>
      <c r="D2994" s="580" t="n"/>
      <c r="E2994" s="581" t="n"/>
      <c r="F2994" s="577" t="n"/>
      <c r="G2994" s="582" t="n"/>
      <c r="H2994" s="583" t="n"/>
      <c r="I2994" s="510" t="n"/>
    </row>
    <row r="2995" ht="19.95" customFormat="1" customHeight="1" s="511">
      <c r="A2995" s="277" t="n"/>
      <c r="B2995" s="285" t="n"/>
      <c r="C2995" s="579" t="n"/>
      <c r="D2995" s="580" t="n"/>
      <c r="E2995" s="581" t="n"/>
      <c r="F2995" s="577" t="n"/>
      <c r="G2995" s="582" t="n"/>
      <c r="H2995" s="583" t="n"/>
      <c r="I2995" s="510" t="n"/>
    </row>
    <row r="2996" ht="19.95" customFormat="1" customHeight="1" s="511">
      <c r="A2996" s="277" t="n"/>
      <c r="B2996" s="285" t="n"/>
      <c r="C2996" s="579" t="n"/>
      <c r="D2996" s="580" t="n"/>
      <c r="E2996" s="581" t="n"/>
      <c r="F2996" s="577" t="n"/>
      <c r="G2996" s="582" t="n"/>
      <c r="H2996" s="583" t="n"/>
      <c r="I2996" s="510" t="n"/>
    </row>
    <row r="2997" ht="19.95" customFormat="1" customHeight="1" s="511">
      <c r="A2997" s="277" t="n"/>
      <c r="B2997" s="285" t="n"/>
      <c r="C2997" s="579" t="n"/>
      <c r="D2997" s="580" t="n"/>
      <c r="E2997" s="581" t="n"/>
      <c r="F2997" s="577" t="n"/>
      <c r="G2997" s="582" t="n"/>
      <c r="H2997" s="583" t="n"/>
      <c r="I2997" s="510" t="n"/>
    </row>
    <row r="2998" ht="19.95" customFormat="1" customHeight="1" s="511">
      <c r="A2998" s="277" t="n"/>
      <c r="B2998" s="285" t="n"/>
      <c r="C2998" s="579" t="n"/>
      <c r="D2998" s="580" t="n"/>
      <c r="E2998" s="581" t="n"/>
      <c r="F2998" s="577" t="n"/>
      <c r="G2998" s="582" t="n"/>
      <c r="H2998" s="583" t="n"/>
      <c r="I2998" s="510" t="n"/>
    </row>
    <row r="2999" ht="19.95" customFormat="1" customHeight="1" s="511">
      <c r="A2999" s="277" t="n"/>
      <c r="B2999" s="285" t="n"/>
      <c r="C2999" s="579" t="n"/>
      <c r="D2999" s="580" t="n"/>
      <c r="E2999" s="581" t="n"/>
      <c r="F2999" s="577" t="n"/>
      <c r="G2999" s="582" t="n"/>
      <c r="H2999" s="583" t="n"/>
      <c r="I2999" s="510" t="n"/>
    </row>
    <row r="3000" ht="19.95" customFormat="1" customHeight="1" s="511">
      <c r="A3000" s="277" t="n"/>
      <c r="B3000" s="285" t="n"/>
      <c r="C3000" s="579" t="n"/>
      <c r="D3000" s="580" t="n"/>
      <c r="E3000" s="581" t="n"/>
      <c r="F3000" s="577" t="n"/>
      <c r="G3000" s="582" t="n"/>
      <c r="H3000" s="583" t="n"/>
      <c r="I3000" s="510" t="n"/>
    </row>
    <row r="3001" ht="19.95" customFormat="1" customHeight="1" s="511">
      <c r="A3001" s="277" t="n"/>
      <c r="B3001" s="285" t="n"/>
      <c r="C3001" s="579" t="n"/>
      <c r="D3001" s="580" t="n"/>
      <c r="E3001" s="581" t="n"/>
      <c r="F3001" s="577" t="n"/>
      <c r="G3001" s="582" t="n"/>
      <c r="H3001" s="583" t="n"/>
      <c r="I3001" s="510" t="n"/>
    </row>
    <row r="3002" ht="19.95" customFormat="1" customHeight="1" s="511">
      <c r="A3002" s="277" t="n"/>
      <c r="B3002" s="285" t="n"/>
      <c r="C3002" s="579" t="n"/>
      <c r="D3002" s="580" t="n"/>
      <c r="E3002" s="581" t="n"/>
      <c r="F3002" s="577" t="n"/>
      <c r="G3002" s="582" t="n"/>
      <c r="H3002" s="583" t="n"/>
      <c r="I3002" s="510" t="n"/>
    </row>
    <row r="3003" ht="19.95" customFormat="1" customHeight="1" s="511">
      <c r="A3003" s="277" t="n"/>
      <c r="B3003" s="285" t="n"/>
      <c r="C3003" s="579" t="n"/>
      <c r="D3003" s="580" t="n"/>
      <c r="E3003" s="581" t="n"/>
      <c r="F3003" s="577" t="n"/>
      <c r="G3003" s="582" t="n"/>
      <c r="H3003" s="583" t="n"/>
      <c r="I3003" s="510" t="n"/>
    </row>
    <row r="3004" ht="19.95" customFormat="1" customHeight="1" s="511">
      <c r="A3004" s="277" t="n"/>
      <c r="B3004" s="285" t="n"/>
      <c r="C3004" s="579" t="n"/>
      <c r="D3004" s="580" t="n"/>
      <c r="E3004" s="581" t="n"/>
      <c r="F3004" s="577" t="n"/>
      <c r="G3004" s="582" t="n"/>
      <c r="H3004" s="583" t="n"/>
      <c r="I3004" s="510" t="n"/>
    </row>
    <row r="3005" ht="19.95" customFormat="1" customHeight="1" s="511">
      <c r="A3005" s="277" t="n"/>
      <c r="B3005" s="285" t="n"/>
      <c r="C3005" s="579" t="n"/>
      <c r="D3005" s="580" t="n"/>
      <c r="E3005" s="581" t="n"/>
      <c r="F3005" s="577" t="n"/>
      <c r="G3005" s="582" t="n"/>
      <c r="H3005" s="583" t="n"/>
      <c r="I3005" s="510" t="n"/>
    </row>
    <row r="3006" ht="19.95" customFormat="1" customHeight="1" s="511">
      <c r="A3006" s="277" t="n"/>
      <c r="B3006" s="285" t="n"/>
      <c r="C3006" s="579" t="n"/>
      <c r="D3006" s="580" t="n"/>
      <c r="E3006" s="581" t="n"/>
      <c r="F3006" s="577" t="n"/>
      <c r="G3006" s="582" t="n"/>
      <c r="H3006" s="583" t="n"/>
      <c r="I3006" s="510" t="n"/>
    </row>
    <row r="3007" ht="19.95" customFormat="1" customHeight="1" s="511">
      <c r="A3007" s="277" t="n"/>
      <c r="B3007" s="285" t="n"/>
      <c r="C3007" s="579" t="n"/>
      <c r="D3007" s="580" t="n"/>
      <c r="E3007" s="581" t="n"/>
      <c r="F3007" s="577" t="n"/>
      <c r="G3007" s="582" t="n"/>
      <c r="H3007" s="583" t="n"/>
      <c r="I3007" s="510" t="n"/>
    </row>
    <row r="3008" ht="19.95" customFormat="1" customHeight="1" s="511">
      <c r="A3008" s="277" t="n"/>
      <c r="B3008" s="285" t="n"/>
      <c r="C3008" s="579" t="n"/>
      <c r="D3008" s="580" t="n"/>
      <c r="E3008" s="581" t="n"/>
      <c r="F3008" s="577" t="n"/>
      <c r="G3008" s="582" t="n"/>
      <c r="H3008" s="583" t="n"/>
      <c r="I3008" s="510" t="n"/>
    </row>
    <row r="3009" ht="19.95" customFormat="1" customHeight="1" s="511">
      <c r="A3009" s="277" t="n"/>
      <c r="B3009" s="285" t="n"/>
      <c r="C3009" s="579" t="n"/>
      <c r="D3009" s="580" t="n"/>
      <c r="E3009" s="581" t="n"/>
      <c r="F3009" s="577" t="n"/>
      <c r="G3009" s="582" t="n"/>
      <c r="H3009" s="583" t="n"/>
      <c r="I3009" s="510" t="n"/>
    </row>
    <row r="3010" ht="19.95" customFormat="1" customHeight="1" s="511">
      <c r="A3010" s="277" t="n"/>
      <c r="B3010" s="285" t="n"/>
      <c r="C3010" s="579" t="n"/>
      <c r="D3010" s="580" t="n"/>
      <c r="E3010" s="581" t="n"/>
      <c r="F3010" s="577" t="n"/>
      <c r="G3010" s="582" t="n"/>
      <c r="H3010" s="583" t="n"/>
      <c r="I3010" s="510" t="n"/>
    </row>
    <row r="3011" ht="19.95" customFormat="1" customHeight="1" s="511">
      <c r="A3011" s="277" t="n"/>
      <c r="B3011" s="285" t="n"/>
      <c r="C3011" s="579" t="n"/>
      <c r="D3011" s="580" t="n"/>
      <c r="E3011" s="581" t="n"/>
      <c r="F3011" s="577" t="n"/>
      <c r="G3011" s="582" t="n"/>
      <c r="H3011" s="583" t="n"/>
      <c r="I3011" s="510" t="n"/>
    </row>
    <row r="3012" ht="19.95" customFormat="1" customHeight="1" s="511">
      <c r="A3012" s="277" t="n"/>
      <c r="B3012" s="285" t="n"/>
      <c r="C3012" s="579" t="n"/>
      <c r="D3012" s="580" t="n"/>
      <c r="E3012" s="581" t="n"/>
      <c r="F3012" s="577" t="n"/>
      <c r="G3012" s="582" t="n"/>
      <c r="H3012" s="583" t="n"/>
      <c r="I3012" s="510" t="n"/>
    </row>
    <row r="3013" ht="19.95" customFormat="1" customHeight="1" s="511">
      <c r="A3013" s="277" t="n"/>
      <c r="B3013" s="285" t="n"/>
      <c r="C3013" s="579" t="n"/>
      <c r="D3013" s="580" t="n"/>
      <c r="E3013" s="581" t="n"/>
      <c r="F3013" s="577" t="n"/>
      <c r="G3013" s="582" t="n"/>
      <c r="H3013" s="583" t="n"/>
      <c r="I3013" s="510" t="n"/>
    </row>
    <row r="3014" ht="19.95" customFormat="1" customHeight="1" s="511">
      <c r="A3014" s="277" t="n"/>
      <c r="B3014" s="285" t="n"/>
      <c r="C3014" s="579" t="n"/>
      <c r="D3014" s="580" t="n"/>
      <c r="E3014" s="581" t="n"/>
      <c r="F3014" s="577" t="n"/>
      <c r="G3014" s="582" t="n"/>
      <c r="H3014" s="583" t="n"/>
      <c r="I3014" s="510" t="n"/>
    </row>
    <row r="3015" ht="19.95" customFormat="1" customHeight="1" s="511">
      <c r="A3015" s="277" t="n"/>
      <c r="B3015" s="285" t="n"/>
      <c r="C3015" s="579" t="n"/>
      <c r="D3015" s="580" t="n"/>
      <c r="E3015" s="581" t="n"/>
      <c r="F3015" s="577" t="n"/>
      <c r="G3015" s="582" t="n"/>
      <c r="H3015" s="583" t="n"/>
      <c r="I3015" s="510" t="n"/>
    </row>
    <row r="3016" ht="19.95" customFormat="1" customHeight="1" s="511">
      <c r="A3016" s="277" t="n"/>
      <c r="B3016" s="285" t="n"/>
      <c r="C3016" s="579" t="n"/>
      <c r="D3016" s="580" t="n"/>
      <c r="E3016" s="581" t="n"/>
      <c r="F3016" s="577" t="n"/>
      <c r="G3016" s="582" t="n"/>
      <c r="H3016" s="583" t="n"/>
      <c r="I3016" s="510" t="n"/>
    </row>
    <row r="3017" ht="19.95" customFormat="1" customHeight="1" s="511">
      <c r="A3017" s="277" t="n"/>
      <c r="B3017" s="285" t="n"/>
      <c r="C3017" s="579" t="n"/>
      <c r="D3017" s="580" t="n"/>
      <c r="E3017" s="581" t="n"/>
      <c r="F3017" s="577" t="n"/>
      <c r="G3017" s="582" t="n"/>
      <c r="H3017" s="583" t="n"/>
      <c r="I3017" s="510" t="n"/>
    </row>
    <row r="3018" ht="19.95" customFormat="1" customHeight="1" s="511">
      <c r="A3018" s="277" t="n"/>
      <c r="B3018" s="285" t="n"/>
      <c r="C3018" s="579" t="n"/>
      <c r="D3018" s="580" t="n"/>
      <c r="E3018" s="581" t="n"/>
      <c r="F3018" s="577" t="n"/>
      <c r="G3018" s="582" t="n"/>
      <c r="H3018" s="583" t="n"/>
      <c r="I3018" s="510" t="n"/>
    </row>
    <row r="3019" ht="19.95" customFormat="1" customHeight="1" s="511">
      <c r="A3019" s="277" t="n"/>
      <c r="B3019" s="285" t="n"/>
      <c r="C3019" s="579" t="n"/>
      <c r="D3019" s="580" t="n"/>
      <c r="E3019" s="581" t="n"/>
      <c r="F3019" s="577" t="n"/>
      <c r="G3019" s="582" t="n"/>
      <c r="H3019" s="583" t="n"/>
      <c r="I3019" s="510" t="n"/>
    </row>
    <row r="3020" ht="19.95" customFormat="1" customHeight="1" s="511">
      <c r="A3020" s="277" t="n"/>
      <c r="B3020" s="285" t="n"/>
      <c r="C3020" s="579" t="n"/>
      <c r="D3020" s="580" t="n"/>
      <c r="E3020" s="581" t="n"/>
      <c r="F3020" s="577" t="n"/>
      <c r="G3020" s="582" t="n"/>
      <c r="H3020" s="583" t="n"/>
      <c r="I3020" s="510" t="n"/>
    </row>
    <row r="3021" ht="19.95" customFormat="1" customHeight="1" s="511">
      <c r="A3021" s="277" t="n"/>
      <c r="B3021" s="285" t="n"/>
      <c r="C3021" s="579" t="n"/>
      <c r="D3021" s="580" t="n"/>
      <c r="E3021" s="581" t="n"/>
      <c r="F3021" s="577" t="n"/>
      <c r="G3021" s="582" t="n"/>
      <c r="H3021" s="583" t="n"/>
      <c r="I3021" s="510" t="n"/>
    </row>
    <row r="3022" ht="19.95" customFormat="1" customHeight="1" s="511">
      <c r="A3022" s="277" t="n"/>
      <c r="B3022" s="285" t="n"/>
      <c r="C3022" s="579" t="n"/>
      <c r="D3022" s="580" t="n"/>
      <c r="E3022" s="581" t="n"/>
      <c r="F3022" s="577" t="n"/>
      <c r="G3022" s="582" t="n"/>
      <c r="H3022" s="583" t="n"/>
      <c r="I3022" s="510" t="n"/>
    </row>
    <row r="3023" ht="19.95" customFormat="1" customHeight="1" s="511">
      <c r="A3023" s="277" t="n"/>
      <c r="B3023" s="285" t="n"/>
      <c r="C3023" s="579" t="n"/>
      <c r="D3023" s="580" t="n"/>
      <c r="E3023" s="581" t="n"/>
      <c r="F3023" s="577" t="n"/>
      <c r="G3023" s="582" t="n"/>
      <c r="H3023" s="583" t="n"/>
      <c r="I3023" s="510" t="n"/>
    </row>
    <row r="3024" ht="19.95" customFormat="1" customHeight="1" s="511">
      <c r="A3024" s="277" t="n"/>
      <c r="B3024" s="285" t="n"/>
      <c r="C3024" s="579" t="n"/>
      <c r="D3024" s="580" t="n"/>
      <c r="E3024" s="581" t="n"/>
      <c r="F3024" s="577" t="n"/>
      <c r="G3024" s="582" t="n"/>
      <c r="H3024" s="583" t="n"/>
      <c r="I3024" s="510" t="n"/>
    </row>
    <row r="3025" ht="19.95" customFormat="1" customHeight="1" s="511">
      <c r="A3025" s="277" t="n"/>
      <c r="B3025" s="285" t="n"/>
      <c r="C3025" s="579" t="n"/>
      <c r="D3025" s="580" t="n"/>
      <c r="E3025" s="581" t="n"/>
      <c r="F3025" s="577" t="n"/>
      <c r="G3025" s="582" t="n"/>
      <c r="H3025" s="583" t="n"/>
      <c r="I3025" s="510" t="n"/>
    </row>
    <row r="3026" ht="19.95" customFormat="1" customHeight="1" s="511">
      <c r="A3026" s="277" t="n"/>
      <c r="B3026" s="285" t="n"/>
      <c r="C3026" s="579" t="n"/>
      <c r="D3026" s="580" t="n"/>
      <c r="E3026" s="581" t="n"/>
      <c r="F3026" s="577" t="n"/>
      <c r="G3026" s="582" t="n"/>
      <c r="H3026" s="583" t="n"/>
      <c r="I3026" s="510" t="n"/>
    </row>
    <row r="3027" ht="19.95" customFormat="1" customHeight="1" s="511">
      <c r="A3027" s="277" t="n"/>
      <c r="B3027" s="285" t="n"/>
      <c r="C3027" s="579" t="n"/>
      <c r="D3027" s="580" t="n"/>
      <c r="E3027" s="581" t="n"/>
      <c r="F3027" s="577" t="n"/>
      <c r="G3027" s="582" t="n"/>
      <c r="H3027" s="583" t="n"/>
      <c r="I3027" s="510" t="n"/>
    </row>
    <row r="3028" ht="19.95" customFormat="1" customHeight="1" s="511">
      <c r="A3028" s="277" t="n"/>
      <c r="B3028" s="285" t="n"/>
      <c r="C3028" s="579" t="n"/>
      <c r="D3028" s="580" t="n"/>
      <c r="E3028" s="581" t="n"/>
      <c r="F3028" s="577" t="n"/>
      <c r="G3028" s="582" t="n"/>
      <c r="H3028" s="583" t="n"/>
      <c r="I3028" s="510" t="n"/>
    </row>
    <row r="3029" ht="19.95" customFormat="1" customHeight="1" s="511">
      <c r="A3029" s="277" t="n"/>
      <c r="B3029" s="285" t="n"/>
      <c r="C3029" s="579" t="n"/>
      <c r="D3029" s="580" t="n"/>
      <c r="E3029" s="581" t="n"/>
      <c r="F3029" s="577" t="n"/>
      <c r="G3029" s="582" t="n"/>
      <c r="H3029" s="583" t="n"/>
      <c r="I3029" s="510" t="n"/>
    </row>
    <row r="3030" ht="19.95" customFormat="1" customHeight="1" s="511">
      <c r="A3030" s="277" t="n"/>
      <c r="B3030" s="285" t="n"/>
      <c r="C3030" s="579" t="n"/>
      <c r="D3030" s="580" t="n"/>
      <c r="E3030" s="581" t="n"/>
      <c r="F3030" s="577" t="n"/>
      <c r="G3030" s="582" t="n"/>
      <c r="H3030" s="583" t="n"/>
      <c r="I3030" s="510" t="n"/>
    </row>
    <row r="3031" ht="19.95" customFormat="1" customHeight="1" s="511">
      <c r="A3031" s="277" t="n"/>
      <c r="B3031" s="285" t="n"/>
      <c r="C3031" s="579" t="n"/>
      <c r="D3031" s="580" t="n"/>
      <c r="E3031" s="581" t="n"/>
      <c r="F3031" s="577" t="n"/>
      <c r="G3031" s="582" t="n"/>
      <c r="H3031" s="583" t="n"/>
      <c r="I3031" s="510" t="n"/>
    </row>
    <row r="3032" ht="19.95" customFormat="1" customHeight="1" s="511">
      <c r="A3032" s="277" t="n"/>
      <c r="B3032" s="285" t="n"/>
      <c r="C3032" s="579" t="n"/>
      <c r="D3032" s="580" t="n"/>
      <c r="E3032" s="581" t="n"/>
      <c r="F3032" s="577" t="n"/>
      <c r="G3032" s="582" t="n"/>
      <c r="H3032" s="583" t="n"/>
      <c r="I3032" s="510" t="n"/>
    </row>
    <row r="3033" ht="19.95" customFormat="1" customHeight="1" s="511">
      <c r="A3033" s="277" t="n"/>
      <c r="B3033" s="285" t="n"/>
      <c r="C3033" s="579" t="n"/>
      <c r="D3033" s="580" t="n"/>
      <c r="E3033" s="581" t="n"/>
      <c r="F3033" s="577" t="n"/>
      <c r="G3033" s="582" t="n"/>
      <c r="H3033" s="583" t="n"/>
      <c r="I3033" s="510" t="n"/>
    </row>
    <row r="3034" ht="19.95" customFormat="1" customHeight="1" s="511">
      <c r="A3034" s="277" t="n"/>
      <c r="B3034" s="285" t="n"/>
      <c r="C3034" s="579" t="n"/>
      <c r="D3034" s="580" t="n"/>
      <c r="E3034" s="581" t="n"/>
      <c r="F3034" s="577" t="n"/>
      <c r="G3034" s="582" t="n"/>
      <c r="H3034" s="583" t="n"/>
      <c r="I3034" s="510" t="n"/>
    </row>
    <row r="3035" ht="19.95" customFormat="1" customHeight="1" s="511">
      <c r="A3035" s="277" t="n"/>
      <c r="B3035" s="285" t="n"/>
      <c r="C3035" s="579" t="n"/>
      <c r="D3035" s="580" t="n"/>
      <c r="E3035" s="581" t="n"/>
      <c r="F3035" s="577" t="n"/>
      <c r="G3035" s="582" t="n"/>
      <c r="H3035" s="583" t="n"/>
      <c r="I3035" s="510" t="n"/>
    </row>
    <row r="3036" ht="19.95" customFormat="1" customHeight="1" s="511">
      <c r="A3036" s="277" t="n"/>
      <c r="B3036" s="285" t="n"/>
      <c r="C3036" s="579" t="n"/>
      <c r="D3036" s="580" t="n"/>
      <c r="E3036" s="581" t="n"/>
      <c r="F3036" s="577" t="n"/>
      <c r="G3036" s="582" t="n"/>
      <c r="H3036" s="583" t="n"/>
      <c r="I3036" s="510" t="n"/>
    </row>
    <row r="3037" ht="19.95" customFormat="1" customHeight="1" s="511">
      <c r="A3037" s="277" t="n"/>
      <c r="B3037" s="285" t="n"/>
      <c r="C3037" s="579" t="n"/>
      <c r="D3037" s="580" t="n"/>
      <c r="E3037" s="581" t="n"/>
      <c r="F3037" s="577" t="n"/>
      <c r="G3037" s="582" t="n"/>
      <c r="H3037" s="583" t="n"/>
      <c r="I3037" s="510" t="n"/>
    </row>
    <row r="3038" ht="19.95" customFormat="1" customHeight="1" s="511">
      <c r="A3038" s="277" t="n"/>
      <c r="B3038" s="285" t="n"/>
      <c r="C3038" s="579" t="n"/>
      <c r="D3038" s="580" t="n"/>
      <c r="E3038" s="581" t="n"/>
      <c r="F3038" s="577" t="n"/>
      <c r="G3038" s="582" t="n"/>
      <c r="H3038" s="583" t="n"/>
      <c r="I3038" s="510" t="n"/>
    </row>
    <row r="3039" ht="19.95" customFormat="1" customHeight="1" s="511">
      <c r="A3039" s="277" t="n"/>
      <c r="B3039" s="285" t="n"/>
      <c r="C3039" s="579" t="n"/>
      <c r="D3039" s="580" t="n"/>
      <c r="E3039" s="581" t="n"/>
      <c r="F3039" s="577" t="n"/>
      <c r="G3039" s="582" t="n"/>
      <c r="H3039" s="583" t="n"/>
      <c r="I3039" s="510" t="n"/>
    </row>
    <row r="3040" ht="19.95" customFormat="1" customHeight="1" s="511">
      <c r="A3040" s="277" t="n"/>
      <c r="B3040" s="285" t="n"/>
      <c r="C3040" s="579" t="n"/>
      <c r="D3040" s="580" t="n"/>
      <c r="E3040" s="581" t="n"/>
      <c r="F3040" s="577" t="n"/>
      <c r="G3040" s="582" t="n"/>
      <c r="H3040" s="583" t="n"/>
      <c r="I3040" s="510" t="n"/>
    </row>
    <row r="3041" ht="19.95" customFormat="1" customHeight="1" s="511">
      <c r="A3041" s="277" t="n"/>
      <c r="B3041" s="285" t="n"/>
      <c r="C3041" s="579" t="n"/>
      <c r="D3041" s="580" t="n"/>
      <c r="E3041" s="581" t="n"/>
      <c r="F3041" s="577" t="n"/>
      <c r="G3041" s="582" t="n"/>
      <c r="H3041" s="583" t="n"/>
      <c r="I3041" s="510" t="n"/>
    </row>
    <row r="3042" ht="19.95" customFormat="1" customHeight="1" s="511">
      <c r="A3042" s="277" t="n"/>
      <c r="B3042" s="285" t="n"/>
      <c r="C3042" s="579" t="n"/>
      <c r="D3042" s="580" t="n"/>
      <c r="E3042" s="581" t="n"/>
      <c r="F3042" s="577" t="n"/>
      <c r="G3042" s="582" t="n"/>
      <c r="H3042" s="583" t="n"/>
      <c r="I3042" s="510" t="n"/>
    </row>
    <row r="3043" ht="19.95" customFormat="1" customHeight="1" s="511">
      <c r="A3043" s="277" t="n"/>
      <c r="B3043" s="285" t="n"/>
      <c r="C3043" s="579" t="n"/>
      <c r="D3043" s="580" t="n"/>
      <c r="E3043" s="581" t="n"/>
      <c r="F3043" s="577" t="n"/>
      <c r="G3043" s="582" t="n"/>
      <c r="H3043" s="583" t="n"/>
      <c r="I3043" s="510" t="n"/>
    </row>
    <row r="3044" ht="19.95" customFormat="1" customHeight="1" s="511">
      <c r="A3044" s="277" t="n"/>
      <c r="B3044" s="285" t="n"/>
      <c r="C3044" s="579" t="n"/>
      <c r="D3044" s="580" t="n"/>
      <c r="E3044" s="581" t="n"/>
      <c r="F3044" s="577" t="n"/>
      <c r="G3044" s="582" t="n"/>
      <c r="H3044" s="583" t="n"/>
      <c r="I3044" s="510" t="n"/>
    </row>
    <row r="3045" ht="19.95" customFormat="1" customHeight="1" s="511">
      <c r="A3045" s="277" t="n"/>
      <c r="B3045" s="285" t="n"/>
      <c r="C3045" s="579" t="n"/>
      <c r="D3045" s="580" t="n"/>
      <c r="E3045" s="581" t="n"/>
      <c r="F3045" s="577" t="n"/>
      <c r="G3045" s="582" t="n"/>
      <c r="H3045" s="583" t="n"/>
      <c r="I3045" s="510" t="n"/>
    </row>
    <row r="3046" ht="19.95" customFormat="1" customHeight="1" s="511">
      <c r="A3046" s="277" t="n"/>
      <c r="B3046" s="285" t="n"/>
      <c r="C3046" s="579" t="n"/>
      <c r="D3046" s="580" t="n"/>
      <c r="E3046" s="581" t="n"/>
      <c r="F3046" s="577" t="n"/>
      <c r="G3046" s="582" t="n"/>
      <c r="H3046" s="583" t="n"/>
      <c r="I3046" s="510" t="n"/>
    </row>
    <row r="3047" ht="19.95" customFormat="1" customHeight="1" s="511">
      <c r="A3047" s="277" t="n"/>
      <c r="B3047" s="285" t="n"/>
      <c r="C3047" s="579" t="n"/>
      <c r="D3047" s="580" t="n"/>
      <c r="E3047" s="581" t="n"/>
      <c r="F3047" s="577" t="n"/>
      <c r="G3047" s="582" t="n"/>
      <c r="H3047" s="583" t="n"/>
      <c r="I3047" s="510" t="n"/>
    </row>
    <row r="3048" ht="19.95" customFormat="1" customHeight="1" s="511">
      <c r="A3048" s="277" t="n"/>
      <c r="B3048" s="285" t="n"/>
      <c r="C3048" s="579" t="n"/>
      <c r="D3048" s="580" t="n"/>
      <c r="E3048" s="581" t="n"/>
      <c r="F3048" s="577" t="n"/>
      <c r="G3048" s="582" t="n"/>
      <c r="H3048" s="583" t="n"/>
      <c r="I3048" s="510" t="n"/>
    </row>
    <row r="3049" ht="19.95" customFormat="1" customHeight="1" s="511">
      <c r="A3049" s="277" t="n"/>
      <c r="B3049" s="285" t="n"/>
      <c r="C3049" s="579" t="n"/>
      <c r="D3049" s="580" t="n"/>
      <c r="E3049" s="581" t="n"/>
      <c r="F3049" s="577" t="n"/>
      <c r="G3049" s="582" t="n"/>
      <c r="H3049" s="583" t="n"/>
      <c r="I3049" s="510" t="n"/>
    </row>
    <row r="3050" ht="19.95" customFormat="1" customHeight="1" s="511">
      <c r="A3050" s="277" t="n"/>
      <c r="B3050" s="285" t="n"/>
      <c r="C3050" s="579" t="n"/>
      <c r="D3050" s="580" t="n"/>
      <c r="E3050" s="581" t="n"/>
      <c r="F3050" s="577" t="n"/>
      <c r="G3050" s="582" t="n"/>
      <c r="H3050" s="583" t="n"/>
      <c r="I3050" s="510" t="n"/>
    </row>
    <row r="3051" ht="19.95" customFormat="1" customHeight="1" s="511">
      <c r="A3051" s="277" t="n"/>
      <c r="B3051" s="285" t="n"/>
      <c r="C3051" s="579" t="n"/>
      <c r="D3051" s="580" t="n"/>
      <c r="E3051" s="581" t="n"/>
      <c r="F3051" s="577" t="n"/>
      <c r="G3051" s="582" t="n"/>
      <c r="H3051" s="583" t="n"/>
      <c r="I3051" s="510" t="n"/>
    </row>
    <row r="3052" ht="19.95" customFormat="1" customHeight="1" s="511">
      <c r="A3052" s="277" t="n"/>
      <c r="B3052" s="285" t="n"/>
      <c r="C3052" s="579" t="n"/>
      <c r="D3052" s="580" t="n"/>
      <c r="E3052" s="581" t="n"/>
      <c r="F3052" s="577" t="n"/>
      <c r="G3052" s="582" t="n"/>
      <c r="H3052" s="583" t="n"/>
      <c r="I3052" s="510" t="n"/>
    </row>
    <row r="3053" ht="19.95" customFormat="1" customHeight="1" s="511">
      <c r="A3053" s="277" t="n"/>
      <c r="B3053" s="285" t="n"/>
      <c r="C3053" s="579" t="n"/>
      <c r="D3053" s="580" t="n"/>
      <c r="E3053" s="581" t="n"/>
      <c r="F3053" s="577" t="n"/>
      <c r="G3053" s="582" t="n"/>
      <c r="H3053" s="583" t="n"/>
      <c r="I3053" s="510" t="n"/>
    </row>
    <row r="3054" ht="19.95" customFormat="1" customHeight="1" s="511">
      <c r="A3054" s="277" t="n"/>
      <c r="B3054" s="285" t="n"/>
      <c r="C3054" s="579" t="n"/>
      <c r="D3054" s="580" t="n"/>
      <c r="E3054" s="581" t="n"/>
      <c r="F3054" s="577" t="n"/>
      <c r="G3054" s="582" t="n"/>
      <c r="H3054" s="583" t="n"/>
      <c r="I3054" s="510" t="n"/>
    </row>
    <row r="3055" ht="19.95" customFormat="1" customHeight="1" s="511">
      <c r="A3055" s="277" t="n"/>
      <c r="B3055" s="285" t="n"/>
      <c r="C3055" s="579" t="n"/>
      <c r="D3055" s="580" t="n"/>
      <c r="E3055" s="581" t="n"/>
      <c r="F3055" s="577" t="n"/>
      <c r="G3055" s="582" t="n"/>
      <c r="H3055" s="583" t="n"/>
      <c r="I3055" s="510" t="n"/>
    </row>
    <row r="3056" ht="19.95" customFormat="1" customHeight="1" s="511">
      <c r="A3056" s="277" t="n"/>
      <c r="B3056" s="285" t="n"/>
      <c r="C3056" s="579" t="n"/>
      <c r="D3056" s="580" t="n"/>
      <c r="E3056" s="581" t="n"/>
      <c r="F3056" s="577" t="n"/>
      <c r="G3056" s="582" t="n"/>
      <c r="H3056" s="583" t="n"/>
      <c r="I3056" s="510" t="n"/>
    </row>
    <row r="3057" ht="19.95" customFormat="1" customHeight="1" s="511">
      <c r="A3057" s="277" t="n"/>
      <c r="B3057" s="285" t="n"/>
      <c r="C3057" s="579" t="n"/>
      <c r="D3057" s="580" t="n"/>
      <c r="E3057" s="581" t="n"/>
      <c r="F3057" s="577" t="n"/>
      <c r="G3057" s="582" t="n"/>
      <c r="H3057" s="583" t="n"/>
      <c r="I3057" s="510" t="n"/>
    </row>
    <row r="3058" ht="19.95" customFormat="1" customHeight="1" s="511">
      <c r="A3058" s="277" t="n"/>
      <c r="B3058" s="285" t="n"/>
      <c r="C3058" s="579" t="n"/>
      <c r="D3058" s="580" t="n"/>
      <c r="E3058" s="581" t="n"/>
      <c r="F3058" s="577" t="n"/>
      <c r="G3058" s="582" t="n"/>
      <c r="H3058" s="583" t="n"/>
      <c r="I3058" s="510" t="n"/>
    </row>
    <row r="3059" ht="19.95" customFormat="1" customHeight="1" s="511">
      <c r="A3059" s="277" t="n"/>
      <c r="B3059" s="285" t="n"/>
      <c r="C3059" s="579" t="n"/>
      <c r="D3059" s="580" t="n"/>
      <c r="E3059" s="581" t="n"/>
      <c r="F3059" s="577" t="n"/>
      <c r="G3059" s="582" t="n"/>
      <c r="H3059" s="583" t="n"/>
      <c r="I3059" s="510" t="n"/>
    </row>
    <row r="3060" ht="19.95" customFormat="1" customHeight="1" s="511">
      <c r="A3060" s="277" t="n"/>
      <c r="B3060" s="285" t="n"/>
      <c r="C3060" s="579" t="n"/>
      <c r="D3060" s="580" t="n"/>
      <c r="E3060" s="581" t="n"/>
      <c r="F3060" s="577" t="n"/>
      <c r="G3060" s="582" t="n"/>
      <c r="H3060" s="583" t="n"/>
      <c r="I3060" s="510" t="n"/>
    </row>
    <row r="3061" ht="19.95" customFormat="1" customHeight="1" s="511">
      <c r="A3061" s="277" t="n"/>
      <c r="B3061" s="285" t="n"/>
      <c r="C3061" s="579" t="n"/>
      <c r="D3061" s="580" t="n"/>
      <c r="E3061" s="581" t="n"/>
      <c r="F3061" s="577" t="n"/>
      <c r="G3061" s="582" t="n"/>
      <c r="H3061" s="583" t="n"/>
      <c r="I3061" s="510" t="n"/>
    </row>
    <row r="3062" ht="19.95" customFormat="1" customHeight="1" s="511">
      <c r="A3062" s="277" t="n"/>
      <c r="B3062" s="285" t="n"/>
      <c r="C3062" s="579" t="n"/>
      <c r="D3062" s="580" t="n"/>
      <c r="E3062" s="581" t="n"/>
      <c r="F3062" s="577" t="n"/>
      <c r="G3062" s="582" t="n"/>
      <c r="H3062" s="583" t="n"/>
      <c r="I3062" s="510" t="n"/>
    </row>
    <row r="3063" ht="19.95" customFormat="1" customHeight="1" s="511">
      <c r="A3063" s="277" t="n"/>
      <c r="B3063" s="285" t="n"/>
      <c r="C3063" s="579" t="n"/>
      <c r="D3063" s="580" t="n"/>
      <c r="E3063" s="581" t="n"/>
      <c r="F3063" s="577" t="n"/>
      <c r="G3063" s="582" t="n"/>
      <c r="H3063" s="583" t="n"/>
      <c r="I3063" s="510" t="n"/>
    </row>
    <row r="3064" ht="19.95" customFormat="1" customHeight="1" s="511">
      <c r="A3064" s="277" t="n"/>
      <c r="B3064" s="285" t="n"/>
      <c r="C3064" s="579" t="n"/>
      <c r="D3064" s="580" t="n"/>
      <c r="E3064" s="581" t="n"/>
      <c r="F3064" s="577" t="n"/>
      <c r="G3064" s="582" t="n"/>
      <c r="H3064" s="583" t="n"/>
      <c r="I3064" s="510" t="n"/>
    </row>
    <row r="3065" ht="19.95" customFormat="1" customHeight="1" s="511">
      <c r="A3065" s="277" t="n"/>
      <c r="B3065" s="285" t="n"/>
      <c r="C3065" s="579" t="n"/>
      <c r="D3065" s="580" t="n"/>
      <c r="E3065" s="581" t="n"/>
      <c r="F3065" s="577" t="n"/>
      <c r="G3065" s="582" t="n"/>
      <c r="H3065" s="583" t="n"/>
      <c r="I3065" s="510" t="n"/>
    </row>
    <row r="3066" ht="19.95" customFormat="1" customHeight="1" s="511">
      <c r="A3066" s="277" t="n"/>
      <c r="B3066" s="285" t="n"/>
      <c r="C3066" s="579" t="n"/>
      <c r="D3066" s="580" t="n"/>
      <c r="E3066" s="581" t="n"/>
      <c r="F3066" s="577" t="n"/>
      <c r="G3066" s="582" t="n"/>
      <c r="H3066" s="583" t="n"/>
      <c r="I3066" s="510" t="n"/>
    </row>
    <row r="3067" ht="19.95" customFormat="1" customHeight="1" s="511">
      <c r="A3067" s="277" t="n"/>
      <c r="B3067" s="285" t="n"/>
      <c r="C3067" s="579" t="n"/>
      <c r="D3067" s="580" t="n"/>
      <c r="E3067" s="581" t="n"/>
      <c r="F3067" s="577" t="n"/>
      <c r="G3067" s="582" t="n"/>
      <c r="H3067" s="583" t="n"/>
      <c r="I3067" s="510" t="n"/>
    </row>
    <row r="3068" ht="19.95" customFormat="1" customHeight="1" s="511">
      <c r="A3068" s="277" t="n"/>
      <c r="B3068" s="285" t="n"/>
      <c r="C3068" s="579" t="n"/>
      <c r="D3068" s="580" t="n"/>
      <c r="E3068" s="581" t="n"/>
      <c r="F3068" s="577" t="n"/>
      <c r="G3068" s="582" t="n"/>
      <c r="H3068" s="583" t="n"/>
      <c r="I3068" s="510" t="n"/>
    </row>
    <row r="3069" ht="19.95" customFormat="1" customHeight="1" s="511">
      <c r="A3069" s="277" t="n"/>
      <c r="B3069" s="285" t="n"/>
      <c r="C3069" s="579" t="n"/>
      <c r="D3069" s="580" t="n"/>
      <c r="E3069" s="581" t="n"/>
      <c r="F3069" s="577" t="n"/>
      <c r="G3069" s="582" t="n"/>
      <c r="H3069" s="583" t="n"/>
      <c r="I3069" s="510" t="n"/>
    </row>
    <row r="3070" ht="19.95" customFormat="1" customHeight="1" s="511">
      <c r="A3070" s="277" t="n"/>
      <c r="B3070" s="285" t="n"/>
      <c r="C3070" s="579" t="n"/>
      <c r="D3070" s="580" t="n"/>
      <c r="E3070" s="581" t="n"/>
      <c r="F3070" s="577" t="n"/>
      <c r="G3070" s="582" t="n"/>
      <c r="H3070" s="583" t="n"/>
      <c r="I3070" s="510" t="n"/>
    </row>
    <row r="3071" ht="19.95" customFormat="1" customHeight="1" s="511">
      <c r="A3071" s="277" t="n"/>
      <c r="B3071" s="285" t="n"/>
      <c r="C3071" s="579" t="n"/>
      <c r="D3071" s="580" t="n"/>
      <c r="E3071" s="581" t="n"/>
      <c r="F3071" s="577" t="n"/>
      <c r="G3071" s="582" t="n"/>
      <c r="H3071" s="583" t="n"/>
      <c r="I3071" s="510" t="n"/>
    </row>
    <row r="3072" ht="19.95" customFormat="1" customHeight="1" s="511">
      <c r="A3072" s="277" t="n"/>
      <c r="B3072" s="285" t="n"/>
      <c r="C3072" s="579" t="n"/>
      <c r="D3072" s="580" t="n"/>
      <c r="E3072" s="581" t="n"/>
      <c r="F3072" s="577" t="n"/>
      <c r="G3072" s="582" t="n"/>
      <c r="H3072" s="583" t="n"/>
      <c r="I3072" s="510" t="n"/>
    </row>
    <row r="3073" ht="19.95" customFormat="1" customHeight="1" s="511">
      <c r="A3073" s="277" t="n"/>
      <c r="B3073" s="285" t="n"/>
      <c r="C3073" s="579" t="n"/>
      <c r="D3073" s="580" t="n"/>
      <c r="E3073" s="581" t="n"/>
      <c r="F3073" s="577" t="n"/>
      <c r="G3073" s="582" t="n"/>
      <c r="H3073" s="583" t="n"/>
      <c r="I3073" s="510" t="n"/>
    </row>
    <row r="3074" ht="19.95" customFormat="1" customHeight="1" s="511">
      <c r="A3074" s="277" t="n"/>
      <c r="B3074" s="285" t="n"/>
      <c r="C3074" s="579" t="n"/>
      <c r="D3074" s="580" t="n"/>
      <c r="E3074" s="581" t="n"/>
      <c r="F3074" s="577" t="n"/>
      <c r="G3074" s="582" t="n"/>
      <c r="H3074" s="583" t="n"/>
      <c r="I3074" s="510" t="n"/>
    </row>
    <row r="3075" ht="19.95" customFormat="1" customHeight="1" s="511">
      <c r="A3075" s="277" t="n"/>
      <c r="B3075" s="285" t="n"/>
      <c r="C3075" s="579" t="n"/>
      <c r="D3075" s="580" t="n"/>
      <c r="E3075" s="581" t="n"/>
      <c r="F3075" s="577" t="n"/>
      <c r="G3075" s="582" t="n"/>
      <c r="H3075" s="583" t="n"/>
      <c r="I3075" s="510" t="n"/>
    </row>
    <row r="3076" ht="19.95" customFormat="1" customHeight="1" s="511">
      <c r="A3076" s="277" t="n"/>
      <c r="B3076" s="285" t="n"/>
      <c r="C3076" s="579" t="n"/>
      <c r="D3076" s="580" t="n"/>
      <c r="E3076" s="581" t="n"/>
      <c r="F3076" s="577" t="n"/>
      <c r="G3076" s="582" t="n"/>
      <c r="H3076" s="583" t="n"/>
      <c r="I3076" s="510" t="n"/>
    </row>
    <row r="3077" ht="19.95" customFormat="1" customHeight="1" s="511">
      <c r="A3077" s="277" t="n"/>
      <c r="B3077" s="285" t="n"/>
      <c r="C3077" s="579" t="n"/>
      <c r="D3077" s="580" t="n"/>
      <c r="E3077" s="581" t="n"/>
      <c r="F3077" s="577" t="n"/>
      <c r="G3077" s="582" t="n"/>
      <c r="H3077" s="583" t="n"/>
      <c r="I3077" s="510" t="n"/>
    </row>
    <row r="3078" ht="19.95" customFormat="1" customHeight="1" s="511">
      <c r="A3078" s="277" t="n"/>
      <c r="B3078" s="285" t="n"/>
      <c r="C3078" s="579" t="n"/>
      <c r="D3078" s="580" t="n"/>
      <c r="E3078" s="581" t="n"/>
      <c r="F3078" s="577" t="n"/>
      <c r="G3078" s="582" t="n"/>
      <c r="H3078" s="583" t="n"/>
      <c r="I3078" s="510" t="n"/>
    </row>
    <row r="3079" ht="19.95" customFormat="1" customHeight="1" s="511">
      <c r="A3079" s="277" t="n"/>
      <c r="B3079" s="285" t="n"/>
      <c r="C3079" s="579" t="n"/>
      <c r="D3079" s="580" t="n"/>
      <c r="E3079" s="581" t="n"/>
      <c r="F3079" s="577" t="n"/>
      <c r="G3079" s="582" t="n"/>
      <c r="H3079" s="583" t="n"/>
      <c r="I3079" s="510" t="n"/>
    </row>
    <row r="3080" ht="19.95" customFormat="1" customHeight="1" s="511">
      <c r="A3080" s="277" t="n"/>
      <c r="B3080" s="285" t="n"/>
      <c r="C3080" s="579" t="n"/>
      <c r="D3080" s="580" t="n"/>
      <c r="E3080" s="581" t="n"/>
      <c r="F3080" s="577" t="n"/>
      <c r="G3080" s="582" t="n"/>
      <c r="H3080" s="583" t="n"/>
      <c r="I3080" s="510" t="n"/>
    </row>
    <row r="3081" ht="19.95" customFormat="1" customHeight="1" s="511">
      <c r="A3081" s="277" t="n"/>
      <c r="B3081" s="285" t="n"/>
      <c r="C3081" s="579" t="n"/>
      <c r="D3081" s="580" t="n"/>
      <c r="E3081" s="581" t="n"/>
      <c r="F3081" s="577" t="n"/>
      <c r="G3081" s="582" t="n"/>
      <c r="H3081" s="583" t="n"/>
      <c r="I3081" s="510" t="n"/>
    </row>
    <row r="3082" ht="19.95" customFormat="1" customHeight="1" s="511">
      <c r="A3082" s="277" t="n"/>
      <c r="B3082" s="285" t="n"/>
      <c r="C3082" s="579" t="n"/>
      <c r="D3082" s="580" t="n"/>
      <c r="E3082" s="581" t="n"/>
      <c r="F3082" s="577" t="n"/>
      <c r="G3082" s="582" t="n"/>
      <c r="H3082" s="583" t="n"/>
      <c r="I3082" s="510" t="n"/>
    </row>
    <row r="3083" ht="19.95" customFormat="1" customHeight="1" s="511">
      <c r="A3083" s="277" t="n"/>
      <c r="B3083" s="285" t="n"/>
      <c r="C3083" s="579" t="n"/>
      <c r="D3083" s="580" t="n"/>
      <c r="E3083" s="581" t="n"/>
      <c r="F3083" s="577" t="n"/>
      <c r="G3083" s="582" t="n"/>
      <c r="H3083" s="583" t="n"/>
      <c r="I3083" s="510" t="n"/>
    </row>
    <row r="3084" ht="19.95" customFormat="1" customHeight="1" s="511">
      <c r="A3084" s="277" t="n"/>
      <c r="B3084" s="285" t="n"/>
      <c r="C3084" s="579" t="n"/>
      <c r="D3084" s="580" t="n"/>
      <c r="E3084" s="581" t="n"/>
      <c r="F3084" s="577" t="n"/>
      <c r="G3084" s="582" t="n"/>
      <c r="H3084" s="583" t="n"/>
      <c r="I3084" s="510" t="n"/>
    </row>
    <row r="3085" ht="19.95" customFormat="1" customHeight="1" s="511">
      <c r="A3085" s="277" t="n"/>
      <c r="B3085" s="285" t="n"/>
      <c r="C3085" s="579" t="n"/>
      <c r="D3085" s="580" t="n"/>
      <c r="E3085" s="581" t="n"/>
      <c r="F3085" s="577" t="n"/>
      <c r="G3085" s="582" t="n"/>
      <c r="H3085" s="583" t="n"/>
      <c r="I3085" s="510" t="n"/>
    </row>
    <row r="3086" ht="19.95" customFormat="1" customHeight="1" s="511">
      <c r="A3086" s="277" t="n"/>
      <c r="B3086" s="285" t="n"/>
      <c r="C3086" s="579" t="n"/>
      <c r="D3086" s="580" t="n"/>
      <c r="E3086" s="581" t="n"/>
      <c r="F3086" s="577" t="n"/>
      <c r="G3086" s="582" t="n"/>
      <c r="H3086" s="583" t="n"/>
      <c r="I3086" s="510" t="n"/>
    </row>
    <row r="3087" ht="19.95" customFormat="1" customHeight="1" s="511">
      <c r="A3087" s="277" t="n"/>
      <c r="B3087" s="285" t="n"/>
      <c r="C3087" s="579" t="n"/>
      <c r="D3087" s="580" t="n"/>
      <c r="E3087" s="581" t="n"/>
      <c r="F3087" s="577" t="n"/>
      <c r="G3087" s="582" t="n"/>
      <c r="H3087" s="583" t="n"/>
      <c r="I3087" s="510" t="n"/>
    </row>
    <row r="3088" ht="19.95" customFormat="1" customHeight="1" s="511">
      <c r="A3088" s="277" t="n"/>
      <c r="B3088" s="285" t="n"/>
      <c r="C3088" s="579" t="n"/>
      <c r="D3088" s="580" t="n"/>
      <c r="E3088" s="581" t="n"/>
      <c r="F3088" s="577" t="n"/>
      <c r="G3088" s="582" t="n"/>
      <c r="H3088" s="583" t="n"/>
      <c r="I3088" s="510" t="n"/>
    </row>
    <row r="3089" ht="19.95" customFormat="1" customHeight="1" s="511">
      <c r="A3089" s="277" t="n"/>
      <c r="B3089" s="285" t="n"/>
      <c r="C3089" s="579" t="n"/>
      <c r="D3089" s="580" t="n"/>
      <c r="E3089" s="581" t="n"/>
      <c r="F3089" s="577" t="n"/>
      <c r="G3089" s="582" t="n"/>
      <c r="H3089" s="583" t="n"/>
      <c r="I3089" s="510" t="n"/>
    </row>
    <row r="3090" ht="19.95" customFormat="1" customHeight="1" s="511">
      <c r="A3090" s="277" t="n"/>
      <c r="B3090" s="285" t="n"/>
      <c r="C3090" s="579" t="n"/>
      <c r="D3090" s="580" t="n"/>
      <c r="E3090" s="581" t="n"/>
      <c r="F3090" s="577" t="n"/>
      <c r="G3090" s="582" t="n"/>
      <c r="H3090" s="583" t="n"/>
      <c r="I3090" s="510" t="n"/>
    </row>
    <row r="3091" ht="19.95" customFormat="1" customHeight="1" s="511">
      <c r="A3091" s="277" t="n"/>
      <c r="B3091" s="285" t="n"/>
      <c r="C3091" s="579" t="n"/>
      <c r="D3091" s="580" t="n"/>
      <c r="E3091" s="581" t="n"/>
      <c r="F3091" s="577" t="n"/>
      <c r="G3091" s="582" t="n"/>
      <c r="H3091" s="583" t="n"/>
      <c r="I3091" s="510" t="n"/>
    </row>
    <row r="3092" ht="19.95" customFormat="1" customHeight="1" s="511">
      <c r="A3092" s="277" t="n"/>
      <c r="B3092" s="285" t="n"/>
      <c r="C3092" s="579" t="n"/>
      <c r="D3092" s="580" t="n"/>
      <c r="E3092" s="581" t="n"/>
      <c r="F3092" s="577" t="n"/>
      <c r="G3092" s="582" t="n"/>
      <c r="H3092" s="583" t="n"/>
      <c r="I3092" s="510" t="n"/>
    </row>
    <row r="3093" ht="19.95" customFormat="1" customHeight="1" s="511">
      <c r="A3093" s="277" t="n"/>
      <c r="B3093" s="285" t="n"/>
      <c r="C3093" s="579" t="n"/>
      <c r="D3093" s="580" t="n"/>
      <c r="E3093" s="581" t="n"/>
      <c r="F3093" s="577" t="n"/>
      <c r="G3093" s="582" t="n"/>
      <c r="H3093" s="583" t="n"/>
      <c r="I3093" s="510" t="n"/>
    </row>
    <row r="3094" ht="19.95" customFormat="1" customHeight="1" s="511">
      <c r="A3094" s="277" t="n"/>
      <c r="B3094" s="285" t="n"/>
      <c r="C3094" s="579" t="n"/>
      <c r="D3094" s="580" t="n"/>
      <c r="E3094" s="581" t="n"/>
      <c r="F3094" s="577" t="n"/>
      <c r="G3094" s="582" t="n"/>
      <c r="H3094" s="583" t="n"/>
      <c r="I3094" s="510" t="n"/>
    </row>
    <row r="3095" ht="19.95" customFormat="1" customHeight="1" s="511">
      <c r="A3095" s="277" t="n"/>
      <c r="B3095" s="285" t="n"/>
      <c r="C3095" s="579" t="n"/>
      <c r="D3095" s="580" t="n"/>
      <c r="E3095" s="581" t="n"/>
      <c r="F3095" s="577" t="n"/>
      <c r="G3095" s="582" t="n"/>
      <c r="H3095" s="583" t="n"/>
      <c r="I3095" s="510" t="n"/>
    </row>
    <row r="3096" ht="19.95" customFormat="1" customHeight="1" s="511">
      <c r="A3096" s="277" t="n"/>
      <c r="B3096" s="285" t="n"/>
      <c r="C3096" s="579" t="n"/>
      <c r="D3096" s="580" t="n"/>
      <c r="E3096" s="581" t="n"/>
      <c r="F3096" s="577" t="n"/>
      <c r="G3096" s="582" t="n"/>
      <c r="H3096" s="583" t="n"/>
      <c r="I3096" s="510" t="n"/>
    </row>
    <row r="3097" ht="19.95" customFormat="1" customHeight="1" s="511">
      <c r="A3097" s="277" t="n"/>
      <c r="B3097" s="285" t="n"/>
      <c r="C3097" s="579" t="n"/>
      <c r="D3097" s="580" t="n"/>
      <c r="E3097" s="581" t="n"/>
      <c r="F3097" s="577" t="n"/>
      <c r="G3097" s="582" t="n"/>
      <c r="H3097" s="583" t="n"/>
      <c r="I3097" s="510" t="n"/>
    </row>
    <row r="3098" ht="19.95" customFormat="1" customHeight="1" s="511">
      <c r="A3098" s="277" t="n"/>
      <c r="B3098" s="285" t="n"/>
      <c r="C3098" s="579" t="n"/>
      <c r="D3098" s="580" t="n"/>
      <c r="E3098" s="581" t="n"/>
      <c r="F3098" s="577" t="n"/>
      <c r="G3098" s="582" t="n"/>
      <c r="H3098" s="583" t="n"/>
      <c r="I3098" s="510" t="n"/>
    </row>
    <row r="3099" ht="19.95" customFormat="1" customHeight="1" s="511">
      <c r="A3099" s="277" t="n"/>
      <c r="B3099" s="285" t="n"/>
      <c r="C3099" s="579" t="n"/>
      <c r="D3099" s="580" t="n"/>
      <c r="E3099" s="581" t="n"/>
      <c r="F3099" s="577" t="n"/>
      <c r="G3099" s="582" t="n"/>
      <c r="H3099" s="583" t="n"/>
      <c r="I3099" s="510" t="n"/>
    </row>
    <row r="3100" ht="19.95" customFormat="1" customHeight="1" s="511">
      <c r="A3100" s="277" t="n"/>
      <c r="B3100" s="285" t="n"/>
      <c r="C3100" s="579" t="n"/>
      <c r="D3100" s="580" t="n"/>
      <c r="E3100" s="581" t="n"/>
      <c r="F3100" s="577" t="n"/>
      <c r="G3100" s="582" t="n"/>
      <c r="H3100" s="583" t="n"/>
      <c r="I3100" s="510" t="n"/>
    </row>
    <row r="3101" ht="19.95" customFormat="1" customHeight="1" s="511">
      <c r="A3101" s="277" t="n"/>
      <c r="B3101" s="285" t="n"/>
      <c r="C3101" s="579" t="n"/>
      <c r="D3101" s="580" t="n"/>
      <c r="E3101" s="581" t="n"/>
      <c r="F3101" s="577" t="n"/>
      <c r="G3101" s="582" t="n"/>
      <c r="H3101" s="583" t="n"/>
      <c r="I3101" s="510" t="n"/>
    </row>
    <row r="3102" ht="19.95" customFormat="1" customHeight="1" s="511">
      <c r="A3102" s="277" t="n"/>
      <c r="B3102" s="285" t="n"/>
      <c r="C3102" s="579" t="n"/>
      <c r="D3102" s="580" t="n"/>
      <c r="E3102" s="581" t="n"/>
      <c r="F3102" s="577" t="n"/>
      <c r="G3102" s="582" t="n"/>
      <c r="H3102" s="583" t="n"/>
      <c r="I3102" s="510" t="n"/>
    </row>
    <row r="3103" ht="19.95" customFormat="1" customHeight="1" s="511">
      <c r="A3103" s="277" t="n"/>
      <c r="B3103" s="285" t="n"/>
      <c r="C3103" s="579" t="n"/>
      <c r="D3103" s="580" t="n"/>
      <c r="E3103" s="581" t="n"/>
      <c r="F3103" s="577" t="n"/>
      <c r="G3103" s="582" t="n"/>
      <c r="H3103" s="583" t="n"/>
      <c r="I3103" s="510" t="n"/>
    </row>
    <row r="3104" ht="19.95" customFormat="1" customHeight="1" s="511">
      <c r="A3104" s="277" t="n"/>
      <c r="B3104" s="285" t="n"/>
      <c r="C3104" s="579" t="n"/>
      <c r="D3104" s="580" t="n"/>
      <c r="E3104" s="581" t="n"/>
      <c r="F3104" s="577" t="n"/>
      <c r="G3104" s="582" t="n"/>
      <c r="H3104" s="583" t="n"/>
      <c r="I3104" s="510" t="n"/>
    </row>
    <row r="3105" ht="19.95" customFormat="1" customHeight="1" s="511">
      <c r="A3105" s="277" t="n"/>
      <c r="B3105" s="285" t="n"/>
      <c r="C3105" s="579" t="n"/>
      <c r="D3105" s="580" t="n"/>
      <c r="E3105" s="581" t="n"/>
      <c r="F3105" s="577" t="n"/>
      <c r="G3105" s="582" t="n"/>
      <c r="H3105" s="583" t="n"/>
      <c r="I3105" s="510" t="n"/>
    </row>
    <row r="3106" ht="19.95" customFormat="1" customHeight="1" s="511">
      <c r="A3106" s="277" t="n"/>
      <c r="B3106" s="285" t="n"/>
      <c r="C3106" s="579" t="n"/>
      <c r="D3106" s="580" t="n"/>
      <c r="E3106" s="581" t="n"/>
      <c r="F3106" s="577" t="n"/>
      <c r="G3106" s="582" t="n"/>
      <c r="H3106" s="583" t="n"/>
      <c r="I3106" s="510" t="n"/>
    </row>
    <row r="3107" ht="19.95" customFormat="1" customHeight="1" s="511">
      <c r="A3107" s="277" t="n"/>
      <c r="B3107" s="285" t="n"/>
      <c r="C3107" s="579" t="n"/>
      <c r="D3107" s="580" t="n"/>
      <c r="E3107" s="581" t="n"/>
      <c r="F3107" s="577" t="n"/>
      <c r="G3107" s="582" t="n"/>
      <c r="H3107" s="583" t="n"/>
      <c r="I3107" s="510" t="n"/>
    </row>
    <row r="3108" ht="19.95" customFormat="1" customHeight="1" s="511">
      <c r="A3108" s="277" t="n"/>
      <c r="B3108" s="285" t="n"/>
      <c r="C3108" s="579" t="n"/>
      <c r="D3108" s="580" t="n"/>
      <c r="E3108" s="581" t="n"/>
      <c r="F3108" s="577" t="n"/>
      <c r="G3108" s="582" t="n"/>
      <c r="H3108" s="583" t="n"/>
      <c r="I3108" s="510" t="n"/>
    </row>
    <row r="3109" ht="19.95" customFormat="1" customHeight="1" s="511">
      <c r="A3109" s="277" t="n"/>
      <c r="B3109" s="285" t="n"/>
      <c r="C3109" s="579" t="n"/>
      <c r="D3109" s="580" t="n"/>
      <c r="E3109" s="581" t="n"/>
      <c r="F3109" s="577" t="n"/>
      <c r="G3109" s="582" t="n"/>
      <c r="H3109" s="583" t="n"/>
      <c r="I3109" s="510" t="n"/>
    </row>
    <row r="3110" ht="19.95" customFormat="1" customHeight="1" s="511">
      <c r="A3110" s="277" t="n"/>
      <c r="B3110" s="285" t="n"/>
      <c r="C3110" s="579" t="n"/>
      <c r="D3110" s="580" t="n"/>
      <c r="E3110" s="581" t="n"/>
      <c r="F3110" s="577" t="n"/>
      <c r="G3110" s="582" t="n"/>
      <c r="H3110" s="583" t="n"/>
      <c r="I3110" s="510" t="n"/>
    </row>
    <row r="3111" ht="19.95" customFormat="1" customHeight="1" s="511">
      <c r="A3111" s="277" t="n"/>
      <c r="B3111" s="285" t="n"/>
      <c r="C3111" s="579" t="n"/>
      <c r="D3111" s="580" t="n"/>
      <c r="E3111" s="581" t="n"/>
      <c r="F3111" s="577" t="n"/>
      <c r="G3111" s="582" t="n"/>
      <c r="H3111" s="583" t="n"/>
      <c r="I3111" s="510" t="n"/>
    </row>
    <row r="3112" ht="19.95" customFormat="1" customHeight="1" s="511">
      <c r="A3112" s="277" t="n"/>
      <c r="B3112" s="285" t="n"/>
      <c r="C3112" s="579" t="n"/>
      <c r="D3112" s="580" t="n"/>
      <c r="E3112" s="581" t="n"/>
      <c r="F3112" s="577" t="n"/>
      <c r="G3112" s="582" t="n"/>
      <c r="H3112" s="583" t="n"/>
      <c r="I3112" s="510" t="n"/>
    </row>
    <row r="3113" ht="19.95" customFormat="1" customHeight="1" s="511">
      <c r="A3113" s="277" t="n"/>
      <c r="B3113" s="285" t="n"/>
      <c r="C3113" s="579" t="n"/>
      <c r="D3113" s="580" t="n"/>
      <c r="E3113" s="581" t="n"/>
      <c r="F3113" s="577" t="n"/>
      <c r="G3113" s="582" t="n"/>
      <c r="H3113" s="583" t="n"/>
      <c r="I3113" s="510" t="n"/>
    </row>
    <row r="3114" ht="19.95" customFormat="1" customHeight="1" s="511">
      <c r="A3114" s="277" t="n"/>
      <c r="B3114" s="285" t="n"/>
      <c r="C3114" s="579" t="n"/>
      <c r="D3114" s="580" t="n"/>
      <c r="E3114" s="581" t="n"/>
      <c r="F3114" s="577" t="n"/>
      <c r="G3114" s="582" t="n"/>
      <c r="H3114" s="583" t="n"/>
      <c r="I3114" s="510" t="n"/>
    </row>
    <row r="3115" ht="19.95" customFormat="1" customHeight="1" s="511">
      <c r="A3115" s="277" t="n"/>
      <c r="B3115" s="285" t="n"/>
      <c r="C3115" s="579" t="n"/>
      <c r="D3115" s="580" t="n"/>
      <c r="E3115" s="581" t="n"/>
      <c r="F3115" s="577" t="n"/>
      <c r="G3115" s="582" t="n"/>
      <c r="H3115" s="583" t="n"/>
      <c r="I3115" s="510" t="n"/>
    </row>
    <row r="3116" ht="19.95" customFormat="1" customHeight="1" s="511">
      <c r="A3116" s="277" t="n"/>
      <c r="B3116" s="285" t="n"/>
      <c r="C3116" s="579" t="n"/>
      <c r="D3116" s="580" t="n"/>
      <c r="E3116" s="581" t="n"/>
      <c r="F3116" s="577" t="n"/>
      <c r="G3116" s="582" t="n"/>
      <c r="H3116" s="583" t="n"/>
      <c r="I3116" s="510" t="n"/>
    </row>
    <row r="3117" ht="19.95" customFormat="1" customHeight="1" s="511">
      <c r="A3117" s="277" t="n"/>
      <c r="B3117" s="285" t="n"/>
      <c r="C3117" s="579" t="n"/>
      <c r="D3117" s="580" t="n"/>
      <c r="E3117" s="581" t="n"/>
      <c r="F3117" s="577" t="n"/>
      <c r="G3117" s="582" t="n"/>
      <c r="H3117" s="583" t="n"/>
      <c r="I3117" s="510" t="n"/>
    </row>
    <row r="3118" ht="19.95" customFormat="1" customHeight="1" s="511">
      <c r="A3118" s="277" t="n"/>
      <c r="B3118" s="285" t="n"/>
      <c r="C3118" s="579" t="n"/>
      <c r="D3118" s="580" t="n"/>
      <c r="E3118" s="581" t="n"/>
      <c r="F3118" s="577" t="n"/>
      <c r="G3118" s="582" t="n"/>
      <c r="H3118" s="583" t="n"/>
      <c r="I3118" s="510" t="n"/>
    </row>
    <row r="3119" ht="19.95" customFormat="1" customHeight="1" s="511">
      <c r="A3119" s="277" t="n"/>
      <c r="B3119" s="285" t="n"/>
      <c r="C3119" s="579" t="n"/>
      <c r="D3119" s="580" t="n"/>
      <c r="E3119" s="581" t="n"/>
      <c r="F3119" s="577" t="n"/>
      <c r="G3119" s="582" t="n"/>
      <c r="H3119" s="583" t="n"/>
      <c r="I3119" s="510" t="n"/>
    </row>
    <row r="3120" ht="19.95" customFormat="1" customHeight="1" s="511">
      <c r="A3120" s="277" t="n"/>
      <c r="B3120" s="285" t="n"/>
      <c r="C3120" s="579" t="n"/>
      <c r="D3120" s="580" t="n"/>
      <c r="E3120" s="581" t="n"/>
      <c r="F3120" s="577" t="n"/>
      <c r="G3120" s="582" t="n"/>
      <c r="H3120" s="583" t="n"/>
      <c r="I3120" s="510" t="n"/>
    </row>
    <row r="3121" ht="19.95" customFormat="1" customHeight="1" s="511">
      <c r="A3121" s="277" t="n"/>
      <c r="B3121" s="285" t="n"/>
      <c r="C3121" s="579" t="n"/>
      <c r="D3121" s="580" t="n"/>
      <c r="E3121" s="581" t="n"/>
      <c r="F3121" s="577" t="n"/>
      <c r="G3121" s="582" t="n"/>
      <c r="H3121" s="583" t="n"/>
      <c r="I3121" s="510" t="n"/>
    </row>
    <row r="3122" ht="19.95" customFormat="1" customHeight="1" s="511">
      <c r="A3122" s="277" t="n"/>
      <c r="B3122" s="285" t="n"/>
      <c r="C3122" s="579" t="n"/>
      <c r="D3122" s="580" t="n"/>
      <c r="E3122" s="581" t="n"/>
      <c r="F3122" s="577" t="n"/>
      <c r="G3122" s="582" t="n"/>
      <c r="H3122" s="583" t="n"/>
      <c r="I3122" s="510" t="n"/>
    </row>
    <row r="3123" ht="19.95" customFormat="1" customHeight="1" s="511">
      <c r="A3123" s="277" t="n"/>
      <c r="B3123" s="285" t="n"/>
      <c r="C3123" s="579" t="n"/>
      <c r="D3123" s="580" t="n"/>
      <c r="E3123" s="581" t="n"/>
      <c r="F3123" s="577" t="n"/>
      <c r="G3123" s="582" t="n"/>
      <c r="H3123" s="583" t="n"/>
      <c r="I3123" s="510" t="n"/>
    </row>
    <row r="3124" ht="19.95" customFormat="1" customHeight="1" s="511">
      <c r="A3124" s="277" t="n"/>
      <c r="B3124" s="285" t="n"/>
      <c r="C3124" s="579" t="n"/>
      <c r="D3124" s="580" t="n"/>
      <c r="E3124" s="581" t="n"/>
      <c r="F3124" s="577" t="n"/>
      <c r="G3124" s="582" t="n"/>
      <c r="H3124" s="583" t="n"/>
      <c r="I3124" s="510" t="n"/>
    </row>
    <row r="3125" ht="19.95" customFormat="1" customHeight="1" s="511">
      <c r="A3125" s="277" t="n"/>
      <c r="B3125" s="285" t="n"/>
      <c r="C3125" s="579" t="n"/>
      <c r="D3125" s="580" t="n"/>
      <c r="E3125" s="581" t="n"/>
      <c r="F3125" s="577" t="n"/>
      <c r="G3125" s="582" t="n"/>
      <c r="H3125" s="583" t="n"/>
      <c r="I3125" s="510" t="n"/>
    </row>
    <row r="3126" ht="19.95" customFormat="1" customHeight="1" s="511">
      <c r="A3126" s="277" t="n"/>
      <c r="B3126" s="285" t="n"/>
      <c r="C3126" s="579" t="n"/>
      <c r="D3126" s="580" t="n"/>
      <c r="E3126" s="581" t="n"/>
      <c r="F3126" s="577" t="n"/>
      <c r="G3126" s="582" t="n"/>
      <c r="H3126" s="583" t="n"/>
      <c r="I3126" s="510" t="n"/>
    </row>
    <row r="3127" ht="19.95" customFormat="1" customHeight="1" s="511">
      <c r="A3127" s="277" t="n"/>
      <c r="B3127" s="285" t="n"/>
      <c r="C3127" s="579" t="n"/>
      <c r="D3127" s="580" t="n"/>
      <c r="E3127" s="581" t="n"/>
      <c r="F3127" s="577" t="n"/>
      <c r="G3127" s="582" t="n"/>
      <c r="H3127" s="583" t="n"/>
      <c r="I3127" s="510" t="n"/>
    </row>
    <row r="3128" ht="19.95" customFormat="1" customHeight="1" s="511">
      <c r="A3128" s="277" t="n"/>
      <c r="B3128" s="285" t="n"/>
      <c r="C3128" s="579" t="n"/>
      <c r="D3128" s="580" t="n"/>
      <c r="E3128" s="581" t="n"/>
      <c r="F3128" s="577" t="n"/>
      <c r="G3128" s="582" t="n"/>
      <c r="H3128" s="583" t="n"/>
      <c r="I3128" s="510" t="n"/>
    </row>
    <row r="3129" ht="19.95" customFormat="1" customHeight="1" s="511">
      <c r="A3129" s="277" t="n"/>
      <c r="B3129" s="285" t="n"/>
      <c r="C3129" s="579" t="n"/>
      <c r="D3129" s="580" t="n"/>
      <c r="E3129" s="581" t="n"/>
      <c r="F3129" s="577" t="n"/>
      <c r="G3129" s="582" t="n"/>
      <c r="H3129" s="583" t="n"/>
      <c r="I3129" s="510" t="n"/>
    </row>
    <row r="3130" ht="19.95" customFormat="1" customHeight="1" s="511">
      <c r="A3130" s="277" t="n"/>
      <c r="B3130" s="285" t="n"/>
      <c r="C3130" s="579" t="n"/>
      <c r="D3130" s="580" t="n"/>
      <c r="E3130" s="581" t="n"/>
      <c r="F3130" s="577" t="n"/>
      <c r="G3130" s="582" t="n"/>
      <c r="H3130" s="583" t="n"/>
      <c r="I3130" s="510" t="n"/>
    </row>
    <row r="3131" ht="19.95" customFormat="1" customHeight="1" s="511">
      <c r="A3131" s="277" t="n"/>
      <c r="B3131" s="285" t="n"/>
      <c r="C3131" s="579" t="n"/>
      <c r="D3131" s="580" t="n"/>
      <c r="E3131" s="581" t="n"/>
      <c r="F3131" s="577" t="n"/>
      <c r="G3131" s="582" t="n"/>
      <c r="H3131" s="583" t="n"/>
      <c r="I3131" s="510" t="n"/>
    </row>
    <row r="3132" ht="19.95" customFormat="1" customHeight="1" s="511">
      <c r="A3132" s="277" t="n"/>
      <c r="B3132" s="285" t="n"/>
      <c r="C3132" s="579" t="n"/>
      <c r="D3132" s="580" t="n"/>
      <c r="E3132" s="581" t="n"/>
      <c r="F3132" s="577" t="n"/>
      <c r="G3132" s="582" t="n"/>
      <c r="H3132" s="583" t="n"/>
      <c r="I3132" s="510" t="n"/>
    </row>
    <row r="3133" ht="19.95" customFormat="1" customHeight="1" s="511">
      <c r="A3133" s="277" t="n"/>
      <c r="B3133" s="285" t="n"/>
      <c r="C3133" s="579" t="n"/>
      <c r="D3133" s="580" t="n"/>
      <c r="E3133" s="581" t="n"/>
      <c r="F3133" s="577" t="n"/>
      <c r="G3133" s="582" t="n"/>
      <c r="H3133" s="583" t="n"/>
      <c r="I3133" s="510" t="n"/>
    </row>
    <row r="3134" ht="19.95" customFormat="1" customHeight="1" s="511">
      <c r="A3134" s="277" t="n"/>
      <c r="B3134" s="285" t="n"/>
      <c r="C3134" s="579" t="n"/>
      <c r="D3134" s="580" t="n"/>
      <c r="E3134" s="581" t="n"/>
      <c r="F3134" s="577" t="n"/>
      <c r="G3134" s="582" t="n"/>
      <c r="H3134" s="583" t="n"/>
      <c r="I3134" s="510" t="n"/>
    </row>
    <row r="3135" ht="19.95" customFormat="1" customHeight="1" s="511">
      <c r="A3135" s="277" t="n"/>
      <c r="B3135" s="285" t="n"/>
      <c r="C3135" s="579" t="n"/>
      <c r="D3135" s="580" t="n"/>
      <c r="E3135" s="581" t="n"/>
      <c r="F3135" s="577" t="n"/>
      <c r="G3135" s="582" t="n"/>
      <c r="H3135" s="583" t="n"/>
      <c r="I3135" s="510" t="n"/>
    </row>
    <row r="3136" ht="19.95" customFormat="1" customHeight="1" s="511">
      <c r="A3136" s="277" t="n"/>
      <c r="B3136" s="285" t="n"/>
      <c r="C3136" s="579" t="n"/>
      <c r="D3136" s="580" t="n"/>
      <c r="E3136" s="581" t="n"/>
      <c r="F3136" s="577" t="n"/>
      <c r="G3136" s="582" t="n"/>
      <c r="H3136" s="583" t="n"/>
      <c r="I3136" s="510" t="n"/>
    </row>
    <row r="3137" ht="19.95" customFormat="1" customHeight="1" s="511">
      <c r="A3137" s="277" t="n"/>
      <c r="B3137" s="285" t="n"/>
      <c r="C3137" s="579" t="n"/>
      <c r="D3137" s="580" t="n"/>
      <c r="E3137" s="581" t="n"/>
      <c r="F3137" s="577" t="n"/>
      <c r="G3137" s="582" t="n"/>
      <c r="H3137" s="583" t="n"/>
      <c r="I3137" s="510" t="n"/>
    </row>
    <row r="3138" ht="19.95" customFormat="1" customHeight="1" s="511">
      <c r="A3138" s="277" t="n"/>
      <c r="B3138" s="285" t="n"/>
      <c r="C3138" s="579" t="n"/>
      <c r="D3138" s="580" t="n"/>
      <c r="E3138" s="581" t="n"/>
      <c r="F3138" s="577" t="n"/>
      <c r="G3138" s="582" t="n"/>
      <c r="H3138" s="583" t="n"/>
      <c r="I3138" s="510" t="n"/>
    </row>
    <row r="3139" ht="19.95" customFormat="1" customHeight="1" s="511">
      <c r="A3139" s="277" t="n"/>
      <c r="B3139" s="285" t="n"/>
      <c r="C3139" s="579" t="n"/>
      <c r="D3139" s="580" t="n"/>
      <c r="E3139" s="581" t="n"/>
      <c r="F3139" s="577" t="n"/>
      <c r="G3139" s="582" t="n"/>
      <c r="H3139" s="583" t="n"/>
      <c r="I3139" s="510" t="n"/>
    </row>
    <row r="3140" ht="19.95" customFormat="1" customHeight="1" s="511">
      <c r="A3140" s="277" t="n"/>
      <c r="B3140" s="285" t="n"/>
      <c r="C3140" s="579" t="n"/>
      <c r="D3140" s="580" t="n"/>
      <c r="E3140" s="581" t="n"/>
      <c r="F3140" s="577" t="n"/>
      <c r="G3140" s="582" t="n"/>
      <c r="H3140" s="583" t="n"/>
      <c r="I3140" s="510" t="n"/>
    </row>
    <row r="3141" ht="19.95" customFormat="1" customHeight="1" s="511">
      <c r="A3141" s="277" t="n"/>
      <c r="B3141" s="285" t="n"/>
      <c r="C3141" s="579" t="n"/>
      <c r="D3141" s="580" t="n"/>
      <c r="E3141" s="581" t="n"/>
      <c r="F3141" s="577" t="n"/>
      <c r="G3141" s="582" t="n"/>
      <c r="H3141" s="583" t="n"/>
      <c r="I3141" s="510" t="n"/>
    </row>
    <row r="3142" ht="19.95" customFormat="1" customHeight="1" s="511">
      <c r="A3142" s="277" t="n"/>
      <c r="B3142" s="285" t="n"/>
      <c r="C3142" s="579" t="n"/>
      <c r="D3142" s="580" t="n"/>
      <c r="E3142" s="581" t="n"/>
      <c r="F3142" s="577" t="n"/>
      <c r="G3142" s="582" t="n"/>
      <c r="H3142" s="583" t="n"/>
      <c r="I3142" s="510" t="n"/>
    </row>
    <row r="3143" ht="19.95" customFormat="1" customHeight="1" s="511">
      <c r="A3143" s="277" t="n"/>
      <c r="B3143" s="285" t="n"/>
      <c r="C3143" s="579" t="n"/>
      <c r="D3143" s="580" t="n"/>
      <c r="E3143" s="581" t="n"/>
      <c r="F3143" s="577" t="n"/>
      <c r="G3143" s="582" t="n"/>
      <c r="H3143" s="583" t="n"/>
      <c r="I3143" s="510" t="n"/>
    </row>
    <row r="3144" ht="19.95" customFormat="1" customHeight="1" s="511">
      <c r="A3144" s="277" t="n"/>
      <c r="B3144" s="285" t="n"/>
      <c r="C3144" s="579" t="n"/>
      <c r="D3144" s="580" t="n"/>
      <c r="E3144" s="581" t="n"/>
      <c r="F3144" s="577" t="n"/>
      <c r="G3144" s="582" t="n"/>
      <c r="H3144" s="583" t="n"/>
      <c r="I3144" s="510" t="n"/>
    </row>
    <row r="3145" ht="19.95" customFormat="1" customHeight="1" s="511">
      <c r="A3145" s="277" t="n"/>
      <c r="B3145" s="285" t="n"/>
      <c r="C3145" s="579" t="n"/>
      <c r="D3145" s="580" t="n"/>
      <c r="E3145" s="581" t="n"/>
      <c r="F3145" s="577" t="n"/>
      <c r="G3145" s="582" t="n"/>
      <c r="H3145" s="583" t="n"/>
      <c r="I3145" s="510" t="n"/>
    </row>
    <row r="3146" ht="19.95" customFormat="1" customHeight="1" s="511">
      <c r="A3146" s="277" t="n"/>
      <c r="B3146" s="285" t="n"/>
      <c r="C3146" s="579" t="n"/>
      <c r="D3146" s="580" t="n"/>
      <c r="E3146" s="581" t="n"/>
      <c r="F3146" s="577" t="n"/>
      <c r="G3146" s="582" t="n"/>
      <c r="H3146" s="583" t="n"/>
      <c r="I3146" s="510" t="n"/>
    </row>
    <row r="3147" ht="19.95" customFormat="1" customHeight="1" s="511">
      <c r="A3147" s="277" t="n"/>
      <c r="B3147" s="285" t="n"/>
      <c r="C3147" s="579" t="n"/>
      <c r="D3147" s="580" t="n"/>
      <c r="E3147" s="581" t="n"/>
      <c r="F3147" s="577" t="n"/>
      <c r="G3147" s="582" t="n"/>
      <c r="H3147" s="583" t="n"/>
      <c r="I3147" s="510" t="n"/>
    </row>
    <row r="3148" ht="19.95" customFormat="1" customHeight="1" s="511">
      <c r="A3148" s="277" t="n"/>
      <c r="B3148" s="285" t="n"/>
      <c r="C3148" s="579" t="n"/>
      <c r="D3148" s="580" t="n"/>
      <c r="E3148" s="581" t="n"/>
      <c r="F3148" s="577" t="n"/>
      <c r="G3148" s="582" t="n"/>
      <c r="H3148" s="583" t="n"/>
      <c r="I3148" s="510" t="n"/>
    </row>
    <row r="3149" ht="19.95" customFormat="1" customHeight="1" s="511">
      <c r="A3149" s="277" t="n"/>
      <c r="B3149" s="285" t="n"/>
      <c r="C3149" s="579" t="n"/>
      <c r="D3149" s="580" t="n"/>
      <c r="E3149" s="581" t="n"/>
      <c r="F3149" s="577" t="n"/>
      <c r="G3149" s="582" t="n"/>
      <c r="H3149" s="583" t="n"/>
      <c r="I3149" s="510" t="n"/>
    </row>
    <row r="3150" ht="19.95" customFormat="1" customHeight="1" s="511">
      <c r="A3150" s="277" t="n"/>
      <c r="B3150" s="285" t="n"/>
      <c r="C3150" s="579" t="n"/>
      <c r="D3150" s="580" t="n"/>
      <c r="E3150" s="581" t="n"/>
      <c r="F3150" s="577" t="n"/>
      <c r="G3150" s="582" t="n"/>
      <c r="H3150" s="583" t="n"/>
      <c r="I3150" s="510" t="n"/>
    </row>
    <row r="3151" ht="19.95" customFormat="1" customHeight="1" s="511">
      <c r="A3151" s="277" t="n"/>
      <c r="B3151" s="285" t="n"/>
      <c r="C3151" s="579" t="n"/>
      <c r="D3151" s="580" t="n"/>
      <c r="E3151" s="581" t="n"/>
      <c r="F3151" s="577" t="n"/>
      <c r="G3151" s="582" t="n"/>
      <c r="H3151" s="583" t="n"/>
      <c r="I3151" s="510" t="n"/>
    </row>
    <row r="3152" ht="19.95" customFormat="1" customHeight="1" s="511">
      <c r="A3152" s="277" t="n"/>
      <c r="B3152" s="285" t="n"/>
      <c r="C3152" s="579" t="n"/>
      <c r="D3152" s="580" t="n"/>
      <c r="E3152" s="581" t="n"/>
      <c r="F3152" s="577" t="n"/>
      <c r="G3152" s="582" t="n"/>
      <c r="H3152" s="583" t="n"/>
      <c r="I3152" s="510" t="n"/>
    </row>
    <row r="3153" ht="19.95" customFormat="1" customHeight="1" s="511">
      <c r="A3153" s="277" t="n"/>
      <c r="B3153" s="285" t="n"/>
      <c r="C3153" s="579" t="n"/>
      <c r="D3153" s="580" t="n"/>
      <c r="E3153" s="581" t="n"/>
      <c r="F3153" s="577" t="n"/>
      <c r="G3153" s="582" t="n"/>
      <c r="H3153" s="583" t="n"/>
      <c r="I3153" s="510" t="n"/>
    </row>
    <row r="3154" ht="19.95" customFormat="1" customHeight="1" s="511">
      <c r="A3154" s="277" t="n"/>
      <c r="B3154" s="285" t="n"/>
      <c r="C3154" s="579" t="n"/>
      <c r="D3154" s="580" t="n"/>
      <c r="E3154" s="581" t="n"/>
      <c r="F3154" s="577" t="n"/>
      <c r="G3154" s="582" t="n"/>
      <c r="H3154" s="583" t="n"/>
      <c r="I3154" s="510" t="n"/>
    </row>
    <row r="3155" ht="19.95" customFormat="1" customHeight="1" s="511">
      <c r="A3155" s="277" t="n"/>
      <c r="B3155" s="285" t="n"/>
      <c r="C3155" s="579" t="n"/>
      <c r="D3155" s="580" t="n"/>
      <c r="E3155" s="581" t="n"/>
      <c r="F3155" s="577" t="n"/>
      <c r="G3155" s="582" t="n"/>
      <c r="H3155" s="583" t="n"/>
      <c r="I3155" s="510" t="n"/>
    </row>
    <row r="3156" ht="19.95" customFormat="1" customHeight="1" s="511">
      <c r="A3156" s="277" t="n"/>
      <c r="B3156" s="285" t="n"/>
      <c r="C3156" s="579" t="n"/>
      <c r="D3156" s="580" t="n"/>
      <c r="E3156" s="581" t="n"/>
      <c r="F3156" s="577" t="n"/>
      <c r="G3156" s="582" t="n"/>
      <c r="H3156" s="583" t="n"/>
      <c r="I3156" s="510" t="n"/>
    </row>
    <row r="3157" ht="19.95" customFormat="1" customHeight="1" s="511">
      <c r="A3157" s="277" t="n"/>
      <c r="B3157" s="285" t="n"/>
      <c r="C3157" s="579" t="n"/>
      <c r="D3157" s="580" t="n"/>
      <c r="E3157" s="581" t="n"/>
      <c r="F3157" s="577" t="n"/>
      <c r="G3157" s="582" t="n"/>
      <c r="H3157" s="583" t="n"/>
      <c r="I3157" s="510" t="n"/>
    </row>
    <row r="3158" ht="19.95" customFormat="1" customHeight="1" s="511">
      <c r="A3158" s="277" t="n"/>
      <c r="B3158" s="285" t="n"/>
      <c r="C3158" s="579" t="n"/>
      <c r="D3158" s="580" t="n"/>
      <c r="E3158" s="581" t="n"/>
      <c r="F3158" s="577" t="n"/>
      <c r="G3158" s="582" t="n"/>
      <c r="H3158" s="583" t="n"/>
      <c r="I3158" s="510" t="n"/>
    </row>
    <row r="3159" ht="19.95" customFormat="1" customHeight="1" s="511">
      <c r="A3159" s="277" t="n"/>
      <c r="B3159" s="285" t="n"/>
      <c r="C3159" s="579" t="n"/>
      <c r="D3159" s="580" t="n"/>
      <c r="E3159" s="581" t="n"/>
      <c r="F3159" s="577" t="n"/>
      <c r="G3159" s="582" t="n"/>
      <c r="H3159" s="583" t="n"/>
      <c r="I3159" s="510" t="n"/>
    </row>
    <row r="3160" ht="19.95" customFormat="1" customHeight="1" s="511">
      <c r="A3160" s="277" t="n"/>
      <c r="B3160" s="285" t="n"/>
      <c r="C3160" s="579" t="n"/>
      <c r="D3160" s="580" t="n"/>
      <c r="E3160" s="581" t="n"/>
      <c r="F3160" s="577" t="n"/>
      <c r="G3160" s="582" t="n"/>
      <c r="H3160" s="583" t="n"/>
      <c r="I3160" s="510" t="n"/>
    </row>
    <row r="3161" ht="19.95" customFormat="1" customHeight="1" s="511">
      <c r="A3161" s="277" t="n"/>
      <c r="B3161" s="285" t="n"/>
      <c r="C3161" s="579" t="n"/>
      <c r="D3161" s="580" t="n"/>
      <c r="E3161" s="581" t="n"/>
      <c r="F3161" s="577" t="n"/>
      <c r="G3161" s="582" t="n"/>
      <c r="H3161" s="583" t="n"/>
      <c r="I3161" s="510" t="n"/>
    </row>
    <row r="3162" ht="19.95" customFormat="1" customHeight="1" s="511">
      <c r="A3162" s="277" t="n"/>
      <c r="B3162" s="285" t="n"/>
      <c r="C3162" s="579" t="n"/>
      <c r="D3162" s="580" t="n"/>
      <c r="E3162" s="581" t="n"/>
      <c r="F3162" s="577" t="n"/>
      <c r="G3162" s="582" t="n"/>
      <c r="H3162" s="583" t="n"/>
      <c r="I3162" s="510" t="n"/>
    </row>
    <row r="3163" ht="19.95" customFormat="1" customHeight="1" s="511">
      <c r="A3163" s="277" t="n"/>
      <c r="B3163" s="285" t="n"/>
      <c r="C3163" s="579" t="n"/>
      <c r="D3163" s="580" t="n"/>
      <c r="E3163" s="581" t="n"/>
      <c r="F3163" s="577" t="n"/>
      <c r="G3163" s="582" t="n"/>
      <c r="H3163" s="583" t="n"/>
      <c r="I3163" s="510" t="n"/>
    </row>
    <row r="3164" ht="19.95" customFormat="1" customHeight="1" s="511">
      <c r="A3164" s="277" t="n"/>
      <c r="B3164" s="285" t="n"/>
      <c r="C3164" s="579" t="n"/>
      <c r="D3164" s="580" t="n"/>
      <c r="E3164" s="581" t="n"/>
      <c r="F3164" s="577" t="n"/>
      <c r="G3164" s="582" t="n"/>
      <c r="H3164" s="583" t="n"/>
      <c r="I3164" s="510" t="n"/>
    </row>
    <row r="3165" ht="19.95" customFormat="1" customHeight="1" s="511">
      <c r="A3165" s="277" t="n"/>
      <c r="B3165" s="285" t="n"/>
      <c r="C3165" s="579" t="n"/>
      <c r="D3165" s="580" t="n"/>
      <c r="E3165" s="581" t="n"/>
      <c r="F3165" s="577" t="n"/>
      <c r="G3165" s="582" t="n"/>
      <c r="H3165" s="583" t="n"/>
      <c r="I3165" s="510" t="n"/>
    </row>
    <row r="3166" ht="19.95" customFormat="1" customHeight="1" s="511">
      <c r="A3166" s="277" t="n"/>
      <c r="B3166" s="285" t="n"/>
      <c r="C3166" s="579" t="n"/>
      <c r="D3166" s="580" t="n"/>
      <c r="E3166" s="581" t="n"/>
      <c r="F3166" s="577" t="n"/>
      <c r="G3166" s="582" t="n"/>
      <c r="H3166" s="583" t="n"/>
      <c r="I3166" s="510" t="n"/>
    </row>
    <row r="3167" ht="19.95" customFormat="1" customHeight="1" s="511">
      <c r="A3167" s="277" t="n"/>
      <c r="B3167" s="285" t="n"/>
      <c r="C3167" s="579" t="n"/>
      <c r="D3167" s="580" t="n"/>
      <c r="E3167" s="581" t="n"/>
      <c r="F3167" s="577" t="n"/>
      <c r="G3167" s="582" t="n"/>
      <c r="H3167" s="583" t="n"/>
      <c r="I3167" s="510" t="n"/>
    </row>
    <row r="3168" ht="19.95" customFormat="1" customHeight="1" s="511">
      <c r="A3168" s="277" t="n"/>
      <c r="B3168" s="285" t="n"/>
      <c r="C3168" s="579" t="n"/>
      <c r="D3168" s="580" t="n"/>
      <c r="E3168" s="581" t="n"/>
      <c r="F3168" s="577" t="n"/>
      <c r="G3168" s="582" t="n"/>
      <c r="H3168" s="583" t="n"/>
      <c r="I3168" s="510" t="n"/>
    </row>
    <row r="3169" ht="19.95" customFormat="1" customHeight="1" s="511">
      <c r="A3169" s="277" t="n"/>
      <c r="B3169" s="285" t="n"/>
      <c r="C3169" s="579" t="n"/>
      <c r="D3169" s="580" t="n"/>
      <c r="E3169" s="581" t="n"/>
      <c r="F3169" s="577" t="n"/>
      <c r="G3169" s="582" t="n"/>
      <c r="H3169" s="583" t="n"/>
      <c r="I3169" s="510" t="n"/>
    </row>
    <row r="3170" ht="19.95" customFormat="1" customHeight="1" s="511">
      <c r="A3170" s="277" t="n"/>
      <c r="B3170" s="285" t="n"/>
      <c r="C3170" s="579" t="n"/>
      <c r="D3170" s="580" t="n"/>
      <c r="E3170" s="581" t="n"/>
      <c r="F3170" s="577" t="n"/>
      <c r="G3170" s="582" t="n"/>
      <c r="H3170" s="583" t="n"/>
      <c r="I3170" s="510" t="n"/>
    </row>
    <row r="3171" ht="19.95" customFormat="1" customHeight="1" s="511">
      <c r="A3171" s="277" t="n"/>
      <c r="B3171" s="285" t="n"/>
      <c r="C3171" s="579" t="n"/>
      <c r="D3171" s="580" t="n"/>
      <c r="E3171" s="581" t="n"/>
      <c r="F3171" s="577" t="n"/>
      <c r="G3171" s="582" t="n"/>
      <c r="H3171" s="583" t="n"/>
      <c r="I3171" s="510" t="n"/>
    </row>
    <row r="3172" ht="19.95" customFormat="1" customHeight="1" s="511">
      <c r="A3172" s="277" t="n"/>
      <c r="B3172" s="285" t="n"/>
      <c r="C3172" s="579" t="n"/>
      <c r="D3172" s="580" t="n"/>
      <c r="E3172" s="581" t="n"/>
      <c r="F3172" s="577" t="n"/>
      <c r="G3172" s="582" t="n"/>
      <c r="H3172" s="583" t="n"/>
      <c r="I3172" s="510" t="n"/>
    </row>
    <row r="3173" ht="19.95" customFormat="1" customHeight="1" s="511">
      <c r="A3173" s="277" t="n"/>
      <c r="B3173" s="285" t="n"/>
      <c r="C3173" s="579" t="n"/>
      <c r="D3173" s="580" t="n"/>
      <c r="E3173" s="581" t="n"/>
      <c r="F3173" s="577" t="n"/>
      <c r="G3173" s="582" t="n"/>
      <c r="H3173" s="583" t="n"/>
      <c r="I3173" s="510" t="n"/>
    </row>
    <row r="3174" ht="19.95" customFormat="1" customHeight="1" s="511">
      <c r="A3174" s="277" t="n"/>
      <c r="B3174" s="285" t="n"/>
      <c r="C3174" s="579" t="n"/>
      <c r="D3174" s="580" t="n"/>
      <c r="E3174" s="581" t="n"/>
      <c r="F3174" s="577" t="n"/>
      <c r="G3174" s="582" t="n"/>
      <c r="H3174" s="583" t="n"/>
      <c r="I3174" s="510" t="n"/>
    </row>
    <row r="3175" ht="19.95" customFormat="1" customHeight="1" s="511">
      <c r="A3175" s="277" t="n"/>
      <c r="B3175" s="285" t="n"/>
      <c r="C3175" s="579" t="n"/>
      <c r="D3175" s="580" t="n"/>
      <c r="E3175" s="581" t="n"/>
      <c r="F3175" s="577" t="n"/>
      <c r="G3175" s="582" t="n"/>
      <c r="H3175" s="583" t="n"/>
      <c r="I3175" s="510" t="n"/>
    </row>
    <row r="3176" ht="19.95" customFormat="1" customHeight="1" s="511">
      <c r="A3176" s="277" t="n"/>
      <c r="B3176" s="285" t="n"/>
      <c r="C3176" s="579" t="n"/>
      <c r="D3176" s="580" t="n"/>
      <c r="E3176" s="581" t="n"/>
      <c r="F3176" s="577" t="n"/>
      <c r="G3176" s="582" t="n"/>
      <c r="H3176" s="583" t="n"/>
      <c r="I3176" s="510" t="n"/>
    </row>
    <row r="3177" ht="19.95" customFormat="1" customHeight="1" s="511">
      <c r="A3177" s="277" t="n"/>
      <c r="B3177" s="285" t="n"/>
      <c r="C3177" s="579" t="n"/>
      <c r="D3177" s="580" t="n"/>
      <c r="E3177" s="581" t="n"/>
      <c r="F3177" s="577" t="n"/>
      <c r="G3177" s="582" t="n"/>
      <c r="H3177" s="583" t="n"/>
      <c r="I3177" s="510" t="n"/>
    </row>
    <row r="3178" ht="19.95" customFormat="1" customHeight="1" s="511">
      <c r="A3178" s="277" t="n"/>
      <c r="B3178" s="285" t="n"/>
      <c r="C3178" s="579" t="n"/>
      <c r="D3178" s="580" t="n"/>
      <c r="E3178" s="581" t="n"/>
      <c r="F3178" s="577" t="n"/>
      <c r="G3178" s="582" t="n"/>
      <c r="H3178" s="583" t="n"/>
      <c r="I3178" s="510" t="n"/>
    </row>
    <row r="3179" ht="19.95" customFormat="1" customHeight="1" s="511">
      <c r="A3179" s="277" t="n"/>
      <c r="B3179" s="285" t="n"/>
      <c r="C3179" s="579" t="n"/>
      <c r="D3179" s="580" t="n"/>
      <c r="E3179" s="581" t="n"/>
      <c r="F3179" s="577" t="n"/>
      <c r="G3179" s="582" t="n"/>
      <c r="H3179" s="583" t="n"/>
      <c r="I3179" s="510" t="n"/>
    </row>
    <row r="3180" ht="19.95" customFormat="1" customHeight="1" s="511">
      <c r="A3180" s="277" t="n"/>
      <c r="B3180" s="285" t="n"/>
      <c r="C3180" s="579" t="n"/>
      <c r="D3180" s="580" t="n"/>
      <c r="E3180" s="581" t="n"/>
      <c r="F3180" s="577" t="n"/>
      <c r="G3180" s="582" t="n"/>
      <c r="H3180" s="583" t="n"/>
      <c r="I3180" s="510" t="n"/>
    </row>
    <row r="3181" ht="19.95" customFormat="1" customHeight="1" s="511">
      <c r="A3181" s="277" t="n"/>
      <c r="B3181" s="285" t="n"/>
      <c r="C3181" s="579" t="n"/>
      <c r="D3181" s="580" t="n"/>
      <c r="E3181" s="581" t="n"/>
      <c r="F3181" s="577" t="n"/>
      <c r="G3181" s="582" t="n"/>
      <c r="H3181" s="583" t="n"/>
      <c r="I3181" s="510" t="n"/>
    </row>
    <row r="3182" ht="19.95" customFormat="1" customHeight="1" s="511">
      <c r="A3182" s="277" t="n"/>
      <c r="B3182" s="285" t="n"/>
      <c r="C3182" s="579" t="n"/>
      <c r="D3182" s="580" t="n"/>
      <c r="E3182" s="581" t="n"/>
      <c r="F3182" s="577" t="n"/>
      <c r="G3182" s="582" t="n"/>
      <c r="H3182" s="583" t="n"/>
      <c r="I3182" s="510" t="n"/>
    </row>
    <row r="3183" ht="19.95" customFormat="1" customHeight="1" s="511">
      <c r="A3183" s="277" t="n"/>
      <c r="B3183" s="285" t="n"/>
      <c r="C3183" s="579" t="n"/>
      <c r="D3183" s="580" t="n"/>
      <c r="E3183" s="581" t="n"/>
      <c r="F3183" s="577" t="n"/>
      <c r="G3183" s="582" t="n"/>
      <c r="H3183" s="583" t="n"/>
      <c r="I3183" s="510" t="n"/>
    </row>
    <row r="3184" ht="19.95" customFormat="1" customHeight="1" s="511">
      <c r="A3184" s="277" t="n"/>
      <c r="B3184" s="285" t="n"/>
      <c r="C3184" s="579" t="n"/>
      <c r="D3184" s="580" t="n"/>
      <c r="E3184" s="581" t="n"/>
      <c r="F3184" s="577" t="n"/>
      <c r="G3184" s="582" t="n"/>
      <c r="H3184" s="583" t="n"/>
      <c r="I3184" s="510" t="n"/>
    </row>
    <row r="3185" ht="19.95" customFormat="1" customHeight="1" s="511">
      <c r="A3185" s="277" t="n"/>
      <c r="B3185" s="285" t="n"/>
      <c r="C3185" s="579" t="n"/>
      <c r="D3185" s="580" t="n"/>
      <c r="E3185" s="581" t="n"/>
      <c r="F3185" s="577" t="n"/>
      <c r="G3185" s="582" t="n"/>
      <c r="H3185" s="583" t="n"/>
      <c r="I3185" s="510" t="n"/>
    </row>
    <row r="3186" ht="19.95" customFormat="1" customHeight="1" s="511">
      <c r="A3186" s="277" t="n"/>
      <c r="B3186" s="285" t="n"/>
      <c r="C3186" s="579" t="n"/>
      <c r="D3186" s="580" t="n"/>
      <c r="E3186" s="581" t="n"/>
      <c r="F3186" s="577" t="n"/>
      <c r="G3186" s="582" t="n"/>
      <c r="H3186" s="583" t="n"/>
      <c r="I3186" s="510" t="n"/>
    </row>
    <row r="3187" ht="19.95" customFormat="1" customHeight="1" s="511">
      <c r="A3187" s="277" t="n"/>
      <c r="B3187" s="285" t="n"/>
      <c r="C3187" s="579" t="n"/>
      <c r="D3187" s="580" t="n"/>
      <c r="E3187" s="581" t="n"/>
      <c r="F3187" s="577" t="n"/>
      <c r="G3187" s="582" t="n"/>
      <c r="H3187" s="583" t="n"/>
      <c r="I3187" s="510" t="n"/>
    </row>
    <row r="3188" ht="19.95" customFormat="1" customHeight="1" s="511">
      <c r="A3188" s="277" t="n"/>
      <c r="B3188" s="285" t="n"/>
      <c r="C3188" s="579" t="n"/>
      <c r="D3188" s="580" t="n"/>
      <c r="E3188" s="581" t="n"/>
      <c r="F3188" s="577" t="n"/>
      <c r="G3188" s="582" t="n"/>
      <c r="H3188" s="583" t="n"/>
      <c r="I3188" s="510" t="n"/>
    </row>
    <row r="3189" ht="19.95" customFormat="1" customHeight="1" s="511">
      <c r="A3189" s="277" t="n"/>
      <c r="B3189" s="285" t="n"/>
      <c r="C3189" s="579" t="n"/>
      <c r="D3189" s="580" t="n"/>
      <c r="E3189" s="581" t="n"/>
      <c r="F3189" s="577" t="n"/>
      <c r="G3189" s="582" t="n"/>
      <c r="H3189" s="583" t="n"/>
      <c r="I3189" s="510" t="n"/>
    </row>
    <row r="3190" ht="19.95" customFormat="1" customHeight="1" s="511">
      <c r="A3190" s="277" t="n"/>
      <c r="B3190" s="285" t="n"/>
      <c r="C3190" s="579" t="n"/>
      <c r="D3190" s="580" t="n"/>
      <c r="E3190" s="581" t="n"/>
      <c r="F3190" s="577" t="n"/>
      <c r="G3190" s="582" t="n"/>
      <c r="H3190" s="583" t="n"/>
      <c r="I3190" s="510" t="n"/>
    </row>
    <row r="3191" ht="19.95" customFormat="1" customHeight="1" s="511">
      <c r="A3191" s="277" t="n"/>
      <c r="B3191" s="285" t="n"/>
      <c r="C3191" s="579" t="n"/>
      <c r="D3191" s="580" t="n"/>
      <c r="E3191" s="581" t="n"/>
      <c r="F3191" s="577" t="n"/>
      <c r="G3191" s="582" t="n"/>
      <c r="H3191" s="583" t="n"/>
      <c r="I3191" s="510" t="n"/>
    </row>
    <row r="3192" ht="19.95" customFormat="1" customHeight="1" s="511">
      <c r="A3192" s="277" t="n"/>
      <c r="B3192" s="285" t="n"/>
      <c r="C3192" s="579" t="n"/>
      <c r="D3192" s="580" t="n"/>
      <c r="E3192" s="581" t="n"/>
      <c r="F3192" s="577" t="n"/>
      <c r="G3192" s="582" t="n"/>
      <c r="H3192" s="583" t="n"/>
      <c r="I3192" s="510" t="n"/>
    </row>
    <row r="3193" ht="19.95" customFormat="1" customHeight="1" s="511">
      <c r="A3193" s="277" t="n"/>
      <c r="B3193" s="285" t="n"/>
      <c r="C3193" s="579" t="n"/>
      <c r="D3193" s="580" t="n"/>
      <c r="E3193" s="581" t="n"/>
      <c r="F3193" s="577" t="n"/>
      <c r="G3193" s="582" t="n"/>
      <c r="H3193" s="583" t="n"/>
      <c r="I3193" s="510" t="n"/>
    </row>
    <row r="3194" ht="19.95" customFormat="1" customHeight="1" s="511">
      <c r="A3194" s="277" t="n"/>
      <c r="B3194" s="285" t="n"/>
      <c r="C3194" s="579" t="n"/>
      <c r="D3194" s="580" t="n"/>
      <c r="E3194" s="581" t="n"/>
      <c r="F3194" s="577" t="n"/>
      <c r="G3194" s="582" t="n"/>
      <c r="H3194" s="583" t="n"/>
      <c r="I3194" s="510" t="n"/>
    </row>
    <row r="3195" ht="19.95" customFormat="1" customHeight="1" s="511">
      <c r="A3195" s="277" t="n"/>
      <c r="B3195" s="285" t="n"/>
      <c r="C3195" s="579" t="n"/>
      <c r="D3195" s="580" t="n"/>
      <c r="E3195" s="581" t="n"/>
      <c r="F3195" s="577" t="n"/>
      <c r="G3195" s="582" t="n"/>
      <c r="H3195" s="583" t="n"/>
      <c r="I3195" s="510" t="n"/>
    </row>
    <row r="3196" ht="19.95" customFormat="1" customHeight="1" s="511">
      <c r="A3196" s="277" t="n"/>
      <c r="B3196" s="285" t="n"/>
      <c r="C3196" s="579" t="n"/>
      <c r="D3196" s="580" t="n"/>
      <c r="E3196" s="581" t="n"/>
      <c r="F3196" s="577" t="n"/>
      <c r="G3196" s="582" t="n"/>
      <c r="H3196" s="583" t="n"/>
      <c r="I3196" s="510" t="n"/>
    </row>
    <row r="3197" ht="19.95" customFormat="1" customHeight="1" s="511">
      <c r="A3197" s="277" t="n"/>
      <c r="B3197" s="285" t="n"/>
      <c r="C3197" s="579" t="n"/>
      <c r="D3197" s="580" t="n"/>
      <c r="E3197" s="581" t="n"/>
      <c r="F3197" s="577" t="n"/>
      <c r="G3197" s="582" t="n"/>
      <c r="H3197" s="583" t="n"/>
      <c r="I3197" s="510" t="n"/>
    </row>
    <row r="3198" ht="19.95" customFormat="1" customHeight="1" s="511">
      <c r="A3198" s="277" t="n"/>
      <c r="B3198" s="285" t="n"/>
      <c r="C3198" s="579" t="n"/>
      <c r="D3198" s="580" t="n"/>
      <c r="E3198" s="581" t="n"/>
      <c r="F3198" s="577" t="n"/>
      <c r="G3198" s="582" t="n"/>
      <c r="H3198" s="583" t="n"/>
      <c r="I3198" s="510" t="n"/>
    </row>
    <row r="3199" ht="19.95" customFormat="1" customHeight="1" s="511">
      <c r="A3199" s="277" t="n"/>
      <c r="B3199" s="285" t="n"/>
      <c r="C3199" s="579" t="n"/>
      <c r="D3199" s="580" t="n"/>
      <c r="E3199" s="581" t="n"/>
      <c r="F3199" s="577" t="n"/>
      <c r="G3199" s="582" t="n"/>
      <c r="H3199" s="583" t="n"/>
      <c r="I3199" s="510" t="n"/>
    </row>
    <row r="3200" ht="19.95" customFormat="1" customHeight="1" s="511">
      <c r="A3200" s="277" t="n"/>
      <c r="B3200" s="285" t="n"/>
      <c r="C3200" s="579" t="n"/>
      <c r="D3200" s="580" t="n"/>
      <c r="E3200" s="581" t="n"/>
      <c r="F3200" s="577" t="n"/>
      <c r="G3200" s="582" t="n"/>
      <c r="H3200" s="583" t="n"/>
      <c r="I3200" s="510" t="n"/>
    </row>
    <row r="3201" ht="19.95" customFormat="1" customHeight="1" s="511">
      <c r="A3201" s="277" t="n"/>
      <c r="B3201" s="285" t="n"/>
      <c r="C3201" s="579" t="n"/>
      <c r="D3201" s="580" t="n"/>
      <c r="E3201" s="581" t="n"/>
      <c r="F3201" s="577" t="n"/>
      <c r="G3201" s="582" t="n"/>
      <c r="H3201" s="583" t="n"/>
      <c r="I3201" s="510" t="n"/>
    </row>
    <row r="3202" ht="19.95" customFormat="1" customHeight="1" s="511">
      <c r="A3202" s="277" t="n"/>
      <c r="B3202" s="285" t="n"/>
      <c r="C3202" s="579" t="n"/>
      <c r="D3202" s="580" t="n"/>
      <c r="E3202" s="581" t="n"/>
      <c r="F3202" s="577" t="n"/>
      <c r="G3202" s="582" t="n"/>
      <c r="H3202" s="583" t="n"/>
      <c r="I3202" s="510" t="n"/>
    </row>
    <row r="3203" ht="19.95" customFormat="1" customHeight="1" s="511">
      <c r="A3203" s="277" t="n"/>
      <c r="B3203" s="285" t="n"/>
      <c r="C3203" s="579" t="n"/>
      <c r="D3203" s="580" t="n"/>
      <c r="E3203" s="581" t="n"/>
      <c r="F3203" s="577" t="n"/>
      <c r="G3203" s="582" t="n"/>
      <c r="H3203" s="583" t="n"/>
      <c r="I3203" s="510" t="n"/>
    </row>
    <row r="3204" ht="19.95" customFormat="1" customHeight="1" s="511">
      <c r="A3204" s="277" t="n"/>
      <c r="B3204" s="285" t="n"/>
      <c r="C3204" s="579" t="n"/>
      <c r="D3204" s="580" t="n"/>
      <c r="E3204" s="581" t="n"/>
      <c r="F3204" s="577" t="n"/>
      <c r="G3204" s="582" t="n"/>
      <c r="H3204" s="583" t="n"/>
      <c r="I3204" s="510" t="n"/>
    </row>
    <row r="3205" ht="19.95" customFormat="1" customHeight="1" s="511">
      <c r="A3205" s="277" t="n"/>
      <c r="B3205" s="285" t="n"/>
      <c r="C3205" s="579" t="n"/>
      <c r="D3205" s="580" t="n"/>
      <c r="E3205" s="581" t="n"/>
      <c r="F3205" s="577" t="n"/>
      <c r="G3205" s="582" t="n"/>
      <c r="H3205" s="583" t="n"/>
      <c r="I3205" s="510" t="n"/>
    </row>
    <row r="3206" ht="19.95" customFormat="1" customHeight="1" s="511">
      <c r="A3206" s="277" t="n"/>
      <c r="B3206" s="285" t="n"/>
      <c r="C3206" s="579" t="n"/>
      <c r="D3206" s="580" t="n"/>
      <c r="E3206" s="581" t="n"/>
      <c r="F3206" s="577" t="n"/>
      <c r="G3206" s="582" t="n"/>
      <c r="H3206" s="583" t="n"/>
      <c r="I3206" s="510" t="n"/>
    </row>
    <row r="3207" ht="19.95" customFormat="1" customHeight="1" s="511">
      <c r="A3207" s="277" t="n"/>
      <c r="B3207" s="285" t="n"/>
      <c r="C3207" s="579" t="n"/>
      <c r="D3207" s="580" t="n"/>
      <c r="E3207" s="581" t="n"/>
      <c r="F3207" s="577" t="n"/>
      <c r="G3207" s="582" t="n"/>
      <c r="H3207" s="583" t="n"/>
      <c r="I3207" s="510" t="n"/>
    </row>
    <row r="3208" ht="19.95" customFormat="1" customHeight="1" s="511">
      <c r="A3208" s="277" t="n"/>
      <c r="B3208" s="285" t="n"/>
      <c r="C3208" s="579" t="n"/>
      <c r="D3208" s="580" t="n"/>
      <c r="E3208" s="581" t="n"/>
      <c r="F3208" s="577" t="n"/>
      <c r="G3208" s="582" t="n"/>
      <c r="H3208" s="583" t="n"/>
      <c r="I3208" s="510" t="n"/>
    </row>
    <row r="3209" ht="19.95" customFormat="1" customHeight="1" s="511">
      <c r="A3209" s="277" t="n"/>
      <c r="B3209" s="285" t="n"/>
      <c r="C3209" s="579" t="n"/>
      <c r="D3209" s="580" t="n"/>
      <c r="E3209" s="581" t="n"/>
      <c r="F3209" s="577" t="n"/>
      <c r="G3209" s="582" t="n"/>
      <c r="H3209" s="583" t="n"/>
      <c r="I3209" s="510" t="n"/>
    </row>
    <row r="3210" ht="19.95" customFormat="1" customHeight="1" s="511">
      <c r="A3210" s="277" t="n"/>
      <c r="B3210" s="285" t="n"/>
      <c r="C3210" s="579" t="n"/>
      <c r="D3210" s="580" t="n"/>
      <c r="E3210" s="581" t="n"/>
      <c r="F3210" s="577" t="n"/>
      <c r="G3210" s="582" t="n"/>
      <c r="H3210" s="583" t="n"/>
      <c r="I3210" s="510" t="n"/>
    </row>
    <row r="3211" ht="19.95" customFormat="1" customHeight="1" s="511">
      <c r="A3211" s="277" t="n"/>
      <c r="B3211" s="285" t="n"/>
      <c r="C3211" s="579" t="n"/>
      <c r="D3211" s="580" t="n"/>
      <c r="E3211" s="581" t="n"/>
      <c r="F3211" s="577" t="n"/>
      <c r="G3211" s="582" t="n"/>
      <c r="H3211" s="583" t="n"/>
      <c r="I3211" s="510" t="n"/>
    </row>
    <row r="3212" ht="19.95" customFormat="1" customHeight="1" s="511">
      <c r="A3212" s="277" t="n"/>
      <c r="B3212" s="285" t="n"/>
      <c r="C3212" s="579" t="n"/>
      <c r="D3212" s="580" t="n"/>
      <c r="E3212" s="581" t="n"/>
      <c r="F3212" s="577" t="n"/>
      <c r="G3212" s="582" t="n"/>
      <c r="H3212" s="583" t="n"/>
      <c r="I3212" s="510" t="n"/>
    </row>
    <row r="3213" ht="19.95" customFormat="1" customHeight="1" s="511">
      <c r="A3213" s="277" t="n"/>
      <c r="B3213" s="285" t="n"/>
      <c r="C3213" s="579" t="n"/>
      <c r="D3213" s="580" t="n"/>
      <c r="E3213" s="581" t="n"/>
      <c r="F3213" s="577" t="n"/>
      <c r="G3213" s="582" t="n"/>
      <c r="H3213" s="583" t="n"/>
      <c r="I3213" s="510" t="n"/>
    </row>
    <row r="3214" ht="19.95" customFormat="1" customHeight="1" s="511">
      <c r="A3214" s="277" t="n"/>
      <c r="B3214" s="285" t="n"/>
      <c r="C3214" s="579" t="n"/>
      <c r="D3214" s="580" t="n"/>
      <c r="E3214" s="581" t="n"/>
      <c r="F3214" s="577" t="n"/>
      <c r="G3214" s="582" t="n"/>
      <c r="H3214" s="583" t="n"/>
      <c r="I3214" s="510" t="n"/>
    </row>
    <row r="3215" ht="19.95" customFormat="1" customHeight="1" s="511">
      <c r="A3215" s="277" t="n"/>
      <c r="B3215" s="285" t="n"/>
      <c r="C3215" s="579" t="n"/>
      <c r="D3215" s="580" t="n"/>
      <c r="E3215" s="581" t="n"/>
      <c r="F3215" s="577" t="n"/>
      <c r="G3215" s="582" t="n"/>
      <c r="H3215" s="583" t="n"/>
      <c r="I3215" s="510" t="n"/>
    </row>
    <row r="3216" ht="19.95" customFormat="1" customHeight="1" s="511">
      <c r="A3216" s="277" t="n"/>
      <c r="B3216" s="285" t="n"/>
      <c r="C3216" s="579" t="n"/>
      <c r="D3216" s="580" t="n"/>
      <c r="E3216" s="581" t="n"/>
      <c r="F3216" s="577" t="n"/>
      <c r="G3216" s="582" t="n"/>
      <c r="H3216" s="583" t="n"/>
      <c r="I3216" s="510" t="n"/>
    </row>
    <row r="3217" ht="19.95" customFormat="1" customHeight="1" s="511">
      <c r="A3217" s="277" t="n"/>
      <c r="B3217" s="285" t="n"/>
      <c r="C3217" s="579" t="n"/>
      <c r="D3217" s="580" t="n"/>
      <c r="E3217" s="581" t="n"/>
      <c r="F3217" s="577" t="n"/>
      <c r="G3217" s="582" t="n"/>
      <c r="H3217" s="583" t="n"/>
      <c r="I3217" s="510" t="n"/>
    </row>
    <row r="3218" ht="19.95" customFormat="1" customHeight="1" s="511">
      <c r="A3218" s="277" t="n"/>
      <c r="B3218" s="285" t="n"/>
      <c r="C3218" s="579" t="n"/>
      <c r="D3218" s="580" t="n"/>
      <c r="E3218" s="581" t="n"/>
      <c r="F3218" s="577" t="n"/>
      <c r="G3218" s="582" t="n"/>
      <c r="H3218" s="583" t="n"/>
      <c r="I3218" s="510" t="n"/>
    </row>
    <row r="3219" ht="19.95" customFormat="1" customHeight="1" s="511">
      <c r="A3219" s="277" t="n"/>
      <c r="B3219" s="285" t="n"/>
      <c r="C3219" s="579" t="n"/>
      <c r="D3219" s="580" t="n"/>
      <c r="E3219" s="581" t="n"/>
      <c r="F3219" s="577" t="n"/>
      <c r="G3219" s="582" t="n"/>
      <c r="H3219" s="583" t="n"/>
      <c r="I3219" s="510" t="n"/>
    </row>
    <row r="3220" ht="19.95" customFormat="1" customHeight="1" s="511">
      <c r="A3220" s="277" t="n"/>
      <c r="B3220" s="285" t="n"/>
      <c r="C3220" s="579" t="n"/>
      <c r="D3220" s="580" t="n"/>
      <c r="E3220" s="581" t="n"/>
      <c r="F3220" s="577" t="n"/>
      <c r="G3220" s="582" t="n"/>
      <c r="H3220" s="583" t="n"/>
      <c r="I3220" s="510" t="n"/>
    </row>
    <row r="3221" ht="19.95" customFormat="1" customHeight="1" s="511">
      <c r="A3221" s="277" t="n"/>
      <c r="B3221" s="285" t="n"/>
      <c r="C3221" s="579" t="n"/>
      <c r="D3221" s="580" t="n"/>
      <c r="E3221" s="581" t="n"/>
      <c r="F3221" s="577" t="n"/>
      <c r="G3221" s="582" t="n"/>
      <c r="H3221" s="583" t="n"/>
      <c r="I3221" s="510" t="n"/>
    </row>
    <row r="3222" ht="19.95" customFormat="1" customHeight="1" s="511">
      <c r="A3222" s="277" t="n"/>
      <c r="B3222" s="285" t="n"/>
      <c r="C3222" s="579" t="n"/>
      <c r="D3222" s="580" t="n"/>
      <c r="E3222" s="581" t="n"/>
      <c r="F3222" s="577" t="n"/>
      <c r="G3222" s="582" t="n"/>
      <c r="H3222" s="583" t="n"/>
      <c r="I3222" s="510" t="n"/>
    </row>
    <row r="3223" ht="19.95" customFormat="1" customHeight="1" s="511">
      <c r="A3223" s="277" t="n"/>
      <c r="B3223" s="285" t="n"/>
      <c r="C3223" s="579" t="n"/>
      <c r="D3223" s="580" t="n"/>
      <c r="E3223" s="581" t="n"/>
      <c r="F3223" s="577" t="n"/>
      <c r="G3223" s="582" t="n"/>
      <c r="H3223" s="583" t="n"/>
      <c r="I3223" s="510" t="n"/>
    </row>
    <row r="3224" ht="19.95" customFormat="1" customHeight="1" s="511">
      <c r="A3224" s="277" t="n"/>
      <c r="B3224" s="285" t="n"/>
      <c r="C3224" s="579" t="n"/>
      <c r="D3224" s="580" t="n"/>
      <c r="E3224" s="581" t="n"/>
      <c r="F3224" s="577" t="n"/>
      <c r="G3224" s="582" t="n"/>
      <c r="H3224" s="583" t="n"/>
      <c r="I3224" s="510" t="n"/>
    </row>
    <row r="3225" ht="19.95" customFormat="1" customHeight="1" s="511">
      <c r="A3225" s="277" t="n"/>
      <c r="B3225" s="285" t="n"/>
      <c r="C3225" s="579" t="n"/>
      <c r="D3225" s="580" t="n"/>
      <c r="E3225" s="581" t="n"/>
      <c r="F3225" s="577" t="n"/>
      <c r="G3225" s="582" t="n"/>
      <c r="H3225" s="583" t="n"/>
      <c r="I3225" s="510" t="n"/>
    </row>
    <row r="3226" ht="19.95" customFormat="1" customHeight="1" s="511">
      <c r="A3226" s="277" t="n"/>
      <c r="B3226" s="285" t="n"/>
      <c r="C3226" s="579" t="n"/>
      <c r="D3226" s="580" t="n"/>
      <c r="E3226" s="581" t="n"/>
      <c r="F3226" s="577" t="n"/>
      <c r="G3226" s="582" t="n"/>
      <c r="H3226" s="583" t="n"/>
      <c r="I3226" s="510" t="n"/>
    </row>
    <row r="3227" ht="19.95" customFormat="1" customHeight="1" s="511">
      <c r="A3227" s="277" t="n"/>
      <c r="B3227" s="285" t="n"/>
      <c r="C3227" s="579" t="n"/>
      <c r="D3227" s="580" t="n"/>
      <c r="E3227" s="581" t="n"/>
      <c r="F3227" s="577" t="n"/>
      <c r="G3227" s="582" t="n"/>
      <c r="H3227" s="583" t="n"/>
      <c r="I3227" s="510" t="n"/>
    </row>
    <row r="3228" ht="19.95" customFormat="1" customHeight="1" s="511">
      <c r="A3228" s="277" t="n"/>
      <c r="B3228" s="285" t="n"/>
      <c r="C3228" s="579" t="n"/>
      <c r="D3228" s="580" t="n"/>
      <c r="E3228" s="581" t="n"/>
      <c r="F3228" s="577" t="n"/>
      <c r="G3228" s="582" t="n"/>
      <c r="H3228" s="583" t="n"/>
      <c r="I3228" s="510" t="n"/>
    </row>
    <row r="3229" ht="19.95" customFormat="1" customHeight="1" s="511">
      <c r="A3229" s="277" t="n"/>
      <c r="B3229" s="285" t="n"/>
      <c r="C3229" s="579" t="n"/>
      <c r="D3229" s="580" t="n"/>
      <c r="E3229" s="581" t="n"/>
      <c r="F3229" s="577" t="n"/>
      <c r="G3229" s="582" t="n"/>
      <c r="H3229" s="583" t="n"/>
      <c r="I3229" s="510" t="n"/>
    </row>
    <row r="3230" ht="19.95" customFormat="1" customHeight="1" s="511">
      <c r="A3230" s="277" t="n"/>
      <c r="B3230" s="285" t="n"/>
      <c r="C3230" s="579" t="n"/>
      <c r="D3230" s="580" t="n"/>
      <c r="E3230" s="581" t="n"/>
      <c r="F3230" s="577" t="n"/>
      <c r="G3230" s="582" t="n"/>
      <c r="H3230" s="583" t="n"/>
      <c r="I3230" s="510" t="n"/>
    </row>
    <row r="3231" ht="19.95" customFormat="1" customHeight="1" s="511">
      <c r="A3231" s="277" t="n"/>
      <c r="B3231" s="285" t="n"/>
      <c r="C3231" s="579" t="n"/>
      <c r="D3231" s="580" t="n"/>
      <c r="E3231" s="581" t="n"/>
      <c r="F3231" s="577" t="n"/>
      <c r="G3231" s="582" t="n"/>
      <c r="H3231" s="583" t="n"/>
      <c r="I3231" s="510" t="n"/>
    </row>
    <row r="3232" ht="19.95" customFormat="1" customHeight="1" s="511">
      <c r="A3232" s="277" t="n"/>
      <c r="B3232" s="285" t="n"/>
      <c r="C3232" s="579" t="n"/>
      <c r="D3232" s="580" t="n"/>
      <c r="E3232" s="581" t="n"/>
      <c r="F3232" s="577" t="n"/>
      <c r="G3232" s="582" t="n"/>
      <c r="H3232" s="583" t="n"/>
      <c r="I3232" s="510" t="n"/>
    </row>
    <row r="3233" ht="19.95" customFormat="1" customHeight="1" s="511">
      <c r="A3233" s="277" t="n"/>
      <c r="B3233" s="285" t="n"/>
      <c r="C3233" s="579" t="n"/>
      <c r="D3233" s="580" t="n"/>
      <c r="E3233" s="581" t="n"/>
      <c r="F3233" s="577" t="n"/>
      <c r="G3233" s="582" t="n"/>
      <c r="H3233" s="583" t="n"/>
      <c r="I3233" s="510" t="n"/>
    </row>
    <row r="3234" ht="19.95" customFormat="1" customHeight="1" s="511">
      <c r="A3234" s="277" t="n"/>
      <c r="B3234" s="285" t="n"/>
      <c r="C3234" s="579" t="n"/>
      <c r="D3234" s="580" t="n"/>
      <c r="E3234" s="581" t="n"/>
      <c r="F3234" s="577" t="n"/>
      <c r="G3234" s="582" t="n"/>
      <c r="H3234" s="583" t="n"/>
      <c r="I3234" s="510" t="n"/>
    </row>
    <row r="3235" ht="19.95" customFormat="1" customHeight="1" s="511">
      <c r="A3235" s="277" t="n"/>
      <c r="B3235" s="285" t="n"/>
      <c r="C3235" s="579" t="n"/>
      <c r="D3235" s="580" t="n"/>
      <c r="E3235" s="581" t="n"/>
      <c r="F3235" s="577" t="n"/>
      <c r="G3235" s="582" t="n"/>
      <c r="H3235" s="583" t="n"/>
      <c r="I3235" s="510" t="n"/>
    </row>
    <row r="3236" ht="19.95" customFormat="1" customHeight="1" s="511">
      <c r="A3236" s="277" t="n"/>
      <c r="B3236" s="285" t="n"/>
      <c r="C3236" s="579" t="n"/>
      <c r="D3236" s="580" t="n"/>
      <c r="E3236" s="581" t="n"/>
      <c r="F3236" s="577" t="n"/>
      <c r="G3236" s="582" t="n"/>
      <c r="H3236" s="583" t="n"/>
      <c r="I3236" s="510" t="n"/>
    </row>
    <row r="3237" ht="19.95" customFormat="1" customHeight="1" s="511">
      <c r="A3237" s="277" t="n"/>
      <c r="B3237" s="285" t="n"/>
      <c r="C3237" s="579" t="n"/>
      <c r="D3237" s="580" t="n"/>
      <c r="E3237" s="581" t="n"/>
      <c r="F3237" s="577" t="n"/>
      <c r="G3237" s="582" t="n"/>
      <c r="H3237" s="583" t="n"/>
      <c r="I3237" s="510" t="n"/>
    </row>
    <row r="3238" ht="19.95" customFormat="1" customHeight="1" s="511">
      <c r="A3238" s="277" t="n"/>
      <c r="B3238" s="285" t="n"/>
      <c r="C3238" s="579" t="n"/>
      <c r="D3238" s="580" t="n"/>
      <c r="E3238" s="581" t="n"/>
      <c r="F3238" s="577" t="n"/>
      <c r="G3238" s="582" t="n"/>
      <c r="H3238" s="583" t="n"/>
      <c r="I3238" s="510" t="n"/>
    </row>
    <row r="3239" ht="19.95" customFormat="1" customHeight="1" s="511">
      <c r="A3239" s="277" t="n"/>
      <c r="B3239" s="285" t="n"/>
      <c r="C3239" s="579" t="n"/>
      <c r="D3239" s="580" t="n"/>
      <c r="E3239" s="581" t="n"/>
      <c r="F3239" s="577" t="n"/>
      <c r="G3239" s="582" t="n"/>
      <c r="H3239" s="583" t="n"/>
      <c r="I3239" s="510" t="n"/>
    </row>
    <row r="3240" ht="19.95" customFormat="1" customHeight="1" s="511">
      <c r="A3240" s="277" t="n"/>
      <c r="B3240" s="285" t="n"/>
      <c r="C3240" s="579" t="n"/>
      <c r="D3240" s="580" t="n"/>
      <c r="E3240" s="581" t="n"/>
      <c r="F3240" s="577" t="n"/>
      <c r="G3240" s="582" t="n"/>
      <c r="H3240" s="583" t="n"/>
      <c r="I3240" s="510" t="n"/>
    </row>
    <row r="3241" ht="19.95" customFormat="1" customHeight="1" s="511">
      <c r="A3241" s="277" t="n"/>
      <c r="B3241" s="285" t="n"/>
      <c r="C3241" s="579" t="n"/>
      <c r="D3241" s="580" t="n"/>
      <c r="E3241" s="581" t="n"/>
      <c r="F3241" s="577" t="n"/>
      <c r="G3241" s="582" t="n"/>
      <c r="H3241" s="583" t="n"/>
      <c r="I3241" s="510" t="n"/>
    </row>
    <row r="3242" ht="19.95" customFormat="1" customHeight="1" s="511">
      <c r="A3242" s="277" t="n"/>
      <c r="B3242" s="285" t="n"/>
      <c r="C3242" s="579" t="n"/>
      <c r="D3242" s="580" t="n"/>
      <c r="E3242" s="581" t="n"/>
      <c r="F3242" s="577" t="n"/>
      <c r="G3242" s="582" t="n"/>
      <c r="H3242" s="583" t="n"/>
      <c r="I3242" s="510" t="n"/>
    </row>
    <row r="3243" ht="19.95" customFormat="1" customHeight="1" s="511">
      <c r="A3243" s="277" t="n"/>
      <c r="B3243" s="285" t="n"/>
      <c r="C3243" s="579" t="n"/>
      <c r="D3243" s="580" t="n"/>
      <c r="E3243" s="581" t="n"/>
      <c r="F3243" s="577" t="n"/>
      <c r="G3243" s="582" t="n"/>
      <c r="H3243" s="583" t="n"/>
      <c r="I3243" s="510" t="n"/>
    </row>
    <row r="3244" ht="19.95" customFormat="1" customHeight="1" s="511">
      <c r="A3244" s="277" t="n"/>
      <c r="B3244" s="285" t="n"/>
      <c r="C3244" s="579" t="n"/>
      <c r="D3244" s="580" t="n"/>
      <c r="E3244" s="581" t="n"/>
      <c r="F3244" s="577" t="n"/>
      <c r="G3244" s="582" t="n"/>
      <c r="H3244" s="583" t="n"/>
      <c r="I3244" s="510" t="n"/>
    </row>
    <row r="3245" ht="19.95" customFormat="1" customHeight="1" s="511">
      <c r="A3245" s="277" t="n"/>
      <c r="B3245" s="285" t="n"/>
      <c r="C3245" s="579" t="n"/>
      <c r="D3245" s="580" t="n"/>
      <c r="E3245" s="581" t="n"/>
      <c r="F3245" s="577" t="n"/>
      <c r="G3245" s="582" t="n"/>
      <c r="H3245" s="583" t="n"/>
      <c r="I3245" s="510" t="n"/>
    </row>
    <row r="3246" ht="19.95" customFormat="1" customHeight="1" s="511">
      <c r="A3246" s="277" t="n"/>
      <c r="B3246" s="285" t="n"/>
      <c r="C3246" s="579" t="n"/>
      <c r="D3246" s="580" t="n"/>
      <c r="E3246" s="581" t="n"/>
      <c r="F3246" s="577" t="n"/>
      <c r="G3246" s="582" t="n"/>
      <c r="H3246" s="583" t="n"/>
      <c r="I3246" s="510" t="n"/>
    </row>
    <row r="3247" ht="19.95" customFormat="1" customHeight="1" s="511">
      <c r="A3247" s="277" t="n"/>
      <c r="B3247" s="285" t="n"/>
      <c r="C3247" s="579" t="n"/>
      <c r="D3247" s="580" t="n"/>
      <c r="E3247" s="581" t="n"/>
      <c r="F3247" s="577" t="n"/>
      <c r="G3247" s="582" t="n"/>
      <c r="H3247" s="583" t="n"/>
      <c r="I3247" s="510" t="n"/>
    </row>
    <row r="3248" ht="19.95" customFormat="1" customHeight="1" s="511">
      <c r="A3248" s="277" t="n"/>
      <c r="B3248" s="285" t="n"/>
      <c r="C3248" s="579" t="n"/>
      <c r="D3248" s="580" t="n"/>
      <c r="E3248" s="581" t="n"/>
      <c r="F3248" s="577" t="n"/>
      <c r="G3248" s="582" t="n"/>
      <c r="H3248" s="583" t="n"/>
      <c r="I3248" s="510" t="n"/>
    </row>
    <row r="3249" ht="19.95" customFormat="1" customHeight="1" s="511">
      <c r="A3249" s="277" t="n"/>
      <c r="B3249" s="285" t="n"/>
      <c r="C3249" s="579" t="n"/>
      <c r="D3249" s="580" t="n"/>
      <c r="E3249" s="581" t="n"/>
      <c r="F3249" s="577" t="n"/>
      <c r="G3249" s="582" t="n"/>
      <c r="H3249" s="583" t="n"/>
      <c r="I3249" s="510" t="n"/>
    </row>
    <row r="3250" ht="19.95" customFormat="1" customHeight="1" s="511">
      <c r="A3250" s="277" t="n"/>
      <c r="B3250" s="285" t="n"/>
      <c r="C3250" s="579" t="n"/>
      <c r="D3250" s="580" t="n"/>
      <c r="E3250" s="581" t="n"/>
      <c r="F3250" s="577" t="n"/>
      <c r="G3250" s="582" t="n"/>
      <c r="H3250" s="583" t="n"/>
      <c r="I3250" s="510" t="n"/>
    </row>
    <row r="3251" ht="19.95" customFormat="1" customHeight="1" s="511">
      <c r="A3251" s="277" t="n"/>
      <c r="B3251" s="285" t="n"/>
      <c r="C3251" s="579" t="n"/>
      <c r="D3251" s="580" t="n"/>
      <c r="E3251" s="581" t="n"/>
      <c r="F3251" s="577" t="n"/>
      <c r="G3251" s="582" t="n"/>
      <c r="H3251" s="583" t="n"/>
      <c r="I3251" s="510" t="n"/>
    </row>
    <row r="3252" ht="19.95" customFormat="1" customHeight="1" s="511">
      <c r="A3252" s="277" t="n"/>
      <c r="B3252" s="285" t="n"/>
      <c r="C3252" s="579" t="n"/>
      <c r="D3252" s="580" t="n"/>
      <c r="E3252" s="581" t="n"/>
      <c r="F3252" s="577" t="n"/>
      <c r="G3252" s="582" t="n"/>
      <c r="H3252" s="583" t="n"/>
      <c r="I3252" s="510" t="n"/>
    </row>
    <row r="3253" ht="19.95" customFormat="1" customHeight="1" s="511">
      <c r="A3253" s="277" t="n"/>
      <c r="B3253" s="285" t="n"/>
      <c r="C3253" s="579" t="n"/>
      <c r="D3253" s="580" t="n"/>
      <c r="E3253" s="581" t="n"/>
      <c r="F3253" s="577" t="n"/>
      <c r="G3253" s="582" t="n"/>
      <c r="H3253" s="583" t="n"/>
      <c r="I3253" s="510" t="n"/>
    </row>
    <row r="3254" ht="19.95" customFormat="1" customHeight="1" s="511">
      <c r="A3254" s="277" t="n"/>
      <c r="B3254" s="285" t="n"/>
      <c r="C3254" s="579" t="n"/>
      <c r="D3254" s="580" t="n"/>
      <c r="E3254" s="581" t="n"/>
      <c r="F3254" s="577" t="n"/>
      <c r="G3254" s="582" t="n"/>
      <c r="H3254" s="583" t="n"/>
      <c r="I3254" s="510" t="n"/>
    </row>
    <row r="3255" ht="19.95" customFormat="1" customHeight="1" s="511">
      <c r="A3255" s="277" t="n"/>
      <c r="B3255" s="285" t="n"/>
      <c r="C3255" s="579" t="n"/>
      <c r="D3255" s="580" t="n"/>
      <c r="E3255" s="581" t="n"/>
      <c r="F3255" s="577" t="n"/>
      <c r="G3255" s="582" t="n"/>
      <c r="H3255" s="583" t="n"/>
      <c r="I3255" s="510" t="n"/>
    </row>
    <row r="3256" ht="19.95" customFormat="1" customHeight="1" s="511">
      <c r="A3256" s="277" t="n"/>
      <c r="B3256" s="285" t="n"/>
      <c r="C3256" s="579" t="n"/>
      <c r="D3256" s="580" t="n"/>
      <c r="E3256" s="581" t="n"/>
      <c r="F3256" s="577" t="n"/>
      <c r="G3256" s="582" t="n"/>
      <c r="H3256" s="583" t="n"/>
      <c r="I3256" s="510" t="n"/>
    </row>
    <row r="3257" ht="19.95" customFormat="1" customHeight="1" s="511">
      <c r="A3257" s="277" t="n"/>
      <c r="B3257" s="285" t="n"/>
      <c r="C3257" s="579" t="n"/>
      <c r="D3257" s="580" t="n"/>
      <c r="E3257" s="581" t="n"/>
      <c r="F3257" s="577" t="n"/>
      <c r="G3257" s="582" t="n"/>
      <c r="H3257" s="583" t="n"/>
      <c r="I3257" s="510" t="n"/>
    </row>
    <row r="3258" ht="19.95" customFormat="1" customHeight="1" s="511">
      <c r="A3258" s="277" t="n"/>
      <c r="B3258" s="285" t="n"/>
      <c r="C3258" s="579" t="n"/>
      <c r="D3258" s="580" t="n"/>
      <c r="E3258" s="581" t="n"/>
      <c r="F3258" s="577" t="n"/>
      <c r="G3258" s="582" t="n"/>
      <c r="H3258" s="583" t="n"/>
      <c r="I3258" s="510" t="n"/>
    </row>
    <row r="3259" ht="19.95" customFormat="1" customHeight="1" s="511">
      <c r="A3259" s="277" t="n"/>
      <c r="B3259" s="285" t="n"/>
      <c r="C3259" s="579" t="n"/>
      <c r="D3259" s="580" t="n"/>
      <c r="E3259" s="581" t="n"/>
      <c r="F3259" s="577" t="n"/>
      <c r="G3259" s="582" t="n"/>
      <c r="H3259" s="583" t="n"/>
      <c r="I3259" s="510" t="n"/>
    </row>
    <row r="3260" ht="19.95" customFormat="1" customHeight="1" s="511">
      <c r="A3260" s="277" t="n"/>
      <c r="B3260" s="285" t="n"/>
      <c r="C3260" s="579" t="n"/>
      <c r="D3260" s="580" t="n"/>
      <c r="E3260" s="581" t="n"/>
      <c r="F3260" s="577" t="n"/>
      <c r="G3260" s="582" t="n"/>
      <c r="H3260" s="583" t="n"/>
      <c r="I3260" s="510" t="n"/>
    </row>
    <row r="3261" ht="19.95" customFormat="1" customHeight="1" s="511">
      <c r="A3261" s="277" t="n"/>
      <c r="B3261" s="285" t="n"/>
      <c r="C3261" s="579" t="n"/>
      <c r="D3261" s="580" t="n"/>
      <c r="E3261" s="581" t="n"/>
      <c r="F3261" s="577" t="n"/>
      <c r="G3261" s="582" t="n"/>
      <c r="H3261" s="583" t="n"/>
      <c r="I3261" s="510" t="n"/>
    </row>
    <row r="3262" ht="19.95" customFormat="1" customHeight="1" s="511">
      <c r="A3262" s="277" t="n"/>
      <c r="B3262" s="285" t="n"/>
      <c r="C3262" s="579" t="n"/>
      <c r="D3262" s="580" t="n"/>
      <c r="E3262" s="581" t="n"/>
      <c r="F3262" s="577" t="n"/>
      <c r="G3262" s="582" t="n"/>
      <c r="H3262" s="583" t="n"/>
      <c r="I3262" s="510" t="n"/>
    </row>
    <row r="3263" ht="19.95" customFormat="1" customHeight="1" s="511">
      <c r="A3263" s="277" t="n"/>
      <c r="B3263" s="285" t="n"/>
      <c r="C3263" s="579" t="n"/>
      <c r="D3263" s="580" t="n"/>
      <c r="E3263" s="581" t="n"/>
      <c r="F3263" s="577" t="n"/>
      <c r="G3263" s="582" t="n"/>
      <c r="H3263" s="583" t="n"/>
      <c r="I3263" s="510" t="n"/>
    </row>
    <row r="3264" ht="19.95" customFormat="1" customHeight="1" s="511">
      <c r="A3264" s="277" t="n"/>
      <c r="B3264" s="285" t="n"/>
      <c r="C3264" s="579" t="n"/>
      <c r="D3264" s="580" t="n"/>
      <c r="E3264" s="581" t="n"/>
      <c r="F3264" s="577" t="n"/>
      <c r="G3264" s="582" t="n"/>
      <c r="H3264" s="583" t="n"/>
      <c r="I3264" s="510" t="n"/>
    </row>
    <row r="3265" ht="19.95" customFormat="1" customHeight="1" s="511">
      <c r="A3265" s="277" t="n"/>
      <c r="B3265" s="285" t="n"/>
      <c r="C3265" s="579" t="n"/>
      <c r="D3265" s="580" t="n"/>
      <c r="E3265" s="581" t="n"/>
      <c r="F3265" s="577" t="n"/>
      <c r="G3265" s="582" t="n"/>
      <c r="H3265" s="583" t="n"/>
      <c r="I3265" s="510" t="n"/>
    </row>
    <row r="3266" ht="19.95" customFormat="1" customHeight="1" s="511">
      <c r="A3266" s="277" t="n"/>
      <c r="B3266" s="285" t="n"/>
      <c r="C3266" s="579" t="n"/>
      <c r="D3266" s="580" t="n"/>
      <c r="E3266" s="581" t="n"/>
      <c r="F3266" s="577" t="n"/>
      <c r="G3266" s="582" t="n"/>
      <c r="H3266" s="583" t="n"/>
      <c r="I3266" s="510" t="n"/>
    </row>
    <row r="3267" ht="19.95" customFormat="1" customHeight="1" s="511">
      <c r="A3267" s="277" t="n"/>
      <c r="B3267" s="285" t="n"/>
      <c r="C3267" s="579" t="n"/>
      <c r="D3267" s="580" t="n"/>
      <c r="E3267" s="581" t="n"/>
      <c r="F3267" s="577" t="n"/>
      <c r="G3267" s="582" t="n"/>
      <c r="H3267" s="583" t="n"/>
      <c r="I3267" s="510" t="n"/>
    </row>
    <row r="3268" ht="19.95" customFormat="1" customHeight="1" s="511">
      <c r="A3268" s="277" t="n"/>
      <c r="B3268" s="285" t="n"/>
      <c r="C3268" s="579" t="n"/>
      <c r="D3268" s="580" t="n"/>
      <c r="E3268" s="581" t="n"/>
      <c r="F3268" s="577" t="n"/>
      <c r="G3268" s="582" t="n"/>
      <c r="H3268" s="583" t="n"/>
      <c r="I3268" s="510" t="n"/>
    </row>
    <row r="3269" ht="19.95" customFormat="1" customHeight="1" s="511">
      <c r="A3269" s="277" t="n"/>
      <c r="B3269" s="285" t="n"/>
      <c r="C3269" s="579" t="n"/>
      <c r="D3269" s="580" t="n"/>
      <c r="E3269" s="581" t="n"/>
      <c r="F3269" s="577" t="n"/>
      <c r="G3269" s="582" t="n"/>
      <c r="H3269" s="583" t="n"/>
      <c r="I3269" s="510" t="n"/>
    </row>
    <row r="3270" ht="19.95" customFormat="1" customHeight="1" s="511">
      <c r="A3270" s="277" t="n"/>
      <c r="B3270" s="285" t="n"/>
      <c r="C3270" s="579" t="n"/>
      <c r="D3270" s="580" t="n"/>
      <c r="E3270" s="581" t="n"/>
      <c r="F3270" s="577" t="n"/>
      <c r="G3270" s="582" t="n"/>
      <c r="H3270" s="583" t="n"/>
      <c r="I3270" s="510" t="n"/>
    </row>
    <row r="3271" ht="19.95" customFormat="1" customHeight="1" s="511">
      <c r="A3271" s="277" t="n"/>
      <c r="B3271" s="285" t="n"/>
      <c r="C3271" s="579" t="n"/>
      <c r="D3271" s="580" t="n"/>
      <c r="E3271" s="581" t="n"/>
      <c r="F3271" s="577" t="n"/>
      <c r="G3271" s="582" t="n"/>
      <c r="H3271" s="583" t="n"/>
      <c r="I3271" s="510" t="n"/>
    </row>
    <row r="3272" ht="19.95" customFormat="1" customHeight="1" s="511">
      <c r="A3272" s="277" t="n"/>
      <c r="B3272" s="285" t="n"/>
      <c r="C3272" s="579" t="n"/>
      <c r="D3272" s="580" t="n"/>
      <c r="E3272" s="581" t="n"/>
      <c r="F3272" s="577" t="n"/>
      <c r="G3272" s="582" t="n"/>
      <c r="H3272" s="583" t="n"/>
      <c r="I3272" s="510" t="n"/>
    </row>
    <row r="3273" ht="19.95" customFormat="1" customHeight="1" s="511">
      <c r="A3273" s="277" t="n"/>
      <c r="B3273" s="285" t="n"/>
      <c r="C3273" s="579" t="n"/>
      <c r="D3273" s="580" t="n"/>
      <c r="E3273" s="581" t="n"/>
      <c r="F3273" s="577" t="n"/>
      <c r="G3273" s="582" t="n"/>
      <c r="H3273" s="583" t="n"/>
      <c r="I3273" s="510" t="n"/>
    </row>
    <row r="3274" ht="19.95" customFormat="1" customHeight="1" s="511">
      <c r="A3274" s="277" t="n"/>
      <c r="B3274" s="285" t="n"/>
      <c r="C3274" s="579" t="n"/>
      <c r="D3274" s="580" t="n"/>
      <c r="E3274" s="581" t="n"/>
      <c r="F3274" s="577" t="n"/>
      <c r="G3274" s="582" t="n"/>
      <c r="H3274" s="583" t="n"/>
      <c r="I3274" s="510" t="n"/>
    </row>
    <row r="3275" ht="19.95" customFormat="1" customHeight="1" s="511">
      <c r="A3275" s="277" t="n"/>
      <c r="B3275" s="285" t="n"/>
      <c r="C3275" s="579" t="n"/>
      <c r="D3275" s="580" t="n"/>
      <c r="E3275" s="581" t="n"/>
      <c r="F3275" s="577" t="n"/>
      <c r="G3275" s="582" t="n"/>
      <c r="H3275" s="583" t="n"/>
      <c r="I3275" s="510" t="n"/>
    </row>
    <row r="3276" ht="19.95" customFormat="1" customHeight="1" s="511">
      <c r="A3276" s="277" t="n"/>
      <c r="B3276" s="285" t="n"/>
      <c r="C3276" s="579" t="n"/>
      <c r="D3276" s="580" t="n"/>
      <c r="E3276" s="581" t="n"/>
      <c r="F3276" s="577" t="n"/>
      <c r="G3276" s="582" t="n"/>
      <c r="H3276" s="583" t="n"/>
      <c r="I3276" s="510" t="n"/>
    </row>
    <row r="3277" ht="19.95" customFormat="1" customHeight="1" s="511">
      <c r="A3277" s="277" t="n"/>
      <c r="B3277" s="285" t="n"/>
      <c r="C3277" s="579" t="n"/>
      <c r="D3277" s="580" t="n"/>
      <c r="E3277" s="581" t="n"/>
      <c r="F3277" s="577" t="n"/>
      <c r="G3277" s="582" t="n"/>
      <c r="H3277" s="583" t="n"/>
      <c r="I3277" s="510" t="n"/>
    </row>
    <row r="3278" ht="19.95" customFormat="1" customHeight="1" s="511">
      <c r="A3278" s="277" t="n"/>
      <c r="B3278" s="285" t="n"/>
      <c r="C3278" s="579" t="n"/>
      <c r="D3278" s="580" t="n"/>
      <c r="E3278" s="581" t="n"/>
      <c r="F3278" s="577" t="n"/>
      <c r="G3278" s="582" t="n"/>
      <c r="H3278" s="583" t="n"/>
      <c r="I3278" s="510" t="n"/>
    </row>
    <row r="3279" ht="19.95" customFormat="1" customHeight="1" s="511">
      <c r="A3279" s="277" t="n"/>
      <c r="B3279" s="285" t="n"/>
      <c r="C3279" s="579" t="n"/>
      <c r="D3279" s="580" t="n"/>
      <c r="E3279" s="581" t="n"/>
      <c r="F3279" s="577" t="n"/>
      <c r="G3279" s="582" t="n"/>
      <c r="H3279" s="583" t="n"/>
      <c r="I3279" s="510" t="n"/>
    </row>
    <row r="3280" ht="19.95" customFormat="1" customHeight="1" s="511">
      <c r="A3280" s="277" t="n"/>
      <c r="B3280" s="285" t="n"/>
      <c r="C3280" s="579" t="n"/>
      <c r="D3280" s="580" t="n"/>
      <c r="E3280" s="581" t="n"/>
      <c r="F3280" s="577" t="n"/>
      <c r="G3280" s="582" t="n"/>
      <c r="H3280" s="583" t="n"/>
      <c r="I3280" s="510" t="n"/>
    </row>
    <row r="3281" ht="19.95" customFormat="1" customHeight="1" s="511">
      <c r="A3281" s="277" t="n"/>
      <c r="B3281" s="285" t="n"/>
      <c r="C3281" s="579" t="n"/>
      <c r="D3281" s="580" t="n"/>
      <c r="E3281" s="581" t="n"/>
      <c r="F3281" s="577" t="n"/>
      <c r="G3281" s="582" t="n"/>
      <c r="H3281" s="583" t="n"/>
      <c r="I3281" s="510" t="n"/>
    </row>
    <row r="3282" ht="19.95" customFormat="1" customHeight="1" s="511">
      <c r="A3282" s="277" t="n"/>
      <c r="B3282" s="285" t="n"/>
      <c r="C3282" s="579" t="n"/>
      <c r="D3282" s="580" t="n"/>
      <c r="E3282" s="581" t="n"/>
      <c r="F3282" s="577" t="n"/>
      <c r="G3282" s="582" t="n"/>
      <c r="H3282" s="583" t="n"/>
      <c r="I3282" s="510" t="n"/>
    </row>
    <row r="3283" ht="19.95" customFormat="1" customHeight="1" s="511">
      <c r="A3283" s="277" t="n"/>
      <c r="B3283" s="285" t="n"/>
      <c r="C3283" s="579" t="n"/>
      <c r="D3283" s="580" t="n"/>
      <c r="E3283" s="581" t="n"/>
      <c r="F3283" s="577" t="n"/>
      <c r="G3283" s="582" t="n"/>
      <c r="H3283" s="583" t="n"/>
      <c r="I3283" s="510" t="n"/>
    </row>
    <row r="3284" ht="19.95" customFormat="1" customHeight="1" s="511">
      <c r="A3284" s="277" t="n"/>
      <c r="B3284" s="285" t="n"/>
      <c r="C3284" s="579" t="n"/>
      <c r="D3284" s="580" t="n"/>
      <c r="E3284" s="581" t="n"/>
      <c r="F3284" s="577" t="n"/>
      <c r="G3284" s="582" t="n"/>
      <c r="H3284" s="583" t="n"/>
      <c r="I3284" s="510" t="n"/>
    </row>
    <row r="3285" ht="19.95" customFormat="1" customHeight="1" s="511">
      <c r="A3285" s="277" t="n"/>
      <c r="B3285" s="285" t="n"/>
      <c r="C3285" s="579" t="n"/>
      <c r="D3285" s="580" t="n"/>
      <c r="E3285" s="581" t="n"/>
      <c r="F3285" s="577" t="n"/>
      <c r="G3285" s="582" t="n"/>
      <c r="H3285" s="583" t="n"/>
      <c r="I3285" s="510" t="n"/>
    </row>
    <row r="3286" ht="19.95" customFormat="1" customHeight="1" s="511">
      <c r="A3286" s="277" t="n"/>
      <c r="B3286" s="285" t="n"/>
      <c r="C3286" s="579" t="n"/>
      <c r="D3286" s="580" t="n"/>
      <c r="E3286" s="581" t="n"/>
      <c r="F3286" s="577" t="n"/>
      <c r="G3286" s="582" t="n"/>
      <c r="H3286" s="583" t="n"/>
      <c r="I3286" s="510" t="n"/>
    </row>
    <row r="3287" ht="19.95" customFormat="1" customHeight="1" s="511">
      <c r="A3287" s="277" t="n"/>
      <c r="B3287" s="285" t="n"/>
      <c r="C3287" s="579" t="n"/>
      <c r="D3287" s="580" t="n"/>
      <c r="E3287" s="581" t="n"/>
      <c r="F3287" s="577" t="n"/>
      <c r="G3287" s="582" t="n"/>
      <c r="H3287" s="583" t="n"/>
      <c r="I3287" s="510" t="n"/>
    </row>
    <row r="3288" ht="19.95" customFormat="1" customHeight="1" s="511">
      <c r="A3288" s="277" t="n"/>
      <c r="B3288" s="285" t="n"/>
      <c r="C3288" s="579" t="n"/>
      <c r="D3288" s="580" t="n"/>
      <c r="E3288" s="581" t="n"/>
      <c r="F3288" s="577" t="n"/>
      <c r="G3288" s="582" t="n"/>
      <c r="H3288" s="583" t="n"/>
      <c r="I3288" s="510" t="n"/>
    </row>
    <row r="3289" ht="19.95" customFormat="1" customHeight="1" s="511">
      <c r="A3289" s="277" t="n"/>
      <c r="B3289" s="285" t="n"/>
      <c r="C3289" s="579" t="n"/>
      <c r="D3289" s="580" t="n"/>
      <c r="E3289" s="581" t="n"/>
      <c r="F3289" s="577" t="n"/>
      <c r="G3289" s="582" t="n"/>
      <c r="H3289" s="583" t="n"/>
      <c r="I3289" s="510" t="n"/>
    </row>
    <row r="3290" ht="19.95" customFormat="1" customHeight="1" s="511">
      <c r="A3290" s="277" t="n"/>
      <c r="B3290" s="285" t="n"/>
      <c r="C3290" s="579" t="n"/>
      <c r="D3290" s="580" t="n"/>
      <c r="E3290" s="581" t="n"/>
      <c r="F3290" s="577" t="n"/>
      <c r="G3290" s="582" t="n"/>
      <c r="H3290" s="583" t="n"/>
      <c r="I3290" s="510" t="n"/>
    </row>
    <row r="3291" ht="19.95" customFormat="1" customHeight="1" s="511">
      <c r="A3291" s="277" t="n"/>
      <c r="B3291" s="285" t="n"/>
      <c r="C3291" s="579" t="n"/>
      <c r="D3291" s="580" t="n"/>
      <c r="E3291" s="581" t="n"/>
      <c r="F3291" s="577" t="n"/>
      <c r="G3291" s="582" t="n"/>
      <c r="H3291" s="583" t="n"/>
      <c r="I3291" s="510" t="n"/>
    </row>
    <row r="3292" ht="19.95" customFormat="1" customHeight="1" s="511">
      <c r="A3292" s="277" t="n"/>
      <c r="B3292" s="285" t="n"/>
      <c r="C3292" s="579" t="n"/>
      <c r="D3292" s="580" t="n"/>
      <c r="E3292" s="581" t="n"/>
      <c r="F3292" s="577" t="n"/>
      <c r="G3292" s="582" t="n"/>
      <c r="H3292" s="583" t="n"/>
      <c r="I3292" s="510" t="n"/>
    </row>
    <row r="3293" ht="19.95" customFormat="1" customHeight="1" s="511">
      <c r="A3293" s="277" t="n"/>
      <c r="B3293" s="285" t="n"/>
      <c r="C3293" s="579" t="n"/>
      <c r="D3293" s="580" t="n"/>
      <c r="E3293" s="581" t="n"/>
      <c r="F3293" s="577" t="n"/>
      <c r="G3293" s="582" t="n"/>
      <c r="H3293" s="583" t="n"/>
      <c r="I3293" s="510" t="n"/>
    </row>
    <row r="3294" ht="19.95" customFormat="1" customHeight="1" s="511">
      <c r="A3294" s="277" t="n"/>
      <c r="B3294" s="285" t="n"/>
      <c r="C3294" s="579" t="n"/>
      <c r="D3294" s="580" t="n"/>
      <c r="E3294" s="581" t="n"/>
      <c r="F3294" s="577" t="n"/>
      <c r="G3294" s="582" t="n"/>
      <c r="H3294" s="583" t="n"/>
      <c r="I3294" s="510" t="n"/>
    </row>
    <row r="3295" ht="19.95" customFormat="1" customHeight="1" s="511">
      <c r="A3295" s="277" t="n"/>
      <c r="B3295" s="285" t="n"/>
      <c r="C3295" s="579" t="n"/>
      <c r="D3295" s="580" t="n"/>
      <c r="E3295" s="581" t="n"/>
      <c r="F3295" s="577" t="n"/>
      <c r="G3295" s="582" t="n"/>
      <c r="H3295" s="583" t="n"/>
      <c r="I3295" s="510" t="n"/>
    </row>
    <row r="3296" ht="19.95" customFormat="1" customHeight="1" s="511">
      <c r="A3296" s="277" t="n"/>
      <c r="B3296" s="285" t="n"/>
      <c r="C3296" s="579" t="n"/>
      <c r="D3296" s="580" t="n"/>
      <c r="E3296" s="581" t="n"/>
      <c r="F3296" s="577" t="n"/>
      <c r="G3296" s="582" t="n"/>
      <c r="H3296" s="583" t="n"/>
      <c r="I3296" s="510" t="n"/>
    </row>
    <row r="3297" ht="19.95" customFormat="1" customHeight="1" s="511">
      <c r="A3297" s="277" t="n"/>
      <c r="B3297" s="285" t="n"/>
      <c r="C3297" s="579" t="n"/>
      <c r="D3297" s="580" t="n"/>
      <c r="E3297" s="581" t="n"/>
      <c r="F3297" s="577" t="n"/>
      <c r="G3297" s="582" t="n"/>
      <c r="H3297" s="583" t="n"/>
      <c r="I3297" s="510" t="n"/>
    </row>
    <row r="3298" ht="19.95" customFormat="1" customHeight="1" s="511">
      <c r="A3298" s="277" t="n"/>
      <c r="B3298" s="285" t="n"/>
      <c r="C3298" s="579" t="n"/>
      <c r="D3298" s="580" t="n"/>
      <c r="E3298" s="581" t="n"/>
      <c r="F3298" s="577" t="n"/>
      <c r="G3298" s="582" t="n"/>
      <c r="H3298" s="583" t="n"/>
      <c r="I3298" s="510" t="n"/>
    </row>
    <row r="3299" ht="19.95" customFormat="1" customHeight="1" s="511">
      <c r="A3299" s="277" t="n"/>
      <c r="B3299" s="285" t="n"/>
      <c r="C3299" s="579" t="n"/>
      <c r="D3299" s="580" t="n"/>
      <c r="E3299" s="581" t="n"/>
      <c r="F3299" s="577" t="n"/>
      <c r="G3299" s="582" t="n"/>
      <c r="H3299" s="583" t="n"/>
      <c r="I3299" s="510" t="n"/>
    </row>
    <row r="3300" ht="19.95" customFormat="1" customHeight="1" s="511">
      <c r="A3300" s="277" t="n"/>
      <c r="B3300" s="285" t="n"/>
      <c r="C3300" s="579" t="n"/>
      <c r="D3300" s="580" t="n"/>
      <c r="E3300" s="581" t="n"/>
      <c r="F3300" s="577" t="n"/>
      <c r="G3300" s="582" t="n"/>
      <c r="H3300" s="583" t="n"/>
      <c r="I3300" s="510" t="n"/>
    </row>
    <row r="3301" ht="19.95" customFormat="1" customHeight="1" s="511">
      <c r="A3301" s="277" t="n"/>
      <c r="B3301" s="285" t="n"/>
      <c r="C3301" s="579" t="n"/>
      <c r="D3301" s="580" t="n"/>
      <c r="E3301" s="581" t="n"/>
      <c r="F3301" s="577" t="n"/>
      <c r="G3301" s="582" t="n"/>
      <c r="H3301" s="583" t="n"/>
      <c r="I3301" s="510" t="n"/>
    </row>
    <row r="3302" ht="19.95" customFormat="1" customHeight="1" s="511">
      <c r="A3302" s="277" t="n"/>
      <c r="B3302" s="285" t="n"/>
      <c r="C3302" s="579" t="n"/>
      <c r="D3302" s="580" t="n"/>
      <c r="E3302" s="581" t="n"/>
      <c r="F3302" s="577" t="n"/>
      <c r="G3302" s="582" t="n"/>
      <c r="H3302" s="583" t="n"/>
      <c r="I3302" s="510" t="n"/>
    </row>
    <row r="3303" ht="19.95" customFormat="1" customHeight="1" s="511">
      <c r="A3303" s="277" t="n"/>
      <c r="B3303" s="285" t="n"/>
      <c r="C3303" s="579" t="n"/>
      <c r="D3303" s="580" t="n"/>
      <c r="E3303" s="581" t="n"/>
      <c r="F3303" s="577" t="n"/>
      <c r="G3303" s="582" t="n"/>
      <c r="H3303" s="583" t="n"/>
      <c r="I3303" s="510" t="n"/>
    </row>
    <row r="3304" ht="19.95" customFormat="1" customHeight="1" s="511">
      <c r="A3304" s="277" t="n"/>
      <c r="B3304" s="285" t="n"/>
      <c r="C3304" s="579" t="n"/>
      <c r="D3304" s="580" t="n"/>
      <c r="E3304" s="581" t="n"/>
      <c r="F3304" s="577" t="n"/>
      <c r="G3304" s="582" t="n"/>
      <c r="H3304" s="583" t="n"/>
      <c r="I3304" s="510" t="n"/>
    </row>
    <row r="3305" ht="19.95" customFormat="1" customHeight="1" s="511">
      <c r="A3305" s="277" t="n"/>
      <c r="B3305" s="285" t="n"/>
      <c r="C3305" s="579" t="n"/>
      <c r="D3305" s="580" t="n"/>
      <c r="E3305" s="581" t="n"/>
      <c r="F3305" s="577" t="n"/>
      <c r="G3305" s="582" t="n"/>
      <c r="H3305" s="583" t="n"/>
      <c r="I3305" s="510" t="n"/>
    </row>
    <row r="3306" ht="19.95" customFormat="1" customHeight="1" s="511">
      <c r="A3306" s="277" t="n"/>
      <c r="B3306" s="285" t="n"/>
      <c r="C3306" s="579" t="n"/>
      <c r="D3306" s="580" t="n"/>
      <c r="E3306" s="581" t="n"/>
      <c r="F3306" s="577" t="n"/>
      <c r="G3306" s="582" t="n"/>
      <c r="H3306" s="583" t="n"/>
      <c r="I3306" s="510" t="n"/>
    </row>
    <row r="3307" ht="19.95" customFormat="1" customHeight="1" s="511">
      <c r="A3307" s="277" t="n"/>
      <c r="B3307" s="285" t="n"/>
      <c r="C3307" s="579" t="n"/>
      <c r="D3307" s="580" t="n"/>
      <c r="E3307" s="581" t="n"/>
      <c r="F3307" s="577" t="n"/>
      <c r="G3307" s="582" t="n"/>
      <c r="H3307" s="583" t="n"/>
      <c r="I3307" s="510" t="n"/>
    </row>
    <row r="3308" ht="19.95" customFormat="1" customHeight="1" s="511">
      <c r="A3308" s="277" t="n"/>
      <c r="B3308" s="285" t="n"/>
      <c r="C3308" s="579" t="n"/>
      <c r="D3308" s="580" t="n"/>
      <c r="E3308" s="581" t="n"/>
      <c r="F3308" s="577" t="n"/>
      <c r="G3308" s="582" t="n"/>
      <c r="H3308" s="583" t="n"/>
      <c r="I3308" s="510" t="n"/>
    </row>
    <row r="3309" ht="19.95" customFormat="1" customHeight="1" s="511">
      <c r="A3309" s="277" t="n"/>
      <c r="B3309" s="285" t="n"/>
      <c r="C3309" s="579" t="n"/>
      <c r="D3309" s="580" t="n"/>
      <c r="E3309" s="581" t="n"/>
      <c r="F3309" s="577" t="n"/>
      <c r="G3309" s="582" t="n"/>
      <c r="H3309" s="583" t="n"/>
      <c r="I3309" s="510" t="n"/>
    </row>
    <row r="3310" ht="19.95" customFormat="1" customHeight="1" s="511">
      <c r="A3310" s="277" t="n"/>
      <c r="B3310" s="285" t="n"/>
      <c r="C3310" s="579" t="n"/>
      <c r="D3310" s="580" t="n"/>
      <c r="E3310" s="581" t="n"/>
      <c r="F3310" s="577" t="n"/>
      <c r="G3310" s="582" t="n"/>
      <c r="H3310" s="583" t="n"/>
      <c r="I3310" s="510" t="n"/>
    </row>
    <row r="3311" ht="19.95" customFormat="1" customHeight="1" s="511">
      <c r="A3311" s="277" t="n"/>
      <c r="B3311" s="285" t="n"/>
      <c r="C3311" s="579" t="n"/>
      <c r="D3311" s="580" t="n"/>
      <c r="E3311" s="581" t="n"/>
      <c r="F3311" s="577" t="n"/>
      <c r="G3311" s="582" t="n"/>
      <c r="H3311" s="583" t="n"/>
      <c r="I3311" s="510" t="n"/>
    </row>
    <row r="3312" ht="19.95" customFormat="1" customHeight="1" s="511">
      <c r="A3312" s="277" t="n"/>
      <c r="B3312" s="285" t="n"/>
      <c r="C3312" s="579" t="n"/>
      <c r="D3312" s="580" t="n"/>
      <c r="E3312" s="581" t="n"/>
      <c r="F3312" s="577" t="n"/>
      <c r="G3312" s="582" t="n"/>
      <c r="H3312" s="583" t="n"/>
      <c r="I3312" s="510" t="n"/>
    </row>
    <row r="3313" ht="19.95" customFormat="1" customHeight="1" s="511">
      <c r="A3313" s="277" t="n"/>
      <c r="B3313" s="285" t="n"/>
      <c r="C3313" s="579" t="n"/>
      <c r="D3313" s="580" t="n"/>
      <c r="E3313" s="581" t="n"/>
      <c r="F3313" s="577" t="n"/>
      <c r="G3313" s="582" t="n"/>
      <c r="H3313" s="583" t="n"/>
      <c r="I3313" s="510" t="n"/>
    </row>
    <row r="3314" ht="19.95" customFormat="1" customHeight="1" s="511">
      <c r="A3314" s="277" t="n"/>
      <c r="B3314" s="285" t="n"/>
      <c r="C3314" s="579" t="n"/>
      <c r="D3314" s="580" t="n"/>
      <c r="E3314" s="581" t="n"/>
      <c r="F3314" s="577" t="n"/>
      <c r="G3314" s="582" t="n"/>
      <c r="H3314" s="583" t="n"/>
      <c r="I3314" s="510" t="n"/>
    </row>
    <row r="3315" ht="19.95" customFormat="1" customHeight="1" s="511">
      <c r="A3315" s="277" t="n"/>
      <c r="B3315" s="285" t="n"/>
      <c r="C3315" s="579" t="n"/>
      <c r="D3315" s="580" t="n"/>
      <c r="E3315" s="581" t="n"/>
      <c r="F3315" s="577" t="n"/>
      <c r="G3315" s="582" t="n"/>
      <c r="H3315" s="583" t="n"/>
      <c r="I3315" s="510" t="n"/>
    </row>
    <row r="3316" ht="19.95" customFormat="1" customHeight="1" s="511">
      <c r="A3316" s="277" t="n"/>
      <c r="B3316" s="285" t="n"/>
      <c r="C3316" s="579" t="n"/>
      <c r="D3316" s="580" t="n"/>
      <c r="E3316" s="581" t="n"/>
      <c r="F3316" s="577" t="n"/>
      <c r="G3316" s="582" t="n"/>
      <c r="H3316" s="583" t="n"/>
      <c r="I3316" s="510" t="n"/>
    </row>
    <row r="3317" ht="19.95" customFormat="1" customHeight="1" s="511">
      <c r="A3317" s="277" t="n"/>
      <c r="B3317" s="285" t="n"/>
      <c r="C3317" s="579" t="n"/>
      <c r="D3317" s="580" t="n"/>
      <c r="E3317" s="581" t="n"/>
      <c r="F3317" s="577" t="n"/>
      <c r="G3317" s="582" t="n"/>
      <c r="H3317" s="583" t="n"/>
      <c r="I3317" s="510" t="n"/>
    </row>
    <row r="3318" ht="19.95" customFormat="1" customHeight="1" s="511">
      <c r="A3318" s="277" t="n"/>
      <c r="B3318" s="285" t="n"/>
      <c r="C3318" s="579" t="n"/>
      <c r="D3318" s="580" t="n"/>
      <c r="E3318" s="581" t="n"/>
      <c r="F3318" s="577" t="n"/>
      <c r="G3318" s="582" t="n"/>
      <c r="H3318" s="583" t="n"/>
      <c r="I3318" s="510" t="n"/>
    </row>
    <row r="3319" ht="19.95" customFormat="1" customHeight="1" s="511">
      <c r="A3319" s="277" t="n"/>
      <c r="B3319" s="285" t="n"/>
      <c r="C3319" s="579" t="n"/>
      <c r="D3319" s="580" t="n"/>
      <c r="E3319" s="581" t="n"/>
      <c r="F3319" s="577" t="n"/>
      <c r="G3319" s="582" t="n"/>
      <c r="H3319" s="583" t="n"/>
      <c r="I3319" s="510" t="n"/>
    </row>
    <row r="3320" ht="19.95" customFormat="1" customHeight="1" s="511">
      <c r="A3320" s="277" t="n"/>
      <c r="B3320" s="285" t="n"/>
      <c r="C3320" s="579" t="n"/>
      <c r="D3320" s="580" t="n"/>
      <c r="E3320" s="581" t="n"/>
      <c r="F3320" s="577" t="n"/>
      <c r="G3320" s="582" t="n"/>
      <c r="H3320" s="583" t="n"/>
      <c r="I3320" s="510" t="n"/>
    </row>
    <row r="3321" ht="19.95" customFormat="1" customHeight="1" s="511">
      <c r="A3321" s="277" t="n"/>
      <c r="B3321" s="285" t="n"/>
      <c r="C3321" s="579" t="n"/>
      <c r="D3321" s="580" t="n"/>
      <c r="E3321" s="581" t="n"/>
      <c r="F3321" s="577" t="n"/>
      <c r="G3321" s="582" t="n"/>
      <c r="H3321" s="583" t="n"/>
      <c r="I3321" s="510" t="n"/>
    </row>
    <row r="3322" ht="19.95" customFormat="1" customHeight="1" s="511">
      <c r="A3322" s="277" t="n"/>
      <c r="B3322" s="285" t="n"/>
      <c r="C3322" s="579" t="n"/>
      <c r="D3322" s="580" t="n"/>
      <c r="E3322" s="581" t="n"/>
      <c r="F3322" s="577" t="n"/>
      <c r="G3322" s="582" t="n"/>
      <c r="H3322" s="583" t="n"/>
      <c r="I3322" s="510" t="n"/>
    </row>
    <row r="3323" ht="19.95" customFormat="1" customHeight="1" s="511">
      <c r="A3323" s="277" t="n"/>
      <c r="B3323" s="285" t="n"/>
      <c r="C3323" s="579" t="n"/>
      <c r="D3323" s="580" t="n"/>
      <c r="E3323" s="581" t="n"/>
      <c r="F3323" s="577" t="n"/>
      <c r="G3323" s="582" t="n"/>
      <c r="H3323" s="583" t="n"/>
      <c r="I3323" s="510" t="n"/>
    </row>
    <row r="3324" ht="19.95" customFormat="1" customHeight="1" s="511">
      <c r="A3324" s="277" t="n"/>
      <c r="B3324" s="285" t="n"/>
      <c r="C3324" s="579" t="n"/>
      <c r="D3324" s="580" t="n"/>
      <c r="E3324" s="581" t="n"/>
      <c r="F3324" s="577" t="n"/>
      <c r="G3324" s="582" t="n"/>
      <c r="H3324" s="583" t="n"/>
      <c r="I3324" s="510" t="n"/>
    </row>
    <row r="3325" ht="19.95" customFormat="1" customHeight="1" s="511">
      <c r="A3325" s="277" t="n"/>
      <c r="B3325" s="285" t="n"/>
      <c r="C3325" s="579" t="n"/>
      <c r="D3325" s="580" t="n"/>
      <c r="E3325" s="581" t="n"/>
      <c r="F3325" s="577" t="n"/>
      <c r="G3325" s="582" t="n"/>
      <c r="H3325" s="583" t="n"/>
      <c r="I3325" s="510" t="n"/>
    </row>
    <row r="3326" ht="19.95" customFormat="1" customHeight="1" s="511">
      <c r="A3326" s="277" t="n"/>
      <c r="B3326" s="285" t="n"/>
      <c r="C3326" s="579" t="n"/>
      <c r="D3326" s="580" t="n"/>
      <c r="E3326" s="581" t="n"/>
      <c r="F3326" s="577" t="n"/>
      <c r="G3326" s="582" t="n"/>
      <c r="H3326" s="583" t="n"/>
      <c r="I3326" s="510" t="n"/>
    </row>
    <row r="3327" ht="19.95" customFormat="1" customHeight="1" s="511">
      <c r="A3327" s="277" t="n"/>
      <c r="B3327" s="285" t="n"/>
      <c r="C3327" s="579" t="n"/>
      <c r="D3327" s="580" t="n"/>
      <c r="E3327" s="581" t="n"/>
      <c r="F3327" s="577" t="n"/>
      <c r="G3327" s="582" t="n"/>
      <c r="H3327" s="583" t="n"/>
      <c r="I3327" s="510" t="n"/>
    </row>
    <row r="3328" ht="19.95" customFormat="1" customHeight="1" s="511">
      <c r="A3328" s="277" t="n"/>
      <c r="B3328" s="285" t="n"/>
      <c r="C3328" s="579" t="n"/>
      <c r="D3328" s="580" t="n"/>
      <c r="E3328" s="581" t="n"/>
      <c r="F3328" s="577" t="n"/>
      <c r="G3328" s="582" t="n"/>
      <c r="H3328" s="583" t="n"/>
      <c r="I3328" s="510" t="n"/>
    </row>
    <row r="3329" ht="19.95" customFormat="1" customHeight="1" s="511">
      <c r="A3329" s="277" t="n"/>
      <c r="B3329" s="285" t="n"/>
      <c r="C3329" s="579" t="n"/>
      <c r="D3329" s="580" t="n"/>
      <c r="E3329" s="581" t="n"/>
      <c r="F3329" s="577" t="n"/>
      <c r="G3329" s="582" t="n"/>
      <c r="H3329" s="583" t="n"/>
      <c r="I3329" s="510" t="n"/>
    </row>
    <row r="3330" ht="19.95" customFormat="1" customHeight="1" s="511">
      <c r="A3330" s="277" t="n"/>
      <c r="B3330" s="285" t="n"/>
      <c r="C3330" s="579" t="n"/>
      <c r="D3330" s="580" t="n"/>
      <c r="E3330" s="581" t="n"/>
      <c r="F3330" s="577" t="n"/>
      <c r="G3330" s="582" t="n"/>
      <c r="H3330" s="583" t="n"/>
      <c r="I3330" s="510" t="n"/>
    </row>
    <row r="3331" ht="19.95" customFormat="1" customHeight="1" s="511">
      <c r="A3331" s="277" t="n"/>
      <c r="B3331" s="285" t="n"/>
      <c r="C3331" s="579" t="n"/>
      <c r="D3331" s="580" t="n"/>
      <c r="E3331" s="581" t="n"/>
      <c r="F3331" s="577" t="n"/>
      <c r="G3331" s="582" t="n"/>
      <c r="H3331" s="583" t="n"/>
      <c r="I3331" s="510" t="n"/>
    </row>
    <row r="3332" ht="19.95" customFormat="1" customHeight="1" s="511">
      <c r="A3332" s="277" t="n"/>
      <c r="B3332" s="285" t="n"/>
      <c r="C3332" s="579" t="n"/>
      <c r="D3332" s="580" t="n"/>
      <c r="E3332" s="581" t="n"/>
      <c r="F3332" s="577" t="n"/>
      <c r="G3332" s="582" t="n"/>
      <c r="H3332" s="583" t="n"/>
      <c r="I3332" s="510" t="n"/>
    </row>
    <row r="3333" ht="19.95" customFormat="1" customHeight="1" s="511">
      <c r="A3333" s="277" t="n"/>
      <c r="B3333" s="285" t="n"/>
      <c r="C3333" s="579" t="n"/>
      <c r="D3333" s="580" t="n"/>
      <c r="E3333" s="581" t="n"/>
      <c r="F3333" s="577" t="n"/>
      <c r="G3333" s="582" t="n"/>
      <c r="H3333" s="583" t="n"/>
      <c r="I3333" s="510" t="n"/>
    </row>
    <row r="3334" ht="19.95" customFormat="1" customHeight="1" s="511">
      <c r="A3334" s="277" t="n"/>
      <c r="B3334" s="285" t="n"/>
      <c r="C3334" s="579" t="n"/>
      <c r="D3334" s="580" t="n"/>
      <c r="E3334" s="581" t="n"/>
      <c r="F3334" s="577" t="n"/>
      <c r="G3334" s="582" t="n"/>
      <c r="H3334" s="583" t="n"/>
      <c r="I3334" s="510" t="n"/>
    </row>
    <row r="3335" ht="19.95" customFormat="1" customHeight="1" s="511">
      <c r="A3335" s="277" t="n"/>
      <c r="B3335" s="285" t="n"/>
      <c r="C3335" s="579" t="n"/>
      <c r="D3335" s="580" t="n"/>
      <c r="E3335" s="581" t="n"/>
      <c r="F3335" s="577" t="n"/>
      <c r="G3335" s="582" t="n"/>
      <c r="H3335" s="583" t="n"/>
      <c r="I3335" s="510" t="n"/>
    </row>
    <row r="3336" ht="19.95" customFormat="1" customHeight="1" s="511">
      <c r="A3336" s="277" t="n"/>
      <c r="B3336" s="285" t="n"/>
      <c r="C3336" s="579" t="n"/>
      <c r="D3336" s="580" t="n"/>
      <c r="E3336" s="581" t="n"/>
      <c r="F3336" s="577" t="n"/>
      <c r="G3336" s="582" t="n"/>
      <c r="H3336" s="583" t="n"/>
      <c r="I3336" s="510" t="n"/>
    </row>
    <row r="3337" ht="19.95" customFormat="1" customHeight="1" s="511">
      <c r="A3337" s="277" t="n"/>
      <c r="B3337" s="285" t="n"/>
      <c r="C3337" s="579" t="n"/>
      <c r="D3337" s="580" t="n"/>
      <c r="E3337" s="581" t="n"/>
      <c r="F3337" s="577" t="n"/>
      <c r="G3337" s="582" t="n"/>
      <c r="H3337" s="583" t="n"/>
      <c r="I3337" s="510" t="n"/>
    </row>
    <row r="3338" ht="19.95" customFormat="1" customHeight="1" s="511">
      <c r="A3338" s="277" t="n"/>
      <c r="B3338" s="285" t="n"/>
      <c r="C3338" s="579" t="n"/>
      <c r="D3338" s="580" t="n"/>
      <c r="E3338" s="581" t="n"/>
      <c r="F3338" s="577" t="n"/>
      <c r="G3338" s="582" t="n"/>
      <c r="H3338" s="583" t="n"/>
      <c r="I3338" s="510" t="n"/>
    </row>
    <row r="3339" ht="19.95" customFormat="1" customHeight="1" s="511">
      <c r="A3339" s="277" t="n"/>
      <c r="B3339" s="285" t="n"/>
      <c r="C3339" s="579" t="n"/>
      <c r="D3339" s="580" t="n"/>
      <c r="E3339" s="581" t="n"/>
      <c r="F3339" s="577" t="n"/>
      <c r="G3339" s="582" t="n"/>
      <c r="H3339" s="583" t="n"/>
      <c r="I3339" s="510" t="n"/>
    </row>
    <row r="3340" ht="19.95" customFormat="1" customHeight="1" s="511">
      <c r="A3340" s="277" t="n"/>
      <c r="B3340" s="285" t="n"/>
      <c r="C3340" s="579" t="n"/>
      <c r="D3340" s="580" t="n"/>
      <c r="E3340" s="581" t="n"/>
      <c r="F3340" s="577" t="n"/>
      <c r="G3340" s="582" t="n"/>
      <c r="H3340" s="583" t="n"/>
      <c r="I3340" s="510" t="n"/>
    </row>
    <row r="3341" ht="19.95" customFormat="1" customHeight="1" s="511">
      <c r="A3341" s="277" t="n"/>
      <c r="B3341" s="285" t="n"/>
      <c r="C3341" s="579" t="n"/>
      <c r="D3341" s="580" t="n"/>
      <c r="E3341" s="581" t="n"/>
      <c r="F3341" s="577" t="n"/>
      <c r="G3341" s="582" t="n"/>
      <c r="H3341" s="583" t="n"/>
      <c r="I3341" s="510" t="n"/>
    </row>
    <row r="3342" ht="19.95" customFormat="1" customHeight="1" s="511">
      <c r="A3342" s="277" t="n"/>
      <c r="B3342" s="285" t="n"/>
      <c r="C3342" s="579" t="n"/>
      <c r="D3342" s="580" t="n"/>
      <c r="E3342" s="581" t="n"/>
      <c r="F3342" s="577" t="n"/>
      <c r="G3342" s="582" t="n"/>
      <c r="H3342" s="583" t="n"/>
      <c r="I3342" s="510" t="n"/>
    </row>
    <row r="3343" ht="19.95" customFormat="1" customHeight="1" s="511">
      <c r="A3343" s="277" t="n"/>
      <c r="B3343" s="285" t="n"/>
      <c r="C3343" s="579" t="n"/>
      <c r="D3343" s="580" t="n"/>
      <c r="E3343" s="581" t="n"/>
      <c r="F3343" s="577" t="n"/>
      <c r="G3343" s="582" t="n"/>
      <c r="H3343" s="583" t="n"/>
      <c r="I3343" s="510" t="n"/>
    </row>
    <row r="3344" ht="19.95" customFormat="1" customHeight="1" s="511">
      <c r="A3344" s="277" t="n"/>
      <c r="B3344" s="285" t="n"/>
      <c r="C3344" s="579" t="n"/>
      <c r="D3344" s="580" t="n"/>
      <c r="E3344" s="581" t="n"/>
      <c r="F3344" s="577" t="n"/>
      <c r="G3344" s="582" t="n"/>
      <c r="H3344" s="583" t="n"/>
      <c r="I3344" s="510" t="n"/>
    </row>
    <row r="3345" ht="19.95" customFormat="1" customHeight="1" s="511">
      <c r="A3345" s="277" t="n"/>
      <c r="B3345" s="285" t="n"/>
      <c r="C3345" s="579" t="n"/>
      <c r="D3345" s="580" t="n"/>
      <c r="E3345" s="581" t="n"/>
      <c r="F3345" s="577" t="n"/>
      <c r="G3345" s="582" t="n"/>
      <c r="H3345" s="583" t="n"/>
      <c r="I3345" s="510" t="n"/>
    </row>
    <row r="3346" ht="19.95" customFormat="1" customHeight="1" s="511">
      <c r="A3346" s="277" t="n"/>
      <c r="B3346" s="285" t="n"/>
      <c r="C3346" s="579" t="n"/>
      <c r="D3346" s="580" t="n"/>
      <c r="E3346" s="581" t="n"/>
      <c r="F3346" s="577" t="n"/>
      <c r="G3346" s="582" t="n"/>
      <c r="H3346" s="583" t="n"/>
      <c r="I3346" s="510" t="n"/>
    </row>
    <row r="3347" ht="19.95" customFormat="1" customHeight="1" s="511">
      <c r="A3347" s="277" t="n"/>
      <c r="B3347" s="285" t="n"/>
      <c r="C3347" s="579" t="n"/>
      <c r="D3347" s="580" t="n"/>
      <c r="E3347" s="581" t="n"/>
      <c r="F3347" s="577" t="n"/>
      <c r="G3347" s="582" t="n"/>
      <c r="H3347" s="583" t="n"/>
      <c r="I3347" s="510" t="n"/>
    </row>
    <row r="3348" ht="19.95" customFormat="1" customHeight="1" s="511">
      <c r="A3348" s="277" t="n"/>
      <c r="B3348" s="285" t="n"/>
      <c r="C3348" s="579" t="n"/>
      <c r="D3348" s="580" t="n"/>
      <c r="E3348" s="581" t="n"/>
      <c r="F3348" s="577" t="n"/>
      <c r="G3348" s="582" t="n"/>
      <c r="H3348" s="583" t="n"/>
      <c r="I3348" s="510" t="n"/>
    </row>
    <row r="3349" ht="19.95" customFormat="1" customHeight="1" s="511">
      <c r="A3349" s="277" t="n"/>
      <c r="B3349" s="285" t="n"/>
      <c r="C3349" s="579" t="n"/>
      <c r="D3349" s="580" t="n"/>
      <c r="E3349" s="581" t="n"/>
      <c r="F3349" s="577" t="n"/>
      <c r="G3349" s="582" t="n"/>
      <c r="H3349" s="583" t="n"/>
      <c r="I3349" s="510" t="n"/>
    </row>
    <row r="3350" ht="19.95" customFormat="1" customHeight="1" s="511">
      <c r="A3350" s="277" t="n"/>
      <c r="B3350" s="285" t="n"/>
      <c r="C3350" s="579" t="n"/>
      <c r="D3350" s="580" t="n"/>
      <c r="E3350" s="581" t="n"/>
      <c r="F3350" s="577" t="n"/>
      <c r="G3350" s="582" t="n"/>
      <c r="H3350" s="583" t="n"/>
      <c r="I3350" s="510" t="n"/>
    </row>
    <row r="3351" ht="19.95" customFormat="1" customHeight="1" s="511">
      <c r="A3351" s="277" t="n"/>
      <c r="B3351" s="285" t="n"/>
      <c r="C3351" s="579" t="n"/>
      <c r="D3351" s="580" t="n"/>
      <c r="E3351" s="581" t="n"/>
      <c r="F3351" s="577" t="n"/>
      <c r="G3351" s="582" t="n"/>
      <c r="H3351" s="583" t="n"/>
      <c r="I3351" s="510" t="n"/>
    </row>
    <row r="3352" ht="19.95" customFormat="1" customHeight="1" s="511">
      <c r="A3352" s="277" t="n"/>
      <c r="B3352" s="285" t="n"/>
      <c r="C3352" s="579" t="n"/>
      <c r="D3352" s="580" t="n"/>
      <c r="E3352" s="581" t="n"/>
      <c r="F3352" s="577" t="n"/>
      <c r="G3352" s="582" t="n"/>
      <c r="H3352" s="583" t="n"/>
      <c r="I3352" s="510" t="n"/>
    </row>
    <row r="3353" ht="19.95" customFormat="1" customHeight="1" s="511">
      <c r="A3353" s="277" t="n"/>
      <c r="B3353" s="285" t="n"/>
      <c r="C3353" s="579" t="n"/>
      <c r="D3353" s="580" t="n"/>
      <c r="E3353" s="581" t="n"/>
      <c r="F3353" s="577" t="n"/>
      <c r="G3353" s="582" t="n"/>
      <c r="H3353" s="583" t="n"/>
      <c r="I3353" s="510" t="n"/>
    </row>
    <row r="3354" ht="19.95" customFormat="1" customHeight="1" s="511">
      <c r="A3354" s="277" t="n"/>
      <c r="B3354" s="285" t="n"/>
      <c r="C3354" s="579" t="n"/>
      <c r="D3354" s="580" t="n"/>
      <c r="E3354" s="581" t="n"/>
      <c r="F3354" s="577" t="n"/>
      <c r="G3354" s="582" t="n"/>
      <c r="H3354" s="583" t="n"/>
      <c r="I3354" s="510" t="n"/>
    </row>
    <row r="3355" ht="19.95" customFormat="1" customHeight="1" s="511">
      <c r="A3355" s="277" t="n"/>
      <c r="B3355" s="285" t="n"/>
      <c r="C3355" s="579" t="n"/>
      <c r="D3355" s="580" t="n"/>
      <c r="E3355" s="581" t="n"/>
      <c r="F3355" s="577" t="n"/>
      <c r="G3355" s="582" t="n"/>
      <c r="H3355" s="583" t="n"/>
      <c r="I3355" s="510" t="n"/>
    </row>
    <row r="3356" ht="19.95" customFormat="1" customHeight="1" s="511">
      <c r="A3356" s="277" t="n"/>
      <c r="B3356" s="285" t="n"/>
      <c r="C3356" s="579" t="n"/>
      <c r="D3356" s="580" t="n"/>
      <c r="E3356" s="581" t="n"/>
      <c r="F3356" s="577" t="n"/>
      <c r="G3356" s="582" t="n"/>
      <c r="H3356" s="583" t="n"/>
      <c r="I3356" s="510" t="n"/>
    </row>
    <row r="3357" ht="19.95" customFormat="1" customHeight="1" s="511">
      <c r="A3357" s="277" t="n"/>
      <c r="B3357" s="285" t="n"/>
      <c r="C3357" s="579" t="n"/>
      <c r="D3357" s="580" t="n"/>
      <c r="E3357" s="581" t="n"/>
      <c r="F3357" s="577" t="n"/>
      <c r="G3357" s="582" t="n"/>
      <c r="H3357" s="583" t="n"/>
      <c r="I3357" s="510" t="n"/>
    </row>
    <row r="3358" ht="19.95" customFormat="1" customHeight="1" s="511">
      <c r="A3358" s="277" t="n"/>
      <c r="B3358" s="285" t="n"/>
      <c r="C3358" s="579" t="n"/>
      <c r="D3358" s="580" t="n"/>
      <c r="E3358" s="581" t="n"/>
      <c r="F3358" s="577" t="n"/>
      <c r="G3358" s="582" t="n"/>
      <c r="H3358" s="583" t="n"/>
      <c r="I3358" s="510" t="n"/>
    </row>
    <row r="3359" ht="19.95" customFormat="1" customHeight="1" s="511">
      <c r="A3359" s="277" t="n"/>
      <c r="B3359" s="285" t="n"/>
      <c r="C3359" s="579" t="n"/>
      <c r="D3359" s="580" t="n"/>
      <c r="E3359" s="581" t="n"/>
      <c r="F3359" s="577" t="n"/>
      <c r="G3359" s="582" t="n"/>
      <c r="H3359" s="583" t="n"/>
      <c r="I3359" s="510" t="n"/>
    </row>
    <row r="3360" ht="19.95" customFormat="1" customHeight="1" s="511">
      <c r="A3360" s="277" t="n"/>
      <c r="B3360" s="285" t="n"/>
      <c r="C3360" s="579" t="n"/>
      <c r="D3360" s="580" t="n"/>
      <c r="E3360" s="581" t="n"/>
      <c r="F3360" s="577" t="n"/>
      <c r="G3360" s="582" t="n"/>
      <c r="H3360" s="583" t="n"/>
      <c r="I3360" s="510" t="n"/>
    </row>
    <row r="3361" ht="19.95" customFormat="1" customHeight="1" s="511">
      <c r="A3361" s="277" t="n"/>
      <c r="B3361" s="285" t="n"/>
      <c r="C3361" s="579" t="n"/>
      <c r="D3361" s="580" t="n"/>
      <c r="E3361" s="581" t="n"/>
      <c r="F3361" s="577" t="n"/>
      <c r="G3361" s="582" t="n"/>
      <c r="H3361" s="583" t="n"/>
      <c r="I3361" s="510" t="n"/>
    </row>
    <row r="3362" ht="19.95" customFormat="1" customHeight="1" s="511">
      <c r="A3362" s="277" t="n"/>
      <c r="B3362" s="285" t="n"/>
      <c r="C3362" s="579" t="n"/>
      <c r="D3362" s="580" t="n"/>
      <c r="E3362" s="581" t="n"/>
      <c r="F3362" s="577" t="n"/>
      <c r="G3362" s="582" t="n"/>
      <c r="H3362" s="583" t="n"/>
      <c r="I3362" s="510" t="n"/>
    </row>
    <row r="3363" ht="19.95" customFormat="1" customHeight="1" s="511">
      <c r="A3363" s="277" t="n"/>
      <c r="B3363" s="285" t="n"/>
      <c r="C3363" s="579" t="n"/>
      <c r="D3363" s="580" t="n"/>
      <c r="E3363" s="581" t="n"/>
      <c r="F3363" s="577" t="n"/>
      <c r="G3363" s="582" t="n"/>
      <c r="H3363" s="583" t="n"/>
      <c r="I3363" s="510" t="n"/>
    </row>
    <row r="3364" ht="19.95" customFormat="1" customHeight="1" s="511">
      <c r="A3364" s="277" t="n"/>
      <c r="B3364" s="285" t="n"/>
      <c r="C3364" s="579" t="n"/>
      <c r="D3364" s="580" t="n"/>
      <c r="E3364" s="581" t="n"/>
      <c r="F3364" s="577" t="n"/>
      <c r="G3364" s="582" t="n"/>
      <c r="H3364" s="583" t="n"/>
      <c r="I3364" s="510" t="n"/>
    </row>
    <row r="3365" ht="19.95" customFormat="1" customHeight="1" s="511">
      <c r="A3365" s="277" t="n"/>
      <c r="B3365" s="285" t="n"/>
      <c r="C3365" s="579" t="n"/>
      <c r="D3365" s="580" t="n"/>
      <c r="E3365" s="581" t="n"/>
      <c r="F3365" s="577" t="n"/>
      <c r="G3365" s="582" t="n"/>
      <c r="H3365" s="583" t="n"/>
      <c r="I3365" s="510" t="n"/>
    </row>
    <row r="3366" ht="19.95" customFormat="1" customHeight="1" s="511">
      <c r="A3366" s="277" t="n"/>
      <c r="B3366" s="285" t="n"/>
      <c r="C3366" s="579" t="n"/>
      <c r="D3366" s="580" t="n"/>
      <c r="E3366" s="581" t="n"/>
      <c r="F3366" s="577" t="n"/>
      <c r="G3366" s="582" t="n"/>
      <c r="H3366" s="583" t="n"/>
      <c r="I3366" s="510" t="n"/>
    </row>
    <row r="3367" ht="19.95" customFormat="1" customHeight="1" s="511">
      <c r="A3367" s="277" t="n"/>
      <c r="B3367" s="285" t="n"/>
      <c r="C3367" s="579" t="n"/>
      <c r="D3367" s="580" t="n"/>
      <c r="E3367" s="581" t="n"/>
      <c r="F3367" s="577" t="n"/>
      <c r="G3367" s="582" t="n"/>
      <c r="H3367" s="583" t="n"/>
      <c r="I3367" s="510" t="n"/>
    </row>
    <row r="3368" ht="19.95" customFormat="1" customHeight="1" s="511">
      <c r="A3368" s="277" t="n"/>
      <c r="B3368" s="285" t="n"/>
      <c r="C3368" s="579" t="n"/>
      <c r="D3368" s="580" t="n"/>
      <c r="E3368" s="581" t="n"/>
      <c r="F3368" s="577" t="n"/>
      <c r="G3368" s="582" t="n"/>
      <c r="H3368" s="583" t="n"/>
      <c r="I3368" s="510" t="n"/>
    </row>
    <row r="3369" ht="19.95" customFormat="1" customHeight="1" s="511">
      <c r="A3369" s="277" t="n"/>
      <c r="B3369" s="285" t="n"/>
      <c r="C3369" s="579" t="n"/>
      <c r="D3369" s="580" t="n"/>
      <c r="E3369" s="581" t="n"/>
      <c r="F3369" s="577" t="n"/>
      <c r="G3369" s="582" t="n"/>
      <c r="H3369" s="583" t="n"/>
      <c r="I3369" s="510" t="n"/>
    </row>
    <row r="3370" ht="19.95" customFormat="1" customHeight="1" s="511">
      <c r="A3370" s="277" t="n"/>
      <c r="B3370" s="285" t="n"/>
      <c r="C3370" s="579" t="n"/>
      <c r="D3370" s="580" t="n"/>
      <c r="E3370" s="581" t="n"/>
      <c r="F3370" s="577" t="n"/>
      <c r="G3370" s="582" t="n"/>
      <c r="H3370" s="583" t="n"/>
      <c r="I3370" s="510" t="n"/>
    </row>
    <row r="3371" ht="19.95" customFormat="1" customHeight="1" s="511">
      <c r="A3371" s="277" t="n"/>
      <c r="B3371" s="285" t="n"/>
      <c r="C3371" s="579" t="n"/>
      <c r="D3371" s="580" t="n"/>
      <c r="E3371" s="581" t="n"/>
      <c r="F3371" s="577" t="n"/>
      <c r="G3371" s="582" t="n"/>
      <c r="H3371" s="583" t="n"/>
      <c r="I3371" s="510" t="n"/>
    </row>
    <row r="3372" ht="19.95" customFormat="1" customHeight="1" s="511">
      <c r="A3372" s="277" t="n"/>
      <c r="B3372" s="285" t="n"/>
      <c r="C3372" s="579" t="n"/>
      <c r="D3372" s="580" t="n"/>
      <c r="E3372" s="581" t="n"/>
      <c r="F3372" s="577" t="n"/>
      <c r="G3372" s="582" t="n"/>
      <c r="H3372" s="583" t="n"/>
      <c r="I3372" s="510" t="n"/>
    </row>
    <row r="3373" ht="19.95" customFormat="1" customHeight="1" s="511">
      <c r="A3373" s="277" t="n"/>
      <c r="B3373" s="285" t="n"/>
      <c r="C3373" s="579" t="n"/>
      <c r="D3373" s="580" t="n"/>
      <c r="E3373" s="581" t="n"/>
      <c r="F3373" s="577" t="n"/>
      <c r="G3373" s="582" t="n"/>
      <c r="H3373" s="583" t="n"/>
      <c r="I3373" s="510" t="n"/>
    </row>
    <row r="3374" ht="19.95" customFormat="1" customHeight="1" s="511">
      <c r="A3374" s="277" t="n"/>
      <c r="B3374" s="285" t="n"/>
      <c r="C3374" s="579" t="n"/>
      <c r="D3374" s="580" t="n"/>
      <c r="E3374" s="581" t="n"/>
      <c r="F3374" s="577" t="n"/>
      <c r="G3374" s="582" t="n"/>
      <c r="H3374" s="583" t="n"/>
      <c r="I3374" s="510" t="n"/>
    </row>
    <row r="3375" ht="19.95" customFormat="1" customHeight="1" s="511">
      <c r="A3375" s="277" t="n"/>
      <c r="B3375" s="285" t="n"/>
      <c r="C3375" s="579" t="n"/>
      <c r="D3375" s="580" t="n"/>
      <c r="E3375" s="581" t="n"/>
      <c r="F3375" s="577" t="n"/>
      <c r="G3375" s="582" t="n"/>
      <c r="H3375" s="583" t="n"/>
      <c r="I3375" s="510" t="n"/>
    </row>
    <row r="3376" ht="19.95" customFormat="1" customHeight="1" s="511">
      <c r="A3376" s="277" t="n"/>
      <c r="B3376" s="285" t="n"/>
      <c r="C3376" s="579" t="n"/>
      <c r="D3376" s="580" t="n"/>
      <c r="E3376" s="581" t="n"/>
      <c r="F3376" s="577" t="n"/>
      <c r="G3376" s="582" t="n"/>
      <c r="H3376" s="583" t="n"/>
      <c r="I3376" s="510" t="n"/>
    </row>
    <row r="3377" ht="19.95" customFormat="1" customHeight="1" s="511">
      <c r="A3377" s="277" t="n"/>
      <c r="B3377" s="285" t="n"/>
      <c r="C3377" s="579" t="n"/>
      <c r="D3377" s="580" t="n"/>
      <c r="E3377" s="581" t="n"/>
      <c r="F3377" s="577" t="n"/>
      <c r="G3377" s="582" t="n"/>
      <c r="H3377" s="583" t="n"/>
      <c r="I3377" s="510" t="n"/>
    </row>
    <row r="3378" ht="19.95" customFormat="1" customHeight="1" s="511">
      <c r="A3378" s="277" t="n"/>
      <c r="B3378" s="285" t="n"/>
      <c r="C3378" s="579" t="n"/>
      <c r="D3378" s="580" t="n"/>
      <c r="E3378" s="581" t="n"/>
      <c r="F3378" s="577" t="n"/>
      <c r="G3378" s="582" t="n"/>
      <c r="H3378" s="583" t="n"/>
      <c r="I3378" s="510" t="n"/>
    </row>
    <row r="3379" ht="19.95" customFormat="1" customHeight="1" s="511">
      <c r="A3379" s="277" t="n"/>
      <c r="B3379" s="285" t="n"/>
      <c r="C3379" s="579" t="n"/>
      <c r="D3379" s="580" t="n"/>
      <c r="E3379" s="581" t="n"/>
      <c r="F3379" s="577" t="n"/>
      <c r="G3379" s="582" t="n"/>
      <c r="H3379" s="583" t="n"/>
      <c r="I3379" s="510" t="n"/>
    </row>
    <row r="3380" ht="19.95" customFormat="1" customHeight="1" s="511">
      <c r="A3380" s="277" t="n"/>
      <c r="B3380" s="285" t="n"/>
      <c r="C3380" s="579" t="n"/>
      <c r="D3380" s="580" t="n"/>
      <c r="E3380" s="581" t="n"/>
      <c r="F3380" s="577" t="n"/>
      <c r="G3380" s="582" t="n"/>
      <c r="H3380" s="583" t="n"/>
      <c r="I3380" s="510" t="n"/>
    </row>
    <row r="3381" ht="19.95" customFormat="1" customHeight="1" s="511">
      <c r="A3381" s="277" t="n"/>
      <c r="B3381" s="285" t="n"/>
      <c r="C3381" s="579" t="n"/>
      <c r="D3381" s="580" t="n"/>
      <c r="E3381" s="581" t="n"/>
      <c r="F3381" s="577" t="n"/>
      <c r="G3381" s="582" t="n"/>
      <c r="H3381" s="583" t="n"/>
      <c r="I3381" s="510" t="n"/>
    </row>
    <row r="3382" ht="19.95" customFormat="1" customHeight="1" s="511">
      <c r="A3382" s="277" t="n"/>
      <c r="B3382" s="285" t="n"/>
      <c r="C3382" s="579" t="n"/>
      <c r="D3382" s="580" t="n"/>
      <c r="E3382" s="581" t="n"/>
      <c r="F3382" s="577" t="n"/>
      <c r="G3382" s="582" t="n"/>
      <c r="H3382" s="583" t="n"/>
      <c r="I3382" s="510" t="n"/>
    </row>
    <row r="3383" ht="19.95" customFormat="1" customHeight="1" s="511">
      <c r="A3383" s="277" t="n"/>
      <c r="B3383" s="285" t="n"/>
      <c r="C3383" s="579" t="n"/>
      <c r="D3383" s="580" t="n"/>
      <c r="E3383" s="581" t="n"/>
      <c r="F3383" s="577" t="n"/>
      <c r="G3383" s="582" t="n"/>
      <c r="H3383" s="583" t="n"/>
      <c r="I3383" s="510" t="n"/>
    </row>
    <row r="3384" ht="19.95" customFormat="1" customHeight="1" s="511">
      <c r="A3384" s="277" t="n"/>
      <c r="B3384" s="285" t="n"/>
      <c r="C3384" s="579" t="n"/>
      <c r="D3384" s="580" t="n"/>
      <c r="E3384" s="581" t="n"/>
      <c r="F3384" s="577" t="n"/>
      <c r="G3384" s="582" t="n"/>
      <c r="H3384" s="583" t="n"/>
      <c r="I3384" s="510" t="n"/>
    </row>
    <row r="3385" ht="19.95" customFormat="1" customHeight="1" s="511">
      <c r="A3385" s="277" t="n"/>
      <c r="B3385" s="285" t="n"/>
      <c r="C3385" s="579" t="n"/>
      <c r="D3385" s="580" t="n"/>
      <c r="E3385" s="581" t="n"/>
      <c r="F3385" s="577" t="n"/>
      <c r="G3385" s="582" t="n"/>
      <c r="H3385" s="583" t="n"/>
      <c r="I3385" s="510" t="n"/>
    </row>
    <row r="3386" ht="19.95" customFormat="1" customHeight="1" s="511">
      <c r="A3386" s="277" t="n"/>
      <c r="B3386" s="285" t="n"/>
      <c r="C3386" s="579" t="n"/>
      <c r="D3386" s="580" t="n"/>
      <c r="E3386" s="581" t="n"/>
      <c r="F3386" s="577" t="n"/>
      <c r="G3386" s="582" t="n"/>
      <c r="H3386" s="583" t="n"/>
      <c r="I3386" s="510" t="n"/>
    </row>
    <row r="3387" ht="19.95" customFormat="1" customHeight="1" s="511">
      <c r="A3387" s="277" t="n"/>
      <c r="B3387" s="285" t="n"/>
      <c r="C3387" s="579" t="n"/>
      <c r="D3387" s="580" t="n"/>
      <c r="E3387" s="581" t="n"/>
      <c r="F3387" s="577" t="n"/>
      <c r="G3387" s="582" t="n"/>
      <c r="H3387" s="583" t="n"/>
      <c r="I3387" s="510" t="n"/>
    </row>
    <row r="3388" ht="19.95" customFormat="1" customHeight="1" s="511">
      <c r="A3388" s="277" t="n"/>
      <c r="B3388" s="285" t="n"/>
      <c r="C3388" s="579" t="n"/>
      <c r="D3388" s="580" t="n"/>
      <c r="E3388" s="581" t="n"/>
      <c r="F3388" s="577" t="n"/>
      <c r="G3388" s="582" t="n"/>
      <c r="H3388" s="583" t="n"/>
      <c r="I3388" s="510" t="n"/>
    </row>
    <row r="3389" ht="19.95" customFormat="1" customHeight="1" s="511">
      <c r="A3389" s="277" t="n"/>
      <c r="B3389" s="285" t="n"/>
      <c r="C3389" s="579" t="n"/>
      <c r="D3389" s="580" t="n"/>
      <c r="E3389" s="581" t="n"/>
      <c r="F3389" s="577" t="n"/>
      <c r="G3389" s="582" t="n"/>
      <c r="H3389" s="583" t="n"/>
      <c r="I3389" s="510" t="n"/>
    </row>
    <row r="3390" ht="19.95" customFormat="1" customHeight="1" s="511">
      <c r="A3390" s="277" t="n"/>
      <c r="B3390" s="285" t="n"/>
      <c r="C3390" s="579" t="n"/>
      <c r="D3390" s="580" t="n"/>
      <c r="E3390" s="581" t="n"/>
      <c r="F3390" s="577" t="n"/>
      <c r="G3390" s="582" t="n"/>
      <c r="H3390" s="583" t="n"/>
      <c r="I3390" s="510" t="n"/>
    </row>
    <row r="3391" ht="19.95" customFormat="1" customHeight="1" s="511">
      <c r="A3391" s="277" t="n"/>
      <c r="B3391" s="285" t="n"/>
      <c r="C3391" s="579" t="n"/>
      <c r="D3391" s="580" t="n"/>
      <c r="E3391" s="581" t="n"/>
      <c r="F3391" s="577" t="n"/>
      <c r="G3391" s="582" t="n"/>
      <c r="H3391" s="583" t="n"/>
      <c r="I3391" s="510" t="n"/>
    </row>
    <row r="3392" ht="19.95" customFormat="1" customHeight="1" s="511">
      <c r="A3392" s="277" t="n"/>
      <c r="B3392" s="285" t="n"/>
      <c r="C3392" s="579" t="n"/>
      <c r="D3392" s="580" t="n"/>
      <c r="E3392" s="581" t="n"/>
      <c r="F3392" s="577" t="n"/>
      <c r="G3392" s="582" t="n"/>
      <c r="H3392" s="583" t="n"/>
      <c r="I3392" s="510" t="n"/>
    </row>
    <row r="3393" ht="19.95" customFormat="1" customHeight="1" s="511">
      <c r="A3393" s="277" t="n"/>
      <c r="B3393" s="285" t="n"/>
      <c r="C3393" s="579" t="n"/>
      <c r="D3393" s="580" t="n"/>
      <c r="E3393" s="581" t="n"/>
      <c r="F3393" s="577" t="n"/>
      <c r="G3393" s="582" t="n"/>
      <c r="H3393" s="583" t="n"/>
      <c r="I3393" s="510" t="n"/>
    </row>
    <row r="3394" ht="19.95" customFormat="1" customHeight="1" s="511">
      <c r="A3394" s="277" t="n"/>
      <c r="B3394" s="285" t="n"/>
      <c r="C3394" s="579" t="n"/>
      <c r="D3394" s="580" t="n"/>
      <c r="E3394" s="581" t="n"/>
      <c r="F3394" s="577" t="n"/>
      <c r="G3394" s="582" t="n"/>
      <c r="H3394" s="583" t="n"/>
      <c r="I3394" s="510" t="n"/>
    </row>
    <row r="3395" ht="19.95" customFormat="1" customHeight="1" s="511">
      <c r="A3395" s="277" t="n"/>
      <c r="B3395" s="285" t="n"/>
      <c r="C3395" s="579" t="n"/>
      <c r="D3395" s="580" t="n"/>
      <c r="E3395" s="581" t="n"/>
      <c r="F3395" s="577" t="n"/>
      <c r="G3395" s="582" t="n"/>
      <c r="H3395" s="583" t="n"/>
      <c r="I3395" s="510" t="n"/>
    </row>
    <row r="3396" ht="19.95" customFormat="1" customHeight="1" s="511">
      <c r="A3396" s="277" t="n"/>
      <c r="B3396" s="285" t="n"/>
      <c r="C3396" s="579" t="n"/>
      <c r="D3396" s="580" t="n"/>
      <c r="E3396" s="581" t="n"/>
      <c r="F3396" s="577" t="n"/>
      <c r="G3396" s="582" t="n"/>
      <c r="H3396" s="583" t="n"/>
      <c r="I3396" s="510" t="n"/>
    </row>
    <row r="3397" ht="19.95" customFormat="1" customHeight="1" s="511">
      <c r="A3397" s="277" t="n"/>
      <c r="B3397" s="285" t="n"/>
      <c r="C3397" s="579" t="n"/>
      <c r="D3397" s="580" t="n"/>
      <c r="E3397" s="581" t="n"/>
      <c r="F3397" s="577" t="n"/>
      <c r="G3397" s="582" t="n"/>
      <c r="H3397" s="583" t="n"/>
      <c r="I3397" s="510" t="n"/>
    </row>
    <row r="3398" ht="19.95" customFormat="1" customHeight="1" s="511">
      <c r="A3398" s="277" t="n"/>
      <c r="B3398" s="285" t="n"/>
      <c r="C3398" s="579" t="n"/>
      <c r="D3398" s="580" t="n"/>
      <c r="E3398" s="581" t="n"/>
      <c r="F3398" s="577" t="n"/>
      <c r="G3398" s="582" t="n"/>
      <c r="H3398" s="583" t="n"/>
      <c r="I3398" s="510" t="n"/>
    </row>
    <row r="3399" ht="19.95" customFormat="1" customHeight="1" s="511">
      <c r="A3399" s="277" t="n"/>
      <c r="B3399" s="285" t="n"/>
      <c r="C3399" s="579" t="n"/>
      <c r="D3399" s="580" t="n"/>
      <c r="E3399" s="581" t="n"/>
      <c r="F3399" s="577" t="n"/>
      <c r="G3399" s="582" t="n"/>
      <c r="H3399" s="583" t="n"/>
      <c r="I3399" s="510" t="n"/>
    </row>
    <row r="3400" ht="19.95" customFormat="1" customHeight="1" s="511">
      <c r="A3400" s="277" t="n"/>
      <c r="B3400" s="285" t="n"/>
      <c r="C3400" s="579" t="n"/>
      <c r="D3400" s="580" t="n"/>
      <c r="E3400" s="581" t="n"/>
      <c r="F3400" s="577" t="n"/>
      <c r="G3400" s="582" t="n"/>
      <c r="H3400" s="583" t="n"/>
      <c r="I3400" s="510" t="n"/>
    </row>
    <row r="3401" ht="19.95" customFormat="1" customHeight="1" s="511">
      <c r="A3401" s="277" t="n"/>
      <c r="B3401" s="285" t="n"/>
      <c r="C3401" s="579" t="n"/>
      <c r="D3401" s="580" t="n"/>
      <c r="E3401" s="581" t="n"/>
      <c r="F3401" s="577" t="n"/>
      <c r="G3401" s="582" t="n"/>
      <c r="H3401" s="583" t="n"/>
      <c r="I3401" s="510" t="n"/>
    </row>
    <row r="3402" ht="19.95" customFormat="1" customHeight="1" s="511">
      <c r="A3402" s="277" t="n"/>
      <c r="B3402" s="285" t="n"/>
      <c r="C3402" s="579" t="n"/>
      <c r="D3402" s="580" t="n"/>
      <c r="E3402" s="581" t="n"/>
      <c r="F3402" s="577" t="n"/>
      <c r="G3402" s="582" t="n"/>
      <c r="H3402" s="583" t="n"/>
      <c r="I3402" s="510" t="n"/>
    </row>
    <row r="3403" ht="19.95" customFormat="1" customHeight="1" s="511">
      <c r="A3403" s="277" t="n"/>
      <c r="B3403" s="285" t="n"/>
      <c r="C3403" s="579" t="n"/>
      <c r="D3403" s="580" t="n"/>
      <c r="E3403" s="581" t="n"/>
      <c r="F3403" s="577" t="n"/>
      <c r="G3403" s="582" t="n"/>
      <c r="H3403" s="583" t="n"/>
      <c r="I3403" s="510" t="n"/>
    </row>
    <row r="3404" ht="19.95" customFormat="1" customHeight="1" s="511">
      <c r="A3404" s="277" t="n"/>
      <c r="B3404" s="285" t="n"/>
      <c r="C3404" s="579" t="n"/>
      <c r="D3404" s="580" t="n"/>
      <c r="E3404" s="581" t="n"/>
      <c r="F3404" s="577" t="n"/>
      <c r="G3404" s="582" t="n"/>
      <c r="H3404" s="583" t="n"/>
      <c r="I3404" s="510" t="n"/>
    </row>
    <row r="3405" ht="19.95" customFormat="1" customHeight="1" s="511">
      <c r="A3405" s="277" t="n"/>
      <c r="B3405" s="285" t="n"/>
      <c r="C3405" s="579" t="n"/>
      <c r="D3405" s="580" t="n"/>
      <c r="E3405" s="581" t="n"/>
      <c r="F3405" s="577" t="n"/>
      <c r="G3405" s="582" t="n"/>
      <c r="H3405" s="583" t="n"/>
      <c r="I3405" s="510" t="n"/>
    </row>
    <row r="3406" ht="19.95" customFormat="1" customHeight="1" s="511">
      <c r="A3406" s="277" t="n"/>
      <c r="B3406" s="285" t="n"/>
      <c r="C3406" s="579" t="n"/>
      <c r="D3406" s="580" t="n"/>
      <c r="E3406" s="581" t="n"/>
      <c r="F3406" s="577" t="n"/>
      <c r="G3406" s="582" t="n"/>
      <c r="H3406" s="583" t="n"/>
      <c r="I3406" s="510" t="n"/>
    </row>
    <row r="3407" ht="19.95" customFormat="1" customHeight="1" s="511">
      <c r="A3407" s="277" t="n"/>
      <c r="B3407" s="285" t="n"/>
      <c r="C3407" s="579" t="n"/>
      <c r="D3407" s="580" t="n"/>
      <c r="E3407" s="581" t="n"/>
      <c r="F3407" s="577" t="n"/>
      <c r="G3407" s="582" t="n"/>
      <c r="H3407" s="583" t="n"/>
      <c r="I3407" s="510" t="n"/>
    </row>
    <row r="3408" ht="19.95" customFormat="1" customHeight="1" s="511">
      <c r="A3408" s="277" t="n"/>
      <c r="B3408" s="285" t="n"/>
      <c r="C3408" s="579" t="n"/>
      <c r="D3408" s="580" t="n"/>
      <c r="E3408" s="581" t="n"/>
      <c r="F3408" s="577" t="n"/>
      <c r="G3408" s="582" t="n"/>
      <c r="H3408" s="583" t="n"/>
      <c r="I3408" s="510" t="n"/>
    </row>
    <row r="3409" ht="19.95" customFormat="1" customHeight="1" s="511">
      <c r="A3409" s="277" t="n"/>
      <c r="B3409" s="285" t="n"/>
      <c r="C3409" s="579" t="n"/>
      <c r="D3409" s="580" t="n"/>
      <c r="E3409" s="581" t="n"/>
      <c r="F3409" s="577" t="n"/>
      <c r="G3409" s="582" t="n"/>
      <c r="H3409" s="583" t="n"/>
      <c r="I3409" s="510" t="n"/>
    </row>
    <row r="3410" ht="19.95" customFormat="1" customHeight="1" s="511">
      <c r="A3410" s="277" t="n"/>
      <c r="B3410" s="285" t="n"/>
      <c r="C3410" s="579" t="n"/>
      <c r="D3410" s="580" t="n"/>
      <c r="E3410" s="581" t="n"/>
      <c r="F3410" s="577" t="n"/>
      <c r="G3410" s="582" t="n"/>
      <c r="H3410" s="583" t="n"/>
      <c r="I3410" s="510" t="n"/>
    </row>
    <row r="3411" ht="19.95" customFormat="1" customHeight="1" s="511">
      <c r="A3411" s="277" t="n"/>
      <c r="B3411" s="285" t="n"/>
      <c r="C3411" s="579" t="n"/>
      <c r="D3411" s="580" t="n"/>
      <c r="E3411" s="581" t="n"/>
      <c r="F3411" s="577" t="n"/>
      <c r="G3411" s="582" t="n"/>
      <c r="H3411" s="583" t="n"/>
      <c r="I3411" s="510" t="n"/>
    </row>
    <row r="3412" ht="19.95" customFormat="1" customHeight="1" s="511">
      <c r="A3412" s="277" t="n"/>
      <c r="B3412" s="285" t="n"/>
      <c r="C3412" s="579" t="n"/>
      <c r="D3412" s="580" t="n"/>
      <c r="E3412" s="581" t="n"/>
      <c r="F3412" s="577" t="n"/>
      <c r="G3412" s="582" t="n"/>
      <c r="H3412" s="583" t="n"/>
      <c r="I3412" s="510" t="n"/>
    </row>
    <row r="3413" ht="19.95" customFormat="1" customHeight="1" s="511">
      <c r="A3413" s="277" t="n"/>
      <c r="B3413" s="285" t="n"/>
      <c r="C3413" s="579" t="n"/>
      <c r="D3413" s="580" t="n"/>
      <c r="E3413" s="581" t="n"/>
      <c r="F3413" s="577" t="n"/>
      <c r="G3413" s="582" t="n"/>
      <c r="H3413" s="583" t="n"/>
      <c r="I3413" s="510" t="n"/>
    </row>
    <row r="3414" ht="19.95" customFormat="1" customHeight="1" s="511">
      <c r="A3414" s="277" t="n"/>
      <c r="B3414" s="285" t="n"/>
      <c r="C3414" s="579" t="n"/>
      <c r="D3414" s="580" t="n"/>
      <c r="E3414" s="581" t="n"/>
      <c r="F3414" s="577" t="n"/>
      <c r="G3414" s="582" t="n"/>
      <c r="H3414" s="583" t="n"/>
      <c r="I3414" s="510" t="n"/>
    </row>
    <row r="3415" ht="19.95" customFormat="1" customHeight="1" s="511">
      <c r="A3415" s="277" t="n"/>
      <c r="B3415" s="285" t="n"/>
      <c r="C3415" s="579" t="n"/>
      <c r="D3415" s="580" t="n"/>
      <c r="E3415" s="581" t="n"/>
      <c r="F3415" s="577" t="n"/>
      <c r="G3415" s="582" t="n"/>
      <c r="H3415" s="583" t="n"/>
      <c r="I3415" s="510" t="n"/>
    </row>
    <row r="3416" ht="19.95" customFormat="1" customHeight="1" s="511">
      <c r="A3416" s="277" t="n"/>
      <c r="B3416" s="285" t="n"/>
      <c r="C3416" s="579" t="n"/>
      <c r="D3416" s="580" t="n"/>
      <c r="E3416" s="581" t="n"/>
      <c r="F3416" s="577" t="n"/>
      <c r="G3416" s="582" t="n"/>
      <c r="H3416" s="583" t="n"/>
      <c r="I3416" s="510" t="n"/>
    </row>
    <row r="3417" ht="19.95" customFormat="1" customHeight="1" s="511">
      <c r="A3417" s="277" t="n"/>
      <c r="B3417" s="285" t="n"/>
      <c r="C3417" s="579" t="n"/>
      <c r="D3417" s="580" t="n"/>
      <c r="E3417" s="581" t="n"/>
      <c r="F3417" s="577" t="n"/>
      <c r="G3417" s="582" t="n"/>
      <c r="H3417" s="583" t="n"/>
      <c r="I3417" s="510" t="n"/>
    </row>
    <row r="3418" ht="19.95" customFormat="1" customHeight="1" s="511">
      <c r="A3418" s="277" t="n"/>
      <c r="B3418" s="285" t="n"/>
      <c r="C3418" s="579" t="n"/>
      <c r="D3418" s="580" t="n"/>
      <c r="E3418" s="581" t="n"/>
      <c r="F3418" s="577" t="n"/>
      <c r="G3418" s="582" t="n"/>
      <c r="H3418" s="583" t="n"/>
      <c r="I3418" s="510" t="n"/>
    </row>
    <row r="3419" ht="19.95" customFormat="1" customHeight="1" s="511">
      <c r="A3419" s="277" t="n"/>
      <c r="B3419" s="285" t="n"/>
      <c r="C3419" s="579" t="n"/>
      <c r="D3419" s="580" t="n"/>
      <c r="E3419" s="581" t="n"/>
      <c r="F3419" s="577" t="n"/>
      <c r="G3419" s="582" t="n"/>
      <c r="H3419" s="583" t="n"/>
      <c r="I3419" s="510" t="n"/>
    </row>
    <row r="3420" ht="19.95" customFormat="1" customHeight="1" s="511">
      <c r="A3420" s="277" t="n"/>
      <c r="B3420" s="285" t="n"/>
      <c r="C3420" s="579" t="n"/>
      <c r="D3420" s="580" t="n"/>
      <c r="E3420" s="581" t="n"/>
      <c r="F3420" s="577" t="n"/>
      <c r="G3420" s="582" t="n"/>
      <c r="H3420" s="583" t="n"/>
      <c r="I3420" s="510" t="n"/>
    </row>
    <row r="3421" ht="19.95" customFormat="1" customHeight="1" s="511">
      <c r="A3421" s="277" t="n"/>
      <c r="B3421" s="285" t="n"/>
      <c r="C3421" s="579" t="n"/>
      <c r="D3421" s="580" t="n"/>
      <c r="E3421" s="581" t="n"/>
      <c r="F3421" s="577" t="n"/>
      <c r="G3421" s="582" t="n"/>
      <c r="H3421" s="583" t="n"/>
      <c r="I3421" s="510" t="n"/>
    </row>
    <row r="3422" ht="19.95" customFormat="1" customHeight="1" s="511">
      <c r="A3422" s="277" t="n"/>
      <c r="B3422" s="285" t="n"/>
      <c r="C3422" s="579" t="n"/>
      <c r="D3422" s="580" t="n"/>
      <c r="E3422" s="581" t="n"/>
      <c r="F3422" s="577" t="n"/>
      <c r="G3422" s="582" t="n"/>
      <c r="H3422" s="583" t="n"/>
      <c r="I3422" s="510" t="n"/>
    </row>
    <row r="3423" ht="19.95" customFormat="1" customHeight="1" s="511">
      <c r="A3423" s="277" t="n"/>
      <c r="B3423" s="285" t="n"/>
      <c r="C3423" s="579" t="n"/>
      <c r="D3423" s="580" t="n"/>
      <c r="E3423" s="581" t="n"/>
      <c r="F3423" s="577" t="n"/>
      <c r="G3423" s="582" t="n"/>
      <c r="H3423" s="583" t="n"/>
      <c r="I3423" s="510" t="n"/>
    </row>
    <row r="3424" ht="19.95" customFormat="1" customHeight="1" s="511">
      <c r="A3424" s="277" t="n"/>
      <c r="B3424" s="285" t="n"/>
      <c r="C3424" s="579" t="n"/>
      <c r="D3424" s="580" t="n"/>
      <c r="E3424" s="581" t="n"/>
      <c r="F3424" s="577" t="n"/>
      <c r="G3424" s="582" t="n"/>
      <c r="H3424" s="583" t="n"/>
      <c r="I3424" s="510" t="n"/>
    </row>
    <row r="3425" ht="19.95" customFormat="1" customHeight="1" s="511">
      <c r="A3425" s="277" t="n"/>
      <c r="B3425" s="285" t="n"/>
      <c r="C3425" s="579" t="n"/>
      <c r="D3425" s="580" t="n"/>
      <c r="E3425" s="581" t="n"/>
      <c r="F3425" s="577" t="n"/>
      <c r="G3425" s="582" t="n"/>
      <c r="H3425" s="583" t="n"/>
      <c r="I3425" s="510" t="n"/>
    </row>
    <row r="3426" ht="19.95" customFormat="1" customHeight="1" s="511">
      <c r="A3426" s="277" t="n"/>
      <c r="B3426" s="285" t="n"/>
      <c r="C3426" s="579" t="n"/>
      <c r="D3426" s="580" t="n"/>
      <c r="E3426" s="581" t="n"/>
      <c r="F3426" s="577" t="n"/>
      <c r="G3426" s="582" t="n"/>
      <c r="H3426" s="583" t="n"/>
      <c r="I3426" s="510" t="n"/>
    </row>
    <row r="3427" ht="19.95" customFormat="1" customHeight="1" s="511">
      <c r="A3427" s="277" t="n"/>
      <c r="B3427" s="285" t="n"/>
      <c r="C3427" s="579" t="n"/>
      <c r="D3427" s="580" t="n"/>
      <c r="E3427" s="581" t="n"/>
      <c r="F3427" s="577" t="n"/>
      <c r="G3427" s="582" t="n"/>
      <c r="H3427" s="583" t="n"/>
      <c r="I3427" s="510" t="n"/>
    </row>
    <row r="3428" ht="19.95" customFormat="1" customHeight="1" s="511">
      <c r="A3428" s="277" t="n"/>
      <c r="B3428" s="285" t="n"/>
      <c r="C3428" s="579" t="n"/>
      <c r="D3428" s="580" t="n"/>
      <c r="E3428" s="581" t="n"/>
      <c r="F3428" s="577" t="n"/>
      <c r="G3428" s="582" t="n"/>
      <c r="H3428" s="583" t="n"/>
      <c r="I3428" s="510" t="n"/>
    </row>
    <row r="3429" ht="19.95" customFormat="1" customHeight="1" s="511">
      <c r="A3429" s="277" t="n"/>
      <c r="B3429" s="285" t="n"/>
      <c r="C3429" s="579" t="n"/>
      <c r="D3429" s="580" t="n"/>
      <c r="E3429" s="581" t="n"/>
      <c r="F3429" s="577" t="n"/>
      <c r="G3429" s="582" t="n"/>
      <c r="H3429" s="583" t="n"/>
      <c r="I3429" s="510" t="n"/>
    </row>
    <row r="3430" ht="19.95" customFormat="1" customHeight="1" s="511">
      <c r="A3430" s="277" t="n"/>
      <c r="B3430" s="285" t="n"/>
      <c r="C3430" s="579" t="n"/>
      <c r="D3430" s="580" t="n"/>
      <c r="E3430" s="581" t="n"/>
      <c r="F3430" s="577" t="n"/>
      <c r="G3430" s="582" t="n"/>
      <c r="H3430" s="583" t="n"/>
      <c r="I3430" s="510" t="n"/>
    </row>
    <row r="3431" ht="19.95" customFormat="1" customHeight="1" s="511">
      <c r="A3431" s="277" t="n"/>
      <c r="B3431" s="285" t="n"/>
      <c r="C3431" s="579" t="n"/>
      <c r="D3431" s="580" t="n"/>
      <c r="E3431" s="581" t="n"/>
      <c r="F3431" s="577" t="n"/>
      <c r="G3431" s="582" t="n"/>
      <c r="H3431" s="583" t="n"/>
      <c r="I3431" s="510" t="n"/>
    </row>
    <row r="3432" ht="19.95" customFormat="1" customHeight="1" s="511">
      <c r="A3432" s="277" t="n"/>
      <c r="B3432" s="285" t="n"/>
      <c r="C3432" s="579" t="n"/>
      <c r="D3432" s="580" t="n"/>
      <c r="E3432" s="581" t="n"/>
      <c r="F3432" s="577" t="n"/>
      <c r="G3432" s="582" t="n"/>
      <c r="H3432" s="583" t="n"/>
      <c r="I3432" s="510" t="n"/>
    </row>
    <row r="3433" ht="19.95" customFormat="1" customHeight="1" s="511">
      <c r="A3433" s="277" t="n"/>
      <c r="B3433" s="285" t="n"/>
      <c r="C3433" s="579" t="n"/>
      <c r="D3433" s="580" t="n"/>
      <c r="E3433" s="581" t="n"/>
      <c r="F3433" s="577" t="n"/>
      <c r="G3433" s="582" t="n"/>
      <c r="H3433" s="583" t="n"/>
      <c r="I3433" s="510" t="n"/>
    </row>
    <row r="3434" ht="19.95" customFormat="1" customHeight="1" s="511">
      <c r="A3434" s="277" t="n"/>
      <c r="B3434" s="285" t="n"/>
      <c r="C3434" s="579" t="n"/>
      <c r="D3434" s="580" t="n"/>
      <c r="E3434" s="581" t="n"/>
      <c r="F3434" s="577" t="n"/>
      <c r="G3434" s="582" t="n"/>
      <c r="H3434" s="583" t="n"/>
      <c r="I3434" s="510" t="n"/>
    </row>
    <row r="3435" ht="19.95" customFormat="1" customHeight="1" s="511">
      <c r="A3435" s="277" t="n"/>
      <c r="B3435" s="285" t="n"/>
      <c r="C3435" s="579" t="n"/>
      <c r="D3435" s="580" t="n"/>
      <c r="E3435" s="581" t="n"/>
      <c r="F3435" s="577" t="n"/>
      <c r="G3435" s="582" t="n"/>
      <c r="H3435" s="583" t="n"/>
      <c r="I3435" s="510" t="n"/>
    </row>
    <row r="3436" ht="19.95" customFormat="1" customHeight="1" s="511">
      <c r="A3436" s="277" t="n"/>
      <c r="B3436" s="285" t="n"/>
      <c r="C3436" s="579" t="n"/>
      <c r="D3436" s="580" t="n"/>
      <c r="E3436" s="581" t="n"/>
      <c r="F3436" s="577" t="n"/>
      <c r="G3436" s="582" t="n"/>
      <c r="H3436" s="583" t="n"/>
      <c r="I3436" s="510" t="n"/>
    </row>
    <row r="3437" ht="19.95" customFormat="1" customHeight="1" s="511">
      <c r="A3437" s="277" t="n"/>
      <c r="B3437" s="285" t="n"/>
      <c r="C3437" s="579" t="n"/>
      <c r="D3437" s="580" t="n"/>
      <c r="E3437" s="581" t="n"/>
      <c r="F3437" s="577" t="n"/>
      <c r="G3437" s="582" t="n"/>
      <c r="H3437" s="583" t="n"/>
      <c r="I3437" s="510" t="n"/>
    </row>
    <row r="3438" ht="19.95" customFormat="1" customHeight="1" s="511">
      <c r="A3438" s="277" t="n"/>
      <c r="B3438" s="285" t="n"/>
      <c r="C3438" s="579" t="n"/>
      <c r="D3438" s="580" t="n"/>
      <c r="E3438" s="581" t="n"/>
      <c r="F3438" s="577" t="n"/>
      <c r="G3438" s="582" t="n"/>
      <c r="H3438" s="583" t="n"/>
      <c r="I3438" s="510" t="n"/>
    </row>
    <row r="3439" ht="19.95" customFormat="1" customHeight="1" s="511">
      <c r="A3439" s="277" t="n"/>
      <c r="B3439" s="285" t="n"/>
      <c r="C3439" s="579" t="n"/>
      <c r="D3439" s="580" t="n"/>
      <c r="E3439" s="581" t="n"/>
      <c r="F3439" s="577" t="n"/>
      <c r="G3439" s="582" t="n"/>
      <c r="H3439" s="583" t="n"/>
      <c r="I3439" s="510" t="n"/>
    </row>
    <row r="3440" ht="19.95" customFormat="1" customHeight="1" s="511">
      <c r="A3440" s="277" t="n"/>
      <c r="B3440" s="285" t="n"/>
      <c r="C3440" s="579" t="n"/>
      <c r="D3440" s="580" t="n"/>
      <c r="E3440" s="581" t="n"/>
      <c r="F3440" s="577" t="n"/>
      <c r="G3440" s="582" t="n"/>
      <c r="H3440" s="583" t="n"/>
      <c r="I3440" s="510" t="n"/>
    </row>
    <row r="3441" ht="19.95" customFormat="1" customHeight="1" s="511">
      <c r="A3441" s="277" t="n"/>
      <c r="B3441" s="285" t="n"/>
      <c r="C3441" s="579" t="n"/>
      <c r="D3441" s="580" t="n"/>
      <c r="E3441" s="581" t="n"/>
      <c r="F3441" s="577" t="n"/>
      <c r="G3441" s="582" t="n"/>
      <c r="H3441" s="583" t="n"/>
      <c r="I3441" s="510" t="n"/>
    </row>
    <row r="3442" ht="19.95" customFormat="1" customHeight="1" s="511">
      <c r="A3442" s="277" t="n"/>
      <c r="B3442" s="285" t="n"/>
      <c r="C3442" s="579" t="n"/>
      <c r="D3442" s="580" t="n"/>
      <c r="E3442" s="581" t="n"/>
      <c r="F3442" s="577" t="n"/>
      <c r="G3442" s="582" t="n"/>
      <c r="H3442" s="583" t="n"/>
      <c r="I3442" s="510" t="n"/>
    </row>
    <row r="3443" ht="19.95" customFormat="1" customHeight="1" s="511">
      <c r="A3443" s="277" t="n"/>
      <c r="B3443" s="285" t="n"/>
      <c r="C3443" s="579" t="n"/>
      <c r="D3443" s="580" t="n"/>
      <c r="E3443" s="581" t="n"/>
      <c r="F3443" s="577" t="n"/>
      <c r="G3443" s="582" t="n"/>
      <c r="H3443" s="583" t="n"/>
      <c r="I3443" s="510" t="n"/>
    </row>
    <row r="3444" ht="19.95" customFormat="1" customHeight="1" s="511">
      <c r="A3444" s="277" t="n"/>
      <c r="B3444" s="285" t="n"/>
      <c r="C3444" s="579" t="n"/>
      <c r="D3444" s="580" t="n"/>
      <c r="E3444" s="581" t="n"/>
      <c r="F3444" s="577" t="n"/>
      <c r="G3444" s="582" t="n"/>
      <c r="H3444" s="583" t="n"/>
      <c r="I3444" s="510" t="n"/>
    </row>
    <row r="3445" ht="19.95" customFormat="1" customHeight="1" s="511">
      <c r="A3445" s="277" t="n"/>
      <c r="B3445" s="285" t="n"/>
      <c r="C3445" s="579" t="n"/>
      <c r="D3445" s="580" t="n"/>
      <c r="E3445" s="581" t="n"/>
      <c r="F3445" s="577" t="n"/>
      <c r="G3445" s="582" t="n"/>
      <c r="H3445" s="583" t="n"/>
      <c r="I3445" s="510" t="n"/>
    </row>
    <row r="3446" ht="19.95" customFormat="1" customHeight="1" s="511">
      <c r="A3446" s="277" t="n"/>
      <c r="B3446" s="285" t="n"/>
      <c r="C3446" s="579" t="n"/>
      <c r="D3446" s="580" t="n"/>
      <c r="E3446" s="581" t="n"/>
      <c r="F3446" s="577" t="n"/>
      <c r="G3446" s="582" t="n"/>
      <c r="H3446" s="583" t="n"/>
      <c r="I3446" s="510" t="n"/>
    </row>
    <row r="3447" ht="19.95" customFormat="1" customHeight="1" s="511">
      <c r="A3447" s="277" t="n"/>
      <c r="B3447" s="285" t="n"/>
      <c r="C3447" s="579" t="n"/>
      <c r="D3447" s="580" t="n"/>
      <c r="E3447" s="581" t="n"/>
      <c r="F3447" s="577" t="n"/>
      <c r="G3447" s="582" t="n"/>
      <c r="H3447" s="583" t="n"/>
      <c r="I3447" s="510" t="n"/>
    </row>
    <row r="3448" ht="19.95" customFormat="1" customHeight="1" s="511">
      <c r="A3448" s="277" t="n"/>
      <c r="B3448" s="285" t="n"/>
      <c r="C3448" s="579" t="n"/>
      <c r="D3448" s="580" t="n"/>
      <c r="E3448" s="581" t="n"/>
      <c r="F3448" s="577" t="n"/>
      <c r="G3448" s="582" t="n"/>
      <c r="H3448" s="583" t="n"/>
      <c r="I3448" s="510" t="n"/>
    </row>
    <row r="3449" ht="19.95" customFormat="1" customHeight="1" s="511">
      <c r="A3449" s="277" t="n"/>
      <c r="B3449" s="285" t="n"/>
      <c r="C3449" s="579" t="n"/>
      <c r="D3449" s="580" t="n"/>
      <c r="E3449" s="581" t="n"/>
      <c r="F3449" s="577" t="n"/>
      <c r="G3449" s="582" t="n"/>
      <c r="H3449" s="583" t="n"/>
      <c r="I3449" s="510" t="n"/>
    </row>
    <row r="3450" ht="19.95" customFormat="1" customHeight="1" s="511">
      <c r="A3450" s="277" t="n"/>
      <c r="B3450" s="285" t="n"/>
      <c r="C3450" s="579" t="n"/>
      <c r="D3450" s="580" t="n"/>
      <c r="E3450" s="581" t="n"/>
      <c r="F3450" s="577" t="n"/>
      <c r="G3450" s="582" t="n"/>
      <c r="H3450" s="583" t="n"/>
      <c r="I3450" s="510" t="n"/>
    </row>
    <row r="3451" ht="19.95" customFormat="1" customHeight="1" s="511">
      <c r="A3451" s="277" t="n"/>
      <c r="B3451" s="285" t="n"/>
      <c r="C3451" s="579" t="n"/>
      <c r="D3451" s="580" t="n"/>
      <c r="E3451" s="581" t="n"/>
      <c r="F3451" s="577" t="n"/>
      <c r="G3451" s="582" t="n"/>
      <c r="H3451" s="583" t="n"/>
      <c r="I3451" s="510" t="n"/>
    </row>
    <row r="3452" ht="19.95" customFormat="1" customHeight="1" s="511">
      <c r="A3452" s="277" t="n"/>
      <c r="B3452" s="285" t="n"/>
      <c r="C3452" s="579" t="n"/>
      <c r="D3452" s="580" t="n"/>
      <c r="E3452" s="581" t="n"/>
      <c r="F3452" s="577" t="n"/>
      <c r="G3452" s="582" t="n"/>
      <c r="H3452" s="583" t="n"/>
      <c r="I3452" s="510" t="n"/>
    </row>
    <row r="3453" ht="19.95" customFormat="1" customHeight="1" s="511">
      <c r="A3453" s="277" t="n"/>
      <c r="B3453" s="285" t="n"/>
      <c r="C3453" s="579" t="n"/>
      <c r="D3453" s="580" t="n"/>
      <c r="E3453" s="581" t="n"/>
      <c r="F3453" s="577" t="n"/>
      <c r="G3453" s="582" t="n"/>
      <c r="H3453" s="583" t="n"/>
      <c r="I3453" s="510" t="n"/>
    </row>
    <row r="3454" ht="19.95" customFormat="1" customHeight="1" s="511">
      <c r="A3454" s="277" t="n"/>
      <c r="B3454" s="285" t="n"/>
      <c r="C3454" s="579" t="n"/>
      <c r="D3454" s="580" t="n"/>
      <c r="E3454" s="581" t="n"/>
      <c r="F3454" s="577" t="n"/>
      <c r="G3454" s="582" t="n"/>
      <c r="H3454" s="583" t="n"/>
      <c r="I3454" s="510" t="n"/>
    </row>
    <row r="3455" ht="19.95" customFormat="1" customHeight="1" s="511">
      <c r="A3455" s="277" t="n"/>
      <c r="B3455" s="285" t="n"/>
      <c r="C3455" s="579" t="n"/>
      <c r="D3455" s="580" t="n"/>
      <c r="E3455" s="581" t="n"/>
      <c r="F3455" s="577" t="n"/>
      <c r="G3455" s="582" t="n"/>
      <c r="H3455" s="583" t="n"/>
      <c r="I3455" s="510" t="n"/>
    </row>
    <row r="3456" ht="19.95" customFormat="1" customHeight="1" s="511">
      <c r="A3456" s="277" t="n"/>
      <c r="B3456" s="285" t="n"/>
      <c r="C3456" s="579" t="n"/>
      <c r="D3456" s="580" t="n"/>
      <c r="E3456" s="581" t="n"/>
      <c r="F3456" s="577" t="n"/>
      <c r="G3456" s="582" t="n"/>
      <c r="H3456" s="583" t="n"/>
      <c r="I3456" s="510" t="n"/>
    </row>
    <row r="3457" ht="19.95" customFormat="1" customHeight="1" s="511">
      <c r="A3457" s="277" t="n"/>
      <c r="B3457" s="285" t="n"/>
      <c r="C3457" s="579" t="n"/>
      <c r="D3457" s="580" t="n"/>
      <c r="E3457" s="581" t="n"/>
      <c r="F3457" s="577" t="n"/>
      <c r="G3457" s="582" t="n"/>
      <c r="H3457" s="583" t="n"/>
      <c r="I3457" s="510" t="n"/>
    </row>
    <row r="3458" ht="19.95" customFormat="1" customHeight="1" s="511">
      <c r="A3458" s="277" t="n"/>
      <c r="B3458" s="285" t="n"/>
      <c r="C3458" s="579" t="n"/>
      <c r="D3458" s="580" t="n"/>
      <c r="E3458" s="581" t="n"/>
      <c r="F3458" s="577" t="n"/>
      <c r="G3458" s="582" t="n"/>
      <c r="H3458" s="583" t="n"/>
      <c r="I3458" s="510" t="n"/>
    </row>
    <row r="3459" ht="19.95" customFormat="1" customHeight="1" s="511">
      <c r="A3459" s="277" t="n"/>
      <c r="B3459" s="285" t="n"/>
      <c r="C3459" s="579" t="n"/>
      <c r="D3459" s="580" t="n"/>
      <c r="E3459" s="581" t="n"/>
      <c r="F3459" s="577" t="n"/>
      <c r="G3459" s="582" t="n"/>
      <c r="H3459" s="583" t="n"/>
      <c r="I3459" s="510" t="n"/>
    </row>
    <row r="3460" ht="19.95" customFormat="1" customHeight="1" s="511">
      <c r="A3460" s="277" t="n"/>
      <c r="B3460" s="285" t="n"/>
      <c r="C3460" s="579" t="n"/>
      <c r="D3460" s="580" t="n"/>
      <c r="E3460" s="581" t="n"/>
      <c r="F3460" s="577" t="n"/>
      <c r="G3460" s="582" t="n"/>
      <c r="H3460" s="583" t="n"/>
      <c r="I3460" s="510" t="n"/>
    </row>
    <row r="3461" ht="19.95" customFormat="1" customHeight="1" s="511">
      <c r="A3461" s="277" t="n"/>
      <c r="B3461" s="285" t="n"/>
      <c r="C3461" s="579" t="n"/>
      <c r="D3461" s="580" t="n"/>
      <c r="E3461" s="581" t="n"/>
      <c r="F3461" s="577" t="n"/>
      <c r="G3461" s="582" t="n"/>
      <c r="H3461" s="583" t="n"/>
      <c r="I3461" s="510" t="n"/>
    </row>
    <row r="3462" ht="19.95" customFormat="1" customHeight="1" s="511">
      <c r="A3462" s="277" t="n"/>
      <c r="B3462" s="285" t="n"/>
      <c r="C3462" s="579" t="n"/>
      <c r="D3462" s="580" t="n"/>
      <c r="E3462" s="581" t="n"/>
      <c r="F3462" s="577" t="n"/>
      <c r="G3462" s="582" t="n"/>
      <c r="H3462" s="583" t="n"/>
      <c r="I3462" s="510" t="n"/>
    </row>
    <row r="3463" ht="19.95" customFormat="1" customHeight="1" s="511">
      <c r="A3463" s="277" t="n"/>
      <c r="B3463" s="285" t="n"/>
      <c r="C3463" s="579" t="n"/>
      <c r="D3463" s="580" t="n"/>
      <c r="E3463" s="581" t="n"/>
      <c r="F3463" s="577" t="n"/>
      <c r="G3463" s="582" t="n"/>
      <c r="H3463" s="583" t="n"/>
      <c r="I3463" s="510" t="n"/>
    </row>
    <row r="3464" ht="19.95" customFormat="1" customHeight="1" s="511">
      <c r="A3464" s="277" t="n"/>
      <c r="B3464" s="285" t="n"/>
      <c r="C3464" s="579" t="n"/>
      <c r="D3464" s="580" t="n"/>
      <c r="E3464" s="581" t="n"/>
      <c r="F3464" s="577" t="n"/>
      <c r="G3464" s="582" t="n"/>
      <c r="H3464" s="583" t="n"/>
      <c r="I3464" s="510" t="n"/>
    </row>
    <row r="3465" ht="19.95" customFormat="1" customHeight="1" s="511">
      <c r="A3465" s="277" t="n"/>
      <c r="B3465" s="285" t="n"/>
      <c r="C3465" s="579" t="n"/>
      <c r="D3465" s="580" t="n"/>
      <c r="E3465" s="581" t="n"/>
      <c r="F3465" s="577" t="n"/>
      <c r="G3465" s="582" t="n"/>
      <c r="H3465" s="583" t="n"/>
      <c r="I3465" s="510" t="n"/>
    </row>
    <row r="3466" ht="19.95" customFormat="1" customHeight="1" s="511">
      <c r="A3466" s="277" t="n"/>
      <c r="B3466" s="285" t="n"/>
      <c r="C3466" s="579" t="n"/>
      <c r="D3466" s="580" t="n"/>
      <c r="E3466" s="581" t="n"/>
      <c r="F3466" s="577" t="n"/>
      <c r="G3466" s="582" t="n"/>
      <c r="H3466" s="583" t="n"/>
      <c r="I3466" s="510" t="n"/>
    </row>
    <row r="3467" ht="19.95" customFormat="1" customHeight="1" s="511">
      <c r="A3467" s="277" t="n"/>
      <c r="B3467" s="285" t="n"/>
      <c r="C3467" s="579" t="n"/>
      <c r="D3467" s="580" t="n"/>
      <c r="E3467" s="581" t="n"/>
      <c r="F3467" s="577" t="n"/>
      <c r="G3467" s="582" t="n"/>
      <c r="H3467" s="583" t="n"/>
      <c r="I3467" s="510" t="n"/>
    </row>
    <row r="3468" ht="19.95" customFormat="1" customHeight="1" s="511">
      <c r="A3468" s="277" t="n"/>
      <c r="B3468" s="285" t="n"/>
      <c r="C3468" s="579" t="n"/>
      <c r="D3468" s="580" t="n"/>
      <c r="E3468" s="581" t="n"/>
      <c r="F3468" s="577" t="n"/>
      <c r="G3468" s="582" t="n"/>
      <c r="H3468" s="583" t="n"/>
      <c r="I3468" s="510" t="n"/>
    </row>
    <row r="3469" ht="19.95" customFormat="1" customHeight="1" s="511">
      <c r="A3469" s="277" t="n"/>
      <c r="B3469" s="285" t="n"/>
      <c r="C3469" s="579" t="n"/>
      <c r="D3469" s="580" t="n"/>
      <c r="E3469" s="581" t="n"/>
      <c r="F3469" s="577" t="n"/>
      <c r="G3469" s="582" t="n"/>
      <c r="H3469" s="583" t="n"/>
      <c r="I3469" s="510" t="n"/>
    </row>
    <row r="3470" ht="19.95" customFormat="1" customHeight="1" s="511">
      <c r="A3470" s="277" t="n"/>
      <c r="B3470" s="285" t="n"/>
      <c r="C3470" s="579" t="n"/>
      <c r="D3470" s="580" t="n"/>
      <c r="E3470" s="581" t="n"/>
      <c r="F3470" s="577" t="n"/>
      <c r="G3470" s="582" t="n"/>
      <c r="H3470" s="583" t="n"/>
      <c r="I3470" s="510" t="n"/>
    </row>
    <row r="3471" ht="19.95" customFormat="1" customHeight="1" s="511">
      <c r="A3471" s="277" t="n"/>
      <c r="B3471" s="285" t="n"/>
      <c r="C3471" s="579" t="n"/>
      <c r="D3471" s="580" t="n"/>
      <c r="E3471" s="581" t="n"/>
      <c r="F3471" s="577" t="n"/>
      <c r="G3471" s="582" t="n"/>
      <c r="H3471" s="583" t="n"/>
      <c r="I3471" s="510" t="n"/>
    </row>
    <row r="3472" ht="19.95" customFormat="1" customHeight="1" s="511">
      <c r="A3472" s="277" t="n"/>
      <c r="B3472" s="285" t="n"/>
      <c r="C3472" s="579" t="n"/>
      <c r="D3472" s="580" t="n"/>
      <c r="E3472" s="581" t="n"/>
      <c r="F3472" s="577" t="n"/>
      <c r="G3472" s="582" t="n"/>
      <c r="H3472" s="583" t="n"/>
      <c r="I3472" s="510" t="n"/>
    </row>
    <row r="3473" ht="19.95" customFormat="1" customHeight="1" s="511">
      <c r="A3473" s="277" t="n"/>
      <c r="B3473" s="285" t="n"/>
      <c r="C3473" s="579" t="n"/>
      <c r="D3473" s="580" t="n"/>
      <c r="E3473" s="581" t="n"/>
      <c r="F3473" s="577" t="n"/>
      <c r="G3473" s="582" t="n"/>
      <c r="H3473" s="583" t="n"/>
      <c r="I3473" s="510" t="n"/>
    </row>
    <row r="3474" ht="19.95" customFormat="1" customHeight="1" s="511">
      <c r="A3474" s="277" t="n"/>
      <c r="B3474" s="285" t="n"/>
      <c r="C3474" s="579" t="n"/>
      <c r="D3474" s="580" t="n"/>
      <c r="E3474" s="581" t="n"/>
      <c r="F3474" s="577" t="n"/>
      <c r="G3474" s="582" t="n"/>
      <c r="H3474" s="583" t="n"/>
      <c r="I3474" s="510" t="n"/>
    </row>
    <row r="3475" ht="19.95" customFormat="1" customHeight="1" s="511">
      <c r="A3475" s="277" t="n"/>
      <c r="B3475" s="285" t="n"/>
      <c r="C3475" s="579" t="n"/>
      <c r="D3475" s="580" t="n"/>
      <c r="E3475" s="581" t="n"/>
      <c r="F3475" s="577" t="n"/>
      <c r="G3475" s="582" t="n"/>
      <c r="H3475" s="583" t="n"/>
      <c r="I3475" s="510" t="n"/>
    </row>
    <row r="3476" ht="19.95" customFormat="1" customHeight="1" s="511">
      <c r="A3476" s="277" t="n"/>
      <c r="B3476" s="285" t="n"/>
      <c r="C3476" s="579" t="n"/>
      <c r="D3476" s="580" t="n"/>
      <c r="E3476" s="581" t="n"/>
      <c r="F3476" s="577" t="n"/>
      <c r="G3476" s="582" t="n"/>
      <c r="H3476" s="583" t="n"/>
      <c r="I3476" s="510" t="n"/>
    </row>
    <row r="3477" ht="19.95" customFormat="1" customHeight="1" s="511">
      <c r="A3477" s="277" t="n"/>
      <c r="B3477" s="285" t="n"/>
      <c r="C3477" s="579" t="n"/>
      <c r="D3477" s="580" t="n"/>
      <c r="E3477" s="581" t="n"/>
      <c r="F3477" s="577" t="n"/>
      <c r="G3477" s="582" t="n"/>
      <c r="H3477" s="583" t="n"/>
      <c r="I3477" s="510" t="n"/>
    </row>
    <row r="3478" ht="19.95" customFormat="1" customHeight="1" s="511">
      <c r="A3478" s="277" t="n"/>
      <c r="B3478" s="285" t="n"/>
      <c r="C3478" s="579" t="n"/>
      <c r="D3478" s="580" t="n"/>
      <c r="E3478" s="581" t="n"/>
      <c r="F3478" s="577" t="n"/>
      <c r="G3478" s="582" t="n"/>
      <c r="H3478" s="583" t="n"/>
      <c r="I3478" s="510" t="n"/>
    </row>
    <row r="3479" ht="19.95" customFormat="1" customHeight="1" s="511">
      <c r="A3479" s="277" t="n"/>
      <c r="B3479" s="285" t="n"/>
      <c r="C3479" s="579" t="n"/>
      <c r="D3479" s="580" t="n"/>
      <c r="E3479" s="581" t="n"/>
      <c r="F3479" s="577" t="n"/>
      <c r="G3479" s="582" t="n"/>
      <c r="H3479" s="583" t="n"/>
      <c r="I3479" s="510" t="n"/>
    </row>
    <row r="3480" ht="19.95" customFormat="1" customHeight="1" s="511">
      <c r="A3480" s="277" t="n"/>
      <c r="B3480" s="285" t="n"/>
      <c r="C3480" s="579" t="n"/>
      <c r="D3480" s="580" t="n"/>
      <c r="E3480" s="581" t="n"/>
      <c r="F3480" s="577" t="n"/>
      <c r="G3480" s="582" t="n"/>
      <c r="H3480" s="583" t="n"/>
      <c r="I3480" s="510" t="n"/>
    </row>
    <row r="3481" ht="19.95" customFormat="1" customHeight="1" s="511">
      <c r="A3481" s="277" t="n"/>
      <c r="B3481" s="285" t="n"/>
      <c r="C3481" s="579" t="n"/>
      <c r="D3481" s="580" t="n"/>
      <c r="E3481" s="581" t="n"/>
      <c r="F3481" s="577" t="n"/>
      <c r="G3481" s="582" t="n"/>
      <c r="H3481" s="583" t="n"/>
      <c r="I3481" s="510" t="n"/>
    </row>
    <row r="3482" ht="19.95" customFormat="1" customHeight="1" s="511">
      <c r="A3482" s="277" t="n"/>
      <c r="B3482" s="285" t="n"/>
      <c r="C3482" s="579" t="n"/>
      <c r="D3482" s="580" t="n"/>
      <c r="E3482" s="581" t="n"/>
      <c r="F3482" s="577" t="n"/>
      <c r="G3482" s="582" t="n"/>
      <c r="H3482" s="583" t="n"/>
      <c r="I3482" s="510" t="n"/>
    </row>
    <row r="3483" ht="19.95" customFormat="1" customHeight="1" s="511">
      <c r="A3483" s="277" t="n"/>
      <c r="B3483" s="285" t="n"/>
      <c r="C3483" s="579" t="n"/>
      <c r="D3483" s="580" t="n"/>
      <c r="E3483" s="581" t="n"/>
      <c r="F3483" s="577" t="n"/>
      <c r="G3483" s="582" t="n"/>
      <c r="H3483" s="583" t="n"/>
      <c r="I3483" s="510" t="n"/>
    </row>
    <row r="3484" ht="19.95" customFormat="1" customHeight="1" s="511">
      <c r="A3484" s="277" t="n"/>
      <c r="B3484" s="285" t="n"/>
      <c r="C3484" s="579" t="n"/>
      <c r="D3484" s="580" t="n"/>
      <c r="E3484" s="581" t="n"/>
      <c r="F3484" s="577" t="n"/>
      <c r="G3484" s="582" t="n"/>
      <c r="H3484" s="583" t="n"/>
      <c r="I3484" s="510" t="n"/>
    </row>
    <row r="3485" ht="19.95" customFormat="1" customHeight="1" s="511">
      <c r="A3485" s="277" t="n"/>
      <c r="B3485" s="285" t="n"/>
      <c r="C3485" s="579" t="n"/>
      <c r="D3485" s="580" t="n"/>
      <c r="E3485" s="581" t="n"/>
      <c r="F3485" s="577" t="n"/>
      <c r="G3485" s="582" t="n"/>
      <c r="H3485" s="583" t="n"/>
      <c r="I3485" s="510" t="n"/>
    </row>
    <row r="3486" ht="19.95" customFormat="1" customHeight="1" s="511">
      <c r="A3486" s="277" t="n"/>
      <c r="B3486" s="285" t="n"/>
      <c r="C3486" s="579" t="n"/>
      <c r="D3486" s="580" t="n"/>
      <c r="E3486" s="581" t="n"/>
      <c r="F3486" s="577" t="n"/>
      <c r="G3486" s="582" t="n"/>
      <c r="H3486" s="583" t="n"/>
      <c r="I3486" s="510" t="n"/>
    </row>
    <row r="3487" ht="19.95" customFormat="1" customHeight="1" s="511">
      <c r="A3487" s="277" t="n"/>
      <c r="B3487" s="285" t="n"/>
      <c r="C3487" s="579" t="n"/>
      <c r="D3487" s="580" t="n"/>
      <c r="E3487" s="581" t="n"/>
      <c r="F3487" s="577" t="n"/>
      <c r="G3487" s="582" t="n"/>
      <c r="H3487" s="583" t="n"/>
      <c r="I3487" s="510" t="n"/>
    </row>
    <row r="3488" ht="19.95" customFormat="1" customHeight="1" s="511">
      <c r="A3488" s="277" t="n"/>
      <c r="B3488" s="285" t="n"/>
      <c r="C3488" s="579" t="n"/>
      <c r="D3488" s="580" t="n"/>
      <c r="E3488" s="581" t="n"/>
      <c r="F3488" s="577" t="n"/>
      <c r="G3488" s="582" t="n"/>
      <c r="H3488" s="583" t="n"/>
      <c r="I3488" s="510" t="n"/>
    </row>
    <row r="3489" ht="19.95" customFormat="1" customHeight="1" s="511">
      <c r="A3489" s="277" t="n"/>
      <c r="B3489" s="285" t="n"/>
      <c r="C3489" s="579" t="n"/>
      <c r="D3489" s="580" t="n"/>
      <c r="E3489" s="581" t="n"/>
      <c r="F3489" s="577" t="n"/>
      <c r="G3489" s="582" t="n"/>
      <c r="H3489" s="583" t="n"/>
      <c r="I3489" s="510" t="n"/>
    </row>
    <row r="3490" ht="19.95" customFormat="1" customHeight="1" s="511">
      <c r="A3490" s="277" t="n"/>
      <c r="B3490" s="285" t="n"/>
      <c r="C3490" s="579" t="n"/>
      <c r="D3490" s="580" t="n"/>
      <c r="E3490" s="581" t="n"/>
      <c r="F3490" s="577" t="n"/>
      <c r="G3490" s="582" t="n"/>
      <c r="H3490" s="583" t="n"/>
      <c r="I3490" s="510" t="n"/>
    </row>
    <row r="3491" ht="19.95" customFormat="1" customHeight="1" s="511">
      <c r="A3491" s="277" t="n"/>
      <c r="B3491" s="285" t="n"/>
      <c r="C3491" s="579" t="n"/>
      <c r="D3491" s="580" t="n"/>
      <c r="E3491" s="581" t="n"/>
      <c r="F3491" s="577" t="n"/>
      <c r="G3491" s="582" t="n"/>
      <c r="H3491" s="583" t="n"/>
      <c r="I3491" s="510" t="n"/>
    </row>
    <row r="3492" ht="19.95" customFormat="1" customHeight="1" s="511">
      <c r="A3492" s="277" t="n"/>
      <c r="B3492" s="285" t="n"/>
      <c r="C3492" s="579" t="n"/>
      <c r="D3492" s="580" t="n"/>
      <c r="E3492" s="581" t="n"/>
      <c r="F3492" s="577" t="n"/>
      <c r="G3492" s="582" t="n"/>
      <c r="H3492" s="583" t="n"/>
      <c r="I3492" s="510" t="n"/>
    </row>
    <row r="3493" ht="19.95" customFormat="1" customHeight="1" s="511">
      <c r="A3493" s="277" t="n"/>
      <c r="B3493" s="285" t="n"/>
      <c r="C3493" s="579" t="n"/>
      <c r="D3493" s="580" t="n"/>
      <c r="E3493" s="581" t="n"/>
      <c r="F3493" s="577" t="n"/>
      <c r="G3493" s="582" t="n"/>
      <c r="H3493" s="583" t="n"/>
      <c r="I3493" s="510" t="n"/>
    </row>
    <row r="3494" ht="19.95" customFormat="1" customHeight="1" s="511">
      <c r="A3494" s="277" t="n"/>
      <c r="B3494" s="285" t="n"/>
      <c r="C3494" s="579" t="n"/>
      <c r="D3494" s="580" t="n"/>
      <c r="E3494" s="581" t="n"/>
      <c r="F3494" s="577" t="n"/>
      <c r="G3494" s="582" t="n"/>
      <c r="H3494" s="583" t="n"/>
      <c r="I3494" s="510" t="n"/>
    </row>
    <row r="3495" ht="19.95" customFormat="1" customHeight="1" s="511">
      <c r="A3495" s="277" t="n"/>
      <c r="B3495" s="285" t="n"/>
      <c r="C3495" s="579" t="n"/>
      <c r="D3495" s="580" t="n"/>
      <c r="E3495" s="581" t="n"/>
      <c r="F3495" s="577" t="n"/>
      <c r="G3495" s="582" t="n"/>
      <c r="H3495" s="583" t="n"/>
      <c r="I3495" s="510" t="n"/>
    </row>
    <row r="3496" ht="19.95" customFormat="1" customHeight="1" s="511">
      <c r="A3496" s="277" t="n"/>
      <c r="B3496" s="285" t="n"/>
      <c r="C3496" s="579" t="n"/>
      <c r="D3496" s="580" t="n"/>
      <c r="E3496" s="581" t="n"/>
      <c r="F3496" s="577" t="n"/>
      <c r="G3496" s="582" t="n"/>
      <c r="H3496" s="583" t="n"/>
      <c r="I3496" s="510" t="n"/>
    </row>
    <row r="3497" ht="19.95" customFormat="1" customHeight="1" s="511">
      <c r="A3497" s="277" t="n"/>
      <c r="B3497" s="285" t="n"/>
      <c r="C3497" s="579" t="n"/>
      <c r="D3497" s="580" t="n"/>
      <c r="E3497" s="581" t="n"/>
      <c r="F3497" s="577" t="n"/>
      <c r="G3497" s="582" t="n"/>
      <c r="H3497" s="583" t="n"/>
      <c r="I3497" s="510" t="n"/>
    </row>
    <row r="3498" ht="19.95" customFormat="1" customHeight="1" s="511">
      <c r="A3498" s="277" t="n"/>
      <c r="B3498" s="285" t="n"/>
      <c r="C3498" s="579" t="n"/>
      <c r="D3498" s="580" t="n"/>
      <c r="E3498" s="581" t="n"/>
      <c r="F3498" s="577" t="n"/>
      <c r="G3498" s="582" t="n"/>
      <c r="H3498" s="583" t="n"/>
      <c r="I3498" s="510" t="n"/>
    </row>
    <row r="3499" ht="19.95" customFormat="1" customHeight="1" s="511">
      <c r="A3499" s="277" t="n"/>
      <c r="B3499" s="285" t="n"/>
      <c r="C3499" s="579" t="n"/>
      <c r="D3499" s="580" t="n"/>
      <c r="E3499" s="581" t="n"/>
      <c r="F3499" s="577" t="n"/>
      <c r="G3499" s="582" t="n"/>
      <c r="H3499" s="583" t="n"/>
      <c r="I3499" s="510" t="n"/>
    </row>
    <row r="3500" ht="19.95" customFormat="1" customHeight="1" s="511">
      <c r="A3500" s="277" t="n"/>
      <c r="B3500" s="285" t="n"/>
      <c r="C3500" s="579" t="n"/>
      <c r="D3500" s="580" t="n"/>
      <c r="E3500" s="581" t="n"/>
      <c r="F3500" s="577" t="n"/>
      <c r="G3500" s="582" t="n"/>
      <c r="H3500" s="583" t="n"/>
      <c r="I3500" s="510" t="n"/>
    </row>
    <row r="3501" ht="19.95" customFormat="1" customHeight="1" s="511">
      <c r="A3501" s="277" t="n"/>
      <c r="B3501" s="285" t="n"/>
      <c r="C3501" s="579" t="n"/>
      <c r="D3501" s="580" t="n"/>
      <c r="E3501" s="581" t="n"/>
      <c r="F3501" s="577" t="n"/>
      <c r="G3501" s="582" t="n"/>
      <c r="H3501" s="583" t="n"/>
      <c r="I3501" s="510" t="n"/>
    </row>
    <row r="3502" ht="19.95" customFormat="1" customHeight="1" s="511">
      <c r="A3502" s="277" t="n"/>
      <c r="B3502" s="285" t="n"/>
      <c r="C3502" s="579" t="n"/>
      <c r="D3502" s="580" t="n"/>
      <c r="E3502" s="581" t="n"/>
      <c r="F3502" s="577" t="n"/>
      <c r="G3502" s="582" t="n"/>
      <c r="H3502" s="583" t="n"/>
      <c r="I3502" s="510" t="n"/>
    </row>
    <row r="3503" ht="19.95" customFormat="1" customHeight="1" s="511">
      <c r="A3503" s="277" t="n"/>
      <c r="B3503" s="285" t="n"/>
      <c r="C3503" s="579" t="n"/>
      <c r="D3503" s="580" t="n"/>
      <c r="E3503" s="581" t="n"/>
      <c r="F3503" s="577" t="n"/>
      <c r="G3503" s="582" t="n"/>
      <c r="H3503" s="583" t="n"/>
      <c r="I3503" s="510" t="n"/>
    </row>
    <row r="3504" ht="19.95" customFormat="1" customHeight="1" s="511">
      <c r="A3504" s="277" t="n"/>
      <c r="B3504" s="285" t="n"/>
      <c r="C3504" s="579" t="n"/>
      <c r="D3504" s="580" t="n"/>
      <c r="E3504" s="581" t="n"/>
      <c r="F3504" s="577" t="n"/>
      <c r="G3504" s="582" t="n"/>
      <c r="H3504" s="583" t="n"/>
      <c r="I3504" s="510" t="n"/>
    </row>
    <row r="3505" ht="19.95" customFormat="1" customHeight="1" s="511">
      <c r="A3505" s="277" t="n"/>
      <c r="B3505" s="285" t="n"/>
      <c r="C3505" s="579" t="n"/>
      <c r="D3505" s="580" t="n"/>
      <c r="E3505" s="581" t="n"/>
      <c r="F3505" s="577" t="n"/>
      <c r="G3505" s="582" t="n"/>
      <c r="H3505" s="583" t="n"/>
      <c r="I3505" s="510" t="n"/>
    </row>
    <row r="3506" ht="19.95" customFormat="1" customHeight="1" s="511">
      <c r="A3506" s="277" t="n"/>
      <c r="B3506" s="285" t="n"/>
      <c r="C3506" s="579" t="n"/>
      <c r="D3506" s="580" t="n"/>
      <c r="E3506" s="581" t="n"/>
      <c r="F3506" s="577" t="n"/>
      <c r="G3506" s="582" t="n"/>
      <c r="H3506" s="583" t="n"/>
      <c r="I3506" s="510" t="n"/>
    </row>
    <row r="3507" ht="19.95" customFormat="1" customHeight="1" s="511">
      <c r="A3507" s="277" t="n"/>
      <c r="B3507" s="285" t="n"/>
      <c r="C3507" s="579" t="n"/>
      <c r="D3507" s="580" t="n"/>
      <c r="E3507" s="581" t="n"/>
      <c r="F3507" s="577" t="n"/>
      <c r="G3507" s="582" t="n"/>
      <c r="H3507" s="583" t="n"/>
      <c r="I3507" s="510" t="n"/>
    </row>
    <row r="3508" ht="19.95" customFormat="1" customHeight="1" s="511">
      <c r="A3508" s="277" t="n"/>
      <c r="B3508" s="285" t="n"/>
      <c r="C3508" s="579" t="n"/>
      <c r="D3508" s="580" t="n"/>
      <c r="E3508" s="581" t="n"/>
      <c r="F3508" s="577" t="n"/>
      <c r="G3508" s="582" t="n"/>
      <c r="H3508" s="583" t="n"/>
      <c r="I3508" s="510" t="n"/>
    </row>
    <row r="3509" ht="19.95" customFormat="1" customHeight="1" s="511">
      <c r="A3509" s="277" t="n"/>
      <c r="B3509" s="285" t="n"/>
      <c r="C3509" s="579" t="n"/>
      <c r="D3509" s="580" t="n"/>
      <c r="E3509" s="581" t="n"/>
      <c r="F3509" s="577" t="n"/>
      <c r="G3509" s="582" t="n"/>
      <c r="H3509" s="583" t="n"/>
      <c r="I3509" s="510" t="n"/>
    </row>
    <row r="3510" ht="19.95" customFormat="1" customHeight="1" s="511">
      <c r="A3510" s="277" t="n"/>
      <c r="B3510" s="285" t="n"/>
      <c r="C3510" s="579" t="n"/>
      <c r="D3510" s="580" t="n"/>
      <c r="E3510" s="581" t="n"/>
      <c r="F3510" s="577" t="n"/>
      <c r="G3510" s="582" t="n"/>
      <c r="H3510" s="583" t="n"/>
      <c r="I3510" s="510" t="n"/>
    </row>
    <row r="3511" ht="19.95" customFormat="1" customHeight="1" s="511">
      <c r="A3511" s="277" t="n"/>
      <c r="B3511" s="285" t="n"/>
      <c r="C3511" s="579" t="n"/>
      <c r="D3511" s="580" t="n"/>
      <c r="E3511" s="581" t="n"/>
      <c r="F3511" s="577" t="n"/>
      <c r="G3511" s="582" t="n"/>
      <c r="H3511" s="583" t="n"/>
      <c r="I3511" s="510" t="n"/>
    </row>
    <row r="3512" ht="19.95" customFormat="1" customHeight="1" s="511">
      <c r="A3512" s="277" t="n"/>
      <c r="B3512" s="285" t="n"/>
      <c r="C3512" s="579" t="n"/>
      <c r="D3512" s="580" t="n"/>
      <c r="E3512" s="581" t="n"/>
      <c r="F3512" s="577" t="n"/>
      <c r="G3512" s="582" t="n"/>
      <c r="H3512" s="583" t="n"/>
      <c r="I3512" s="510" t="n"/>
    </row>
    <row r="3513" ht="19.95" customFormat="1" customHeight="1" s="511">
      <c r="A3513" s="277" t="n"/>
      <c r="B3513" s="285" t="n"/>
      <c r="C3513" s="579" t="n"/>
      <c r="D3513" s="580" t="n"/>
      <c r="E3513" s="581" t="n"/>
      <c r="F3513" s="577" t="n"/>
      <c r="G3513" s="582" t="n"/>
      <c r="H3513" s="583" t="n"/>
      <c r="I3513" s="510" t="n"/>
    </row>
    <row r="3514" ht="19.95" customFormat="1" customHeight="1" s="511">
      <c r="A3514" s="277" t="n"/>
      <c r="B3514" s="285" t="n"/>
      <c r="C3514" s="579" t="n"/>
      <c r="D3514" s="580" t="n"/>
      <c r="E3514" s="581" t="n"/>
      <c r="F3514" s="577" t="n"/>
      <c r="G3514" s="582" t="n"/>
      <c r="H3514" s="583" t="n"/>
      <c r="I3514" s="510" t="n"/>
    </row>
    <row r="3515" ht="19.95" customFormat="1" customHeight="1" s="511">
      <c r="A3515" s="277" t="n"/>
      <c r="B3515" s="285" t="n"/>
      <c r="C3515" s="579" t="n"/>
      <c r="D3515" s="580" t="n"/>
      <c r="E3515" s="581" t="n"/>
      <c r="F3515" s="577" t="n"/>
      <c r="G3515" s="582" t="n"/>
      <c r="H3515" s="583" t="n"/>
      <c r="I3515" s="510" t="n"/>
    </row>
    <row r="3516" ht="19.95" customFormat="1" customHeight="1" s="511">
      <c r="A3516" s="277" t="n"/>
      <c r="B3516" s="285" t="n"/>
      <c r="C3516" s="579" t="n"/>
      <c r="D3516" s="580" t="n"/>
      <c r="E3516" s="581" t="n"/>
      <c r="F3516" s="577" t="n"/>
      <c r="G3516" s="582" t="n"/>
      <c r="H3516" s="583" t="n"/>
      <c r="I3516" s="510" t="n"/>
    </row>
    <row r="3517" ht="19.95" customFormat="1" customHeight="1" s="511">
      <c r="A3517" s="277" t="n"/>
      <c r="B3517" s="285" t="n"/>
      <c r="C3517" s="579" t="n"/>
      <c r="D3517" s="580" t="n"/>
      <c r="E3517" s="581" t="n"/>
      <c r="F3517" s="577" t="n"/>
      <c r="G3517" s="582" t="n"/>
      <c r="H3517" s="583" t="n"/>
      <c r="I3517" s="510" t="n"/>
    </row>
    <row r="3518" ht="19.95" customFormat="1" customHeight="1" s="511">
      <c r="A3518" s="277" t="n"/>
      <c r="B3518" s="285" t="n"/>
      <c r="C3518" s="579" t="n"/>
      <c r="D3518" s="580" t="n"/>
      <c r="E3518" s="581" t="n"/>
      <c r="F3518" s="577" t="n"/>
      <c r="G3518" s="582" t="n"/>
      <c r="H3518" s="583" t="n"/>
      <c r="I3518" s="510" t="n"/>
    </row>
    <row r="3519" ht="19.95" customFormat="1" customHeight="1" s="511">
      <c r="A3519" s="277" t="n"/>
      <c r="B3519" s="285" t="n"/>
      <c r="C3519" s="579" t="n"/>
      <c r="D3519" s="580" t="n"/>
      <c r="E3519" s="581" t="n"/>
      <c r="F3519" s="577" t="n"/>
      <c r="G3519" s="582" t="n"/>
      <c r="H3519" s="583" t="n"/>
      <c r="I3519" s="510" t="n"/>
    </row>
    <row r="3520" ht="19.95" customFormat="1" customHeight="1" s="511">
      <c r="A3520" s="277" t="n"/>
      <c r="B3520" s="285" t="n"/>
      <c r="C3520" s="579" t="n"/>
      <c r="D3520" s="580" t="n"/>
      <c r="E3520" s="581" t="n"/>
      <c r="F3520" s="577" t="n"/>
      <c r="G3520" s="582" t="n"/>
      <c r="H3520" s="583" t="n"/>
      <c r="I3520" s="510" t="n"/>
    </row>
    <row r="3521" ht="19.95" customFormat="1" customHeight="1" s="511">
      <c r="A3521" s="277" t="n"/>
      <c r="B3521" s="285" t="n"/>
      <c r="C3521" s="579" t="n"/>
      <c r="D3521" s="580" t="n"/>
      <c r="E3521" s="581" t="n"/>
      <c r="F3521" s="577" t="n"/>
      <c r="G3521" s="582" t="n"/>
      <c r="H3521" s="583" t="n"/>
      <c r="I3521" s="510" t="n"/>
    </row>
    <row r="3522" ht="19.95" customFormat="1" customHeight="1" s="511">
      <c r="A3522" s="277" t="n"/>
      <c r="B3522" s="285" t="n"/>
      <c r="C3522" s="579" t="n"/>
      <c r="D3522" s="580" t="n"/>
      <c r="E3522" s="581" t="n"/>
      <c r="F3522" s="577" t="n"/>
      <c r="G3522" s="582" t="n"/>
      <c r="H3522" s="583" t="n"/>
      <c r="I3522" s="510" t="n"/>
    </row>
    <row r="3523" ht="19.95" customFormat="1" customHeight="1" s="511">
      <c r="A3523" s="277" t="n"/>
      <c r="B3523" s="285" t="n"/>
      <c r="C3523" s="579" t="n"/>
      <c r="D3523" s="580" t="n"/>
      <c r="E3523" s="581" t="n"/>
      <c r="F3523" s="577" t="n"/>
      <c r="G3523" s="582" t="n"/>
      <c r="H3523" s="583" t="n"/>
      <c r="I3523" s="510" t="n"/>
    </row>
    <row r="3524" ht="19.95" customFormat="1" customHeight="1" s="511">
      <c r="A3524" s="277" t="n"/>
      <c r="B3524" s="285" t="n"/>
      <c r="C3524" s="579" t="n"/>
      <c r="D3524" s="580" t="n"/>
      <c r="E3524" s="581" t="n"/>
      <c r="F3524" s="577" t="n"/>
      <c r="G3524" s="582" t="n"/>
      <c r="H3524" s="583" t="n"/>
      <c r="I3524" s="510" t="n"/>
    </row>
    <row r="3525" ht="19.95" customFormat="1" customHeight="1" s="511">
      <c r="A3525" s="277" t="n"/>
      <c r="B3525" s="285" t="n"/>
      <c r="C3525" s="579" t="n"/>
      <c r="D3525" s="580" t="n"/>
      <c r="E3525" s="581" t="n"/>
      <c r="F3525" s="577" t="n"/>
      <c r="G3525" s="582" t="n"/>
      <c r="H3525" s="583" t="n"/>
      <c r="I3525" s="510" t="n"/>
    </row>
    <row r="3526" ht="19.95" customFormat="1" customHeight="1" s="511">
      <c r="A3526" s="277" t="n"/>
      <c r="B3526" s="285" t="n"/>
      <c r="C3526" s="579" t="n"/>
      <c r="D3526" s="580" t="n"/>
      <c r="E3526" s="581" t="n"/>
      <c r="F3526" s="577" t="n"/>
      <c r="G3526" s="582" t="n"/>
      <c r="H3526" s="583" t="n"/>
      <c r="I3526" s="510" t="n"/>
    </row>
    <row r="3527" ht="19.95" customFormat="1" customHeight="1" s="511">
      <c r="A3527" s="277" t="n"/>
      <c r="B3527" s="285" t="n"/>
      <c r="C3527" s="579" t="n"/>
      <c r="D3527" s="580" t="n"/>
      <c r="E3527" s="581" t="n"/>
      <c r="F3527" s="577" t="n"/>
      <c r="G3527" s="582" t="n"/>
      <c r="H3527" s="583" t="n"/>
      <c r="I3527" s="510" t="n"/>
    </row>
    <row r="3528" ht="19.95" customFormat="1" customHeight="1" s="511">
      <c r="A3528" s="277" t="n"/>
      <c r="B3528" s="285" t="n"/>
      <c r="C3528" s="579" t="n"/>
      <c r="D3528" s="580" t="n"/>
      <c r="E3528" s="581" t="n"/>
      <c r="F3528" s="577" t="n"/>
      <c r="G3528" s="582" t="n"/>
      <c r="H3528" s="583" t="n"/>
      <c r="I3528" s="510" t="n"/>
    </row>
    <row r="3529" ht="19.95" customFormat="1" customHeight="1" s="511">
      <c r="A3529" s="277" t="n"/>
      <c r="B3529" s="285" t="n"/>
      <c r="C3529" s="579" t="n"/>
      <c r="D3529" s="580" t="n"/>
      <c r="E3529" s="581" t="n"/>
      <c r="F3529" s="577" t="n"/>
      <c r="G3529" s="582" t="n"/>
      <c r="H3529" s="583" t="n"/>
      <c r="I3529" s="510" t="n"/>
    </row>
    <row r="3530" ht="19.95" customFormat="1" customHeight="1" s="511">
      <c r="A3530" s="277" t="n"/>
      <c r="B3530" s="285" t="n"/>
      <c r="C3530" s="579" t="n"/>
      <c r="D3530" s="580" t="n"/>
      <c r="E3530" s="581" t="n"/>
      <c r="F3530" s="577" t="n"/>
      <c r="G3530" s="582" t="n"/>
      <c r="H3530" s="583" t="n"/>
      <c r="I3530" s="510" t="n"/>
    </row>
    <row r="3531" ht="19.95" customFormat="1" customHeight="1" s="511">
      <c r="A3531" s="277" t="n"/>
      <c r="B3531" s="285" t="n"/>
      <c r="C3531" s="579" t="n"/>
      <c r="D3531" s="580" t="n"/>
      <c r="E3531" s="581" t="n"/>
      <c r="F3531" s="577" t="n"/>
      <c r="G3531" s="582" t="n"/>
      <c r="H3531" s="583" t="n"/>
      <c r="I3531" s="510" t="n"/>
    </row>
    <row r="3532" ht="19.95" customFormat="1" customHeight="1" s="511">
      <c r="A3532" s="277" t="n"/>
      <c r="B3532" s="285" t="n"/>
      <c r="C3532" s="579" t="n"/>
      <c r="D3532" s="580" t="n"/>
      <c r="E3532" s="581" t="n"/>
      <c r="F3532" s="577" t="n"/>
      <c r="G3532" s="582" t="n"/>
      <c r="H3532" s="583" t="n"/>
      <c r="I3532" s="510" t="n"/>
    </row>
    <row r="3533" ht="19.95" customFormat="1" customHeight="1" s="511">
      <c r="A3533" s="277" t="n"/>
      <c r="B3533" s="285" t="n"/>
      <c r="C3533" s="579" t="n"/>
      <c r="D3533" s="580" t="n"/>
      <c r="E3533" s="581" t="n"/>
      <c r="F3533" s="577" t="n"/>
      <c r="G3533" s="582" t="n"/>
      <c r="H3533" s="583" t="n"/>
      <c r="I3533" s="510" t="n"/>
    </row>
    <row r="3534" ht="19.95" customFormat="1" customHeight="1" s="511">
      <c r="A3534" s="277" t="n"/>
      <c r="B3534" s="285" t="n"/>
      <c r="C3534" s="579" t="n"/>
      <c r="D3534" s="580" t="n"/>
      <c r="E3534" s="581" t="n"/>
      <c r="F3534" s="577" t="n"/>
      <c r="G3534" s="582" t="n"/>
      <c r="H3534" s="583" t="n"/>
      <c r="I3534" s="510" t="n"/>
    </row>
    <row r="3535" ht="19.95" customFormat="1" customHeight="1" s="511">
      <c r="A3535" s="277" t="n"/>
      <c r="B3535" s="285" t="n"/>
      <c r="C3535" s="579" t="n"/>
      <c r="D3535" s="580" t="n"/>
      <c r="E3535" s="581" t="n"/>
      <c r="F3535" s="577" t="n"/>
      <c r="G3535" s="582" t="n"/>
      <c r="H3535" s="583" t="n"/>
      <c r="I3535" s="510" t="n"/>
    </row>
    <row r="3536" ht="19.95" customFormat="1" customHeight="1" s="511">
      <c r="A3536" s="277" t="n"/>
      <c r="B3536" s="285" t="n"/>
      <c r="C3536" s="579" t="n"/>
      <c r="D3536" s="580" t="n"/>
      <c r="E3536" s="581" t="n"/>
      <c r="F3536" s="577" t="n"/>
      <c r="G3536" s="582" t="n"/>
      <c r="H3536" s="583" t="n"/>
      <c r="I3536" s="510" t="n"/>
    </row>
    <row r="3537" ht="19.95" customFormat="1" customHeight="1" s="511">
      <c r="A3537" s="277" t="n"/>
      <c r="B3537" s="285" t="n"/>
      <c r="C3537" s="579" t="n"/>
      <c r="D3537" s="580" t="n"/>
      <c r="E3537" s="581" t="n"/>
      <c r="F3537" s="577" t="n"/>
      <c r="G3537" s="582" t="n"/>
      <c r="H3537" s="583" t="n"/>
      <c r="I3537" s="510" t="n"/>
    </row>
    <row r="3538" ht="19.95" customFormat="1" customHeight="1" s="511">
      <c r="A3538" s="277" t="n"/>
      <c r="B3538" s="285" t="n"/>
      <c r="C3538" s="579" t="n"/>
      <c r="D3538" s="580" t="n"/>
      <c r="E3538" s="581" t="n"/>
      <c r="F3538" s="577" t="n"/>
      <c r="G3538" s="582" t="n"/>
      <c r="H3538" s="583" t="n"/>
      <c r="I3538" s="510" t="n"/>
    </row>
    <row r="3539" ht="19.95" customFormat="1" customHeight="1" s="511">
      <c r="A3539" s="277" t="n"/>
      <c r="B3539" s="285" t="n"/>
      <c r="C3539" s="579" t="n"/>
      <c r="D3539" s="580" t="n"/>
      <c r="E3539" s="581" t="n"/>
      <c r="F3539" s="577" t="n"/>
      <c r="G3539" s="582" t="n"/>
      <c r="H3539" s="583" t="n"/>
      <c r="I3539" s="510" t="n"/>
    </row>
    <row r="3540" ht="19.95" customFormat="1" customHeight="1" s="511">
      <c r="A3540" s="277" t="n"/>
      <c r="B3540" s="285" t="n"/>
      <c r="C3540" s="579" t="n"/>
      <c r="D3540" s="580" t="n"/>
      <c r="E3540" s="581" t="n"/>
      <c r="F3540" s="577" t="n"/>
      <c r="G3540" s="582" t="n"/>
      <c r="H3540" s="583" t="n"/>
      <c r="I3540" s="510" t="n"/>
    </row>
    <row r="3541" ht="19.95" customFormat="1" customHeight="1" s="511">
      <c r="A3541" s="277" t="n"/>
      <c r="B3541" s="285" t="n"/>
      <c r="C3541" s="579" t="n"/>
      <c r="D3541" s="580" t="n"/>
      <c r="E3541" s="581" t="n"/>
      <c r="F3541" s="577" t="n"/>
      <c r="G3541" s="582" t="n"/>
      <c r="H3541" s="583" t="n"/>
      <c r="I3541" s="510" t="n"/>
    </row>
    <row r="3542" ht="19.95" customFormat="1" customHeight="1" s="511">
      <c r="A3542" s="277" t="n"/>
      <c r="B3542" s="285" t="n"/>
      <c r="C3542" s="579" t="n"/>
      <c r="D3542" s="580" t="n"/>
      <c r="E3542" s="581" t="n"/>
      <c r="F3542" s="577" t="n"/>
      <c r="G3542" s="582" t="n"/>
      <c r="H3542" s="583" t="n"/>
      <c r="I3542" s="510" t="n"/>
    </row>
    <row r="3543" ht="19.95" customFormat="1" customHeight="1" s="511">
      <c r="A3543" s="277" t="n"/>
      <c r="B3543" s="285" t="n"/>
      <c r="C3543" s="579" t="n"/>
      <c r="D3543" s="580" t="n"/>
      <c r="E3543" s="581" t="n"/>
      <c r="F3543" s="577" t="n"/>
      <c r="G3543" s="582" t="n"/>
      <c r="H3543" s="583" t="n"/>
      <c r="I3543" s="510" t="n"/>
    </row>
    <row r="3544" ht="19.95" customFormat="1" customHeight="1" s="511">
      <c r="A3544" s="277" t="n"/>
      <c r="B3544" s="285" t="n"/>
      <c r="C3544" s="579" t="n"/>
      <c r="D3544" s="580" t="n"/>
      <c r="E3544" s="581" t="n"/>
      <c r="F3544" s="577" t="n"/>
      <c r="G3544" s="582" t="n"/>
      <c r="H3544" s="583" t="n"/>
      <c r="I3544" s="510" t="n"/>
    </row>
    <row r="3545" ht="19.95" customFormat="1" customHeight="1" s="511">
      <c r="A3545" s="277" t="n"/>
      <c r="B3545" s="285" t="n"/>
      <c r="C3545" s="579" t="n"/>
      <c r="D3545" s="580" t="n"/>
      <c r="E3545" s="581" t="n"/>
      <c r="F3545" s="577" t="n"/>
      <c r="G3545" s="582" t="n"/>
      <c r="H3545" s="583" t="n"/>
      <c r="I3545" s="510" t="n"/>
    </row>
    <row r="3546" ht="19.95" customFormat="1" customHeight="1" s="511">
      <c r="A3546" s="277" t="n"/>
      <c r="B3546" s="285" t="n"/>
      <c r="C3546" s="579" t="n"/>
      <c r="D3546" s="580" t="n"/>
      <c r="E3546" s="581" t="n"/>
      <c r="F3546" s="577" t="n"/>
      <c r="G3546" s="582" t="n"/>
      <c r="H3546" s="583" t="n"/>
      <c r="I3546" s="510" t="n"/>
    </row>
    <row r="3547" ht="19.95" customFormat="1" customHeight="1" s="511">
      <c r="A3547" s="277" t="n"/>
      <c r="B3547" s="285" t="n"/>
      <c r="C3547" s="579" t="n"/>
      <c r="D3547" s="580" t="n"/>
      <c r="E3547" s="581" t="n"/>
      <c r="F3547" s="577" t="n"/>
      <c r="G3547" s="582" t="n"/>
      <c r="H3547" s="583" t="n"/>
      <c r="I3547" s="510" t="n"/>
    </row>
    <row r="3548" ht="19.95" customFormat="1" customHeight="1" s="511">
      <c r="A3548" s="277" t="n"/>
      <c r="B3548" s="285" t="n"/>
      <c r="C3548" s="579" t="n"/>
      <c r="D3548" s="580" t="n"/>
      <c r="E3548" s="581" t="n"/>
      <c r="F3548" s="577" t="n"/>
      <c r="G3548" s="582" t="n"/>
      <c r="H3548" s="583" t="n"/>
      <c r="I3548" s="510" t="n"/>
    </row>
    <row r="3549" ht="19.95" customFormat="1" customHeight="1" s="511">
      <c r="A3549" s="277" t="n"/>
      <c r="B3549" s="285" t="n"/>
      <c r="C3549" s="579" t="n"/>
      <c r="D3549" s="580" t="n"/>
      <c r="E3549" s="581" t="n"/>
      <c r="F3549" s="577" t="n"/>
      <c r="G3549" s="582" t="n"/>
      <c r="H3549" s="583" t="n"/>
      <c r="I3549" s="510" t="n"/>
    </row>
    <row r="3550" ht="19.95" customFormat="1" customHeight="1" s="511">
      <c r="A3550" s="277" t="n"/>
      <c r="B3550" s="285" t="n"/>
      <c r="C3550" s="579" t="n"/>
      <c r="D3550" s="580" t="n"/>
      <c r="E3550" s="581" t="n"/>
      <c r="F3550" s="577" t="n"/>
      <c r="G3550" s="582" t="n"/>
      <c r="H3550" s="583" t="n"/>
      <c r="I3550" s="510" t="n"/>
    </row>
    <row r="3551" ht="19.95" customFormat="1" customHeight="1" s="511">
      <c r="A3551" s="277" t="n"/>
      <c r="B3551" s="285" t="n"/>
      <c r="C3551" s="579" t="n"/>
      <c r="D3551" s="580" t="n"/>
      <c r="E3551" s="581" t="n"/>
      <c r="F3551" s="577" t="n"/>
      <c r="G3551" s="582" t="n"/>
      <c r="H3551" s="583" t="n"/>
      <c r="I3551" s="510" t="n"/>
    </row>
    <row r="3552" ht="19.95" customFormat="1" customHeight="1" s="511">
      <c r="A3552" s="277" t="n"/>
      <c r="B3552" s="285" t="n"/>
      <c r="C3552" s="579" t="n"/>
      <c r="D3552" s="580" t="n"/>
      <c r="E3552" s="581" t="n"/>
      <c r="F3552" s="577" t="n"/>
      <c r="G3552" s="582" t="n"/>
      <c r="H3552" s="583" t="n"/>
      <c r="I3552" s="510" t="n"/>
    </row>
    <row r="3553" ht="19.95" customFormat="1" customHeight="1" s="511">
      <c r="A3553" s="277" t="n"/>
      <c r="B3553" s="285" t="n"/>
      <c r="C3553" s="579" t="n"/>
      <c r="D3553" s="580" t="n"/>
      <c r="E3553" s="581" t="n"/>
      <c r="F3553" s="577" t="n"/>
      <c r="G3553" s="582" t="n"/>
      <c r="H3553" s="583" t="n"/>
      <c r="I3553" s="510" t="n"/>
    </row>
    <row r="3554" ht="19.95" customFormat="1" customHeight="1" s="511">
      <c r="A3554" s="277" t="n"/>
      <c r="B3554" s="285" t="n"/>
      <c r="C3554" s="579" t="n"/>
      <c r="D3554" s="580" t="n"/>
      <c r="E3554" s="581" t="n"/>
      <c r="F3554" s="577" t="n"/>
      <c r="G3554" s="582" t="n"/>
      <c r="H3554" s="583" t="n"/>
      <c r="I3554" s="510" t="n"/>
    </row>
    <row r="3555" ht="19.95" customFormat="1" customHeight="1" s="511">
      <c r="A3555" s="277" t="n"/>
      <c r="B3555" s="285" t="n"/>
      <c r="C3555" s="579" t="n"/>
      <c r="D3555" s="580" t="n"/>
      <c r="E3555" s="581" t="n"/>
      <c r="F3555" s="577" t="n"/>
      <c r="G3555" s="582" t="n"/>
      <c r="H3555" s="583" t="n"/>
      <c r="I3555" s="510" t="n"/>
    </row>
    <row r="3556" ht="19.95" customFormat="1" customHeight="1" s="511">
      <c r="A3556" s="277" t="n"/>
      <c r="B3556" s="285" t="n"/>
      <c r="C3556" s="579" t="n"/>
      <c r="D3556" s="580" t="n"/>
      <c r="E3556" s="581" t="n"/>
      <c r="F3556" s="577" t="n"/>
      <c r="G3556" s="582" t="n"/>
      <c r="H3556" s="583" t="n"/>
      <c r="I3556" s="510" t="n"/>
    </row>
    <row r="3557" ht="19.95" customFormat="1" customHeight="1" s="511">
      <c r="A3557" s="277" t="n"/>
      <c r="B3557" s="285" t="n"/>
      <c r="C3557" s="579" t="n"/>
      <c r="D3557" s="580" t="n"/>
      <c r="E3557" s="581" t="n"/>
      <c r="F3557" s="577" t="n"/>
      <c r="G3557" s="582" t="n"/>
      <c r="H3557" s="583" t="n"/>
      <c r="I3557" s="510" t="n"/>
    </row>
    <row r="3558" ht="19.95" customFormat="1" customHeight="1" s="511">
      <c r="A3558" s="277" t="n"/>
      <c r="B3558" s="285" t="n"/>
      <c r="C3558" s="579" t="n"/>
      <c r="D3558" s="580" t="n"/>
      <c r="E3558" s="581" t="n"/>
      <c r="F3558" s="577" t="n"/>
      <c r="G3558" s="582" t="n"/>
      <c r="H3558" s="583" t="n"/>
      <c r="I3558" s="510" t="n"/>
    </row>
    <row r="3559" ht="19.95" customFormat="1" customHeight="1" s="511">
      <c r="A3559" s="277" t="n"/>
      <c r="B3559" s="285" t="n"/>
      <c r="C3559" s="579" t="n"/>
      <c r="D3559" s="580" t="n"/>
      <c r="E3559" s="581" t="n"/>
      <c r="F3559" s="577" t="n"/>
      <c r="G3559" s="582" t="n"/>
      <c r="H3559" s="583" t="n"/>
      <c r="I3559" s="510" t="n"/>
    </row>
    <row r="3560" ht="19.95" customFormat="1" customHeight="1" s="511">
      <c r="A3560" s="277" t="n"/>
      <c r="B3560" s="285" t="n"/>
      <c r="C3560" s="579" t="n"/>
      <c r="D3560" s="580" t="n"/>
      <c r="E3560" s="581" t="n"/>
      <c r="F3560" s="577" t="n"/>
      <c r="G3560" s="582" t="n"/>
      <c r="H3560" s="583" t="n"/>
      <c r="I3560" s="510" t="n"/>
    </row>
    <row r="3561" ht="19.95" customFormat="1" customHeight="1" s="511">
      <c r="A3561" s="277" t="n"/>
      <c r="B3561" s="285" t="n"/>
      <c r="C3561" s="579" t="n"/>
      <c r="D3561" s="580" t="n"/>
      <c r="E3561" s="581" t="n"/>
      <c r="F3561" s="577" t="n"/>
      <c r="G3561" s="582" t="n"/>
      <c r="H3561" s="583" t="n"/>
      <c r="I3561" s="510" t="n"/>
    </row>
    <row r="3562" ht="19.95" customFormat="1" customHeight="1" s="511">
      <c r="A3562" s="277" t="n"/>
      <c r="B3562" s="285" t="n"/>
      <c r="C3562" s="579" t="n"/>
      <c r="D3562" s="580" t="n"/>
      <c r="E3562" s="581" t="n"/>
      <c r="F3562" s="577" t="n"/>
      <c r="G3562" s="582" t="n"/>
      <c r="H3562" s="583" t="n"/>
      <c r="I3562" s="510" t="n"/>
    </row>
    <row r="3563" ht="19.95" customFormat="1" customHeight="1" s="511">
      <c r="A3563" s="277" t="n"/>
      <c r="B3563" s="285" t="n"/>
      <c r="C3563" s="579" t="n"/>
      <c r="D3563" s="580" t="n"/>
      <c r="E3563" s="581" t="n"/>
      <c r="F3563" s="577" t="n"/>
      <c r="G3563" s="582" t="n"/>
      <c r="H3563" s="583" t="n"/>
      <c r="I3563" s="510" t="n"/>
    </row>
    <row r="3564" ht="19.95" customFormat="1" customHeight="1" s="511">
      <c r="A3564" s="277" t="n"/>
      <c r="B3564" s="285" t="n"/>
      <c r="C3564" s="579" t="n"/>
      <c r="D3564" s="580" t="n"/>
      <c r="E3564" s="581" t="n"/>
      <c r="F3564" s="577" t="n"/>
      <c r="G3564" s="582" t="n"/>
      <c r="H3564" s="583" t="n"/>
      <c r="I3564" s="510" t="n"/>
    </row>
    <row r="3565" ht="19.95" customFormat="1" customHeight="1" s="511">
      <c r="A3565" s="277" t="n"/>
      <c r="B3565" s="285" t="n"/>
      <c r="C3565" s="579" t="n"/>
      <c r="D3565" s="580" t="n"/>
      <c r="E3565" s="581" t="n"/>
      <c r="F3565" s="577" t="n"/>
      <c r="G3565" s="582" t="n"/>
      <c r="H3565" s="583" t="n"/>
      <c r="I3565" s="510" t="n"/>
    </row>
    <row r="3566" ht="19.95" customFormat="1" customHeight="1" s="511">
      <c r="A3566" s="277" t="n"/>
      <c r="B3566" s="285" t="n"/>
      <c r="C3566" s="579" t="n"/>
      <c r="D3566" s="580" t="n"/>
      <c r="E3566" s="581" t="n"/>
      <c r="F3566" s="577" t="n"/>
      <c r="G3566" s="582" t="n"/>
      <c r="H3566" s="583" t="n"/>
      <c r="I3566" s="510" t="n"/>
    </row>
    <row r="3567" ht="19.95" customFormat="1" customHeight="1" s="511">
      <c r="A3567" s="277" t="n"/>
      <c r="B3567" s="285" t="n"/>
      <c r="C3567" s="579" t="n"/>
      <c r="D3567" s="580" t="n"/>
      <c r="E3567" s="581" t="n"/>
      <c r="F3567" s="577" t="n"/>
      <c r="G3567" s="582" t="n"/>
      <c r="H3567" s="583" t="n"/>
      <c r="I3567" s="510" t="n"/>
    </row>
    <row r="3568" ht="19.95" customFormat="1" customHeight="1" s="511">
      <c r="A3568" s="277" t="n"/>
      <c r="B3568" s="285" t="n"/>
      <c r="C3568" s="579" t="n"/>
      <c r="D3568" s="580" t="n"/>
      <c r="E3568" s="581" t="n"/>
      <c r="F3568" s="577" t="n"/>
      <c r="G3568" s="582" t="n"/>
      <c r="H3568" s="583" t="n"/>
      <c r="I3568" s="510" t="n"/>
    </row>
    <row r="3569" ht="19.95" customFormat="1" customHeight="1" s="511">
      <c r="A3569" s="277" t="n"/>
      <c r="B3569" s="285" t="n"/>
      <c r="C3569" s="579" t="n"/>
      <c r="D3569" s="580" t="n"/>
      <c r="E3569" s="581" t="n"/>
      <c r="F3569" s="577" t="n"/>
      <c r="G3569" s="582" t="n"/>
      <c r="H3569" s="583" t="n"/>
      <c r="I3569" s="510" t="n"/>
    </row>
    <row r="3570" ht="19.95" customFormat="1" customHeight="1" s="511">
      <c r="A3570" s="277" t="n"/>
      <c r="B3570" s="285" t="n"/>
      <c r="C3570" s="579" t="n"/>
      <c r="D3570" s="580" t="n"/>
      <c r="E3570" s="581" t="n"/>
      <c r="F3570" s="577" t="n"/>
      <c r="G3570" s="582" t="n"/>
      <c r="H3570" s="583" t="n"/>
      <c r="I3570" s="510" t="n"/>
    </row>
    <row r="3571" ht="19.95" customFormat="1" customHeight="1" s="511">
      <c r="A3571" s="277" t="n"/>
      <c r="B3571" s="285" t="n"/>
      <c r="C3571" s="579" t="n"/>
      <c r="D3571" s="580" t="n"/>
      <c r="E3571" s="581" t="n"/>
      <c r="F3571" s="577" t="n"/>
      <c r="G3571" s="582" t="n"/>
      <c r="H3571" s="583" t="n"/>
      <c r="I3571" s="510" t="n"/>
    </row>
    <row r="3572" ht="19.95" customFormat="1" customHeight="1" s="511">
      <c r="A3572" s="277" t="n"/>
      <c r="B3572" s="285" t="n"/>
      <c r="C3572" s="579" t="n"/>
      <c r="D3572" s="580" t="n"/>
      <c r="E3572" s="581" t="n"/>
      <c r="F3572" s="577" t="n"/>
      <c r="G3572" s="582" t="n"/>
      <c r="H3572" s="583" t="n"/>
      <c r="I3572" s="510" t="n"/>
    </row>
    <row r="3573" ht="19.95" customFormat="1" customHeight="1" s="511">
      <c r="A3573" s="277" t="n"/>
      <c r="B3573" s="285" t="n"/>
      <c r="C3573" s="579" t="n"/>
      <c r="D3573" s="580" t="n"/>
      <c r="E3573" s="581" t="n"/>
      <c r="F3573" s="577" t="n"/>
      <c r="G3573" s="582" t="n"/>
      <c r="H3573" s="583" t="n"/>
      <c r="I3573" s="510" t="n"/>
    </row>
    <row r="3574" ht="19.95" customFormat="1" customHeight="1" s="511">
      <c r="A3574" s="277" t="n"/>
      <c r="B3574" s="285" t="n"/>
      <c r="C3574" s="579" t="n"/>
      <c r="D3574" s="580" t="n"/>
      <c r="E3574" s="581" t="n"/>
      <c r="F3574" s="577" t="n"/>
      <c r="G3574" s="582" t="n"/>
      <c r="H3574" s="583" t="n"/>
      <c r="I3574" s="510" t="n"/>
    </row>
    <row r="3575" ht="19.95" customFormat="1" customHeight="1" s="511">
      <c r="A3575" s="277" t="n"/>
      <c r="B3575" s="285" t="n"/>
      <c r="C3575" s="579" t="n"/>
      <c r="D3575" s="580" t="n"/>
      <c r="E3575" s="581" t="n"/>
      <c r="F3575" s="577" t="n"/>
      <c r="G3575" s="582" t="n"/>
      <c r="H3575" s="583" t="n"/>
      <c r="I3575" s="510" t="n"/>
    </row>
    <row r="3576" ht="19.95" customFormat="1" customHeight="1" s="511">
      <c r="A3576" s="277" t="n"/>
      <c r="B3576" s="285" t="n"/>
      <c r="C3576" s="579" t="n"/>
      <c r="D3576" s="580" t="n"/>
      <c r="E3576" s="581" t="n"/>
      <c r="F3576" s="577" t="n"/>
      <c r="G3576" s="582" t="n"/>
      <c r="H3576" s="583" t="n"/>
      <c r="I3576" s="510" t="n"/>
    </row>
    <row r="3577" ht="19.95" customFormat="1" customHeight="1" s="511">
      <c r="A3577" s="277" t="n"/>
      <c r="B3577" s="285" t="n"/>
      <c r="C3577" s="579" t="n"/>
      <c r="D3577" s="580" t="n"/>
      <c r="E3577" s="581" t="n"/>
      <c r="F3577" s="577" t="n"/>
      <c r="G3577" s="582" t="n"/>
      <c r="H3577" s="583" t="n"/>
      <c r="I3577" s="510" t="n"/>
    </row>
    <row r="3578" ht="19.95" customFormat="1" customHeight="1" s="511">
      <c r="A3578" s="277" t="n"/>
      <c r="B3578" s="285" t="n"/>
      <c r="C3578" s="579" t="n"/>
      <c r="D3578" s="580" t="n"/>
      <c r="E3578" s="581" t="n"/>
      <c r="F3578" s="577" t="n"/>
      <c r="G3578" s="582" t="n"/>
      <c r="H3578" s="583" t="n"/>
      <c r="I3578" s="510" t="n"/>
    </row>
    <row r="3579" ht="19.95" customFormat="1" customHeight="1" s="511">
      <c r="A3579" s="277" t="n"/>
      <c r="B3579" s="285" t="n"/>
      <c r="C3579" s="579" t="n"/>
      <c r="D3579" s="580" t="n"/>
      <c r="E3579" s="581" t="n"/>
      <c r="F3579" s="577" t="n"/>
      <c r="G3579" s="582" t="n"/>
      <c r="H3579" s="583" t="n"/>
      <c r="I3579" s="510" t="n"/>
    </row>
    <row r="3580" ht="19.95" customFormat="1" customHeight="1" s="511">
      <c r="A3580" s="277" t="n"/>
      <c r="B3580" s="285" t="n"/>
      <c r="C3580" s="579" t="n"/>
      <c r="D3580" s="580" t="n"/>
      <c r="E3580" s="581" t="n"/>
      <c r="F3580" s="577" t="n"/>
      <c r="G3580" s="582" t="n"/>
      <c r="H3580" s="583" t="n"/>
      <c r="I3580" s="510" t="n"/>
    </row>
    <row r="3581" ht="19.95" customFormat="1" customHeight="1" s="511">
      <c r="A3581" s="277" t="n"/>
      <c r="B3581" s="285" t="n"/>
      <c r="C3581" s="579" t="n"/>
      <c r="D3581" s="580" t="n"/>
      <c r="E3581" s="581" t="n"/>
      <c r="F3581" s="577" t="n"/>
      <c r="G3581" s="582" t="n"/>
      <c r="H3581" s="583" t="n"/>
      <c r="I3581" s="510" t="n"/>
    </row>
    <row r="3582" ht="19.95" customFormat="1" customHeight="1" s="511">
      <c r="A3582" s="277" t="n"/>
      <c r="B3582" s="285" t="n"/>
      <c r="C3582" s="579" t="n"/>
      <c r="D3582" s="580" t="n"/>
      <c r="E3582" s="581" t="n"/>
      <c r="F3582" s="577" t="n"/>
      <c r="G3582" s="582" t="n"/>
      <c r="H3582" s="583" t="n"/>
      <c r="I3582" s="510" t="n"/>
    </row>
    <row r="3583" ht="19.95" customFormat="1" customHeight="1" s="511">
      <c r="A3583" s="277" t="n"/>
      <c r="B3583" s="285" t="n"/>
      <c r="C3583" s="579" t="n"/>
      <c r="D3583" s="580" t="n"/>
      <c r="E3583" s="581" t="n"/>
      <c r="F3583" s="577" t="n"/>
      <c r="G3583" s="582" t="n"/>
      <c r="H3583" s="583" t="n"/>
      <c r="I3583" s="510" t="n"/>
    </row>
    <row r="3584" ht="19.95" customFormat="1" customHeight="1" s="511">
      <c r="A3584" s="277" t="n"/>
      <c r="B3584" s="285" t="n"/>
      <c r="C3584" s="579" t="n"/>
      <c r="D3584" s="580" t="n"/>
      <c r="E3584" s="581" t="n"/>
      <c r="F3584" s="577" t="n"/>
      <c r="G3584" s="582" t="n"/>
      <c r="H3584" s="583" t="n"/>
      <c r="I3584" s="510" t="n"/>
    </row>
    <row r="3585" ht="19.95" customFormat="1" customHeight="1" s="511">
      <c r="A3585" s="277" t="n"/>
      <c r="B3585" s="285" t="n"/>
      <c r="C3585" s="579" t="n"/>
      <c r="D3585" s="580" t="n"/>
      <c r="E3585" s="581" t="n"/>
      <c r="F3585" s="577" t="n"/>
      <c r="G3585" s="582" t="n"/>
      <c r="H3585" s="583" t="n"/>
      <c r="I3585" s="510" t="n"/>
    </row>
    <row r="3586" ht="19.95" customFormat="1" customHeight="1" s="511">
      <c r="A3586" s="277" t="n"/>
      <c r="B3586" s="285" t="n"/>
      <c r="C3586" s="579" t="n"/>
      <c r="D3586" s="580" t="n"/>
      <c r="E3586" s="581" t="n"/>
      <c r="F3586" s="577" t="n"/>
      <c r="G3586" s="582" t="n"/>
      <c r="H3586" s="583" t="n"/>
      <c r="I3586" s="510" t="n"/>
    </row>
    <row r="3587" ht="19.95" customFormat="1" customHeight="1" s="511">
      <c r="A3587" s="277" t="n"/>
      <c r="B3587" s="285" t="n"/>
      <c r="C3587" s="579" t="n"/>
      <c r="D3587" s="580" t="n"/>
      <c r="E3587" s="581" t="n"/>
      <c r="F3587" s="577" t="n"/>
      <c r="G3587" s="582" t="n"/>
      <c r="H3587" s="583" t="n"/>
      <c r="I3587" s="510" t="n"/>
    </row>
    <row r="3588" ht="19.95" customFormat="1" customHeight="1" s="511">
      <c r="A3588" s="277" t="n"/>
      <c r="B3588" s="285" t="n"/>
      <c r="C3588" s="579" t="n"/>
      <c r="D3588" s="580" t="n"/>
      <c r="E3588" s="581" t="n"/>
      <c r="F3588" s="577" t="n"/>
      <c r="G3588" s="582" t="n"/>
      <c r="H3588" s="583" t="n"/>
      <c r="I3588" s="510" t="n"/>
    </row>
    <row r="3589" ht="19.95" customFormat="1" customHeight="1" s="511">
      <c r="A3589" s="277" t="n"/>
      <c r="B3589" s="285" t="n"/>
      <c r="C3589" s="579" t="n"/>
      <c r="D3589" s="580" t="n"/>
      <c r="E3589" s="581" t="n"/>
      <c r="F3589" s="577" t="n"/>
      <c r="G3589" s="582" t="n"/>
      <c r="H3589" s="583" t="n"/>
      <c r="I3589" s="510" t="n"/>
    </row>
    <row r="3590" ht="19.95" customFormat="1" customHeight="1" s="511">
      <c r="A3590" s="277" t="n"/>
      <c r="B3590" s="285" t="n"/>
      <c r="C3590" s="579" t="n"/>
      <c r="D3590" s="580" t="n"/>
      <c r="E3590" s="581" t="n"/>
      <c r="F3590" s="577" t="n"/>
      <c r="G3590" s="582" t="n"/>
      <c r="H3590" s="583" t="n"/>
      <c r="I3590" s="510" t="n"/>
    </row>
    <row r="3591" ht="19.95" customFormat="1" customHeight="1" s="511">
      <c r="A3591" s="277" t="n"/>
      <c r="B3591" s="285" t="n"/>
      <c r="C3591" s="579" t="n"/>
      <c r="D3591" s="580" t="n"/>
      <c r="E3591" s="581" t="n"/>
      <c r="F3591" s="577" t="n"/>
      <c r="G3591" s="582" t="n"/>
      <c r="H3591" s="583" t="n"/>
      <c r="I3591" s="510" t="n"/>
    </row>
    <row r="3592" ht="19.95" customFormat="1" customHeight="1" s="511">
      <c r="A3592" s="277" t="n"/>
      <c r="B3592" s="285" t="n"/>
      <c r="C3592" s="579" t="n"/>
      <c r="D3592" s="580" t="n"/>
      <c r="E3592" s="581" t="n"/>
      <c r="F3592" s="577" t="n"/>
      <c r="G3592" s="582" t="n"/>
      <c r="H3592" s="583" t="n"/>
      <c r="I3592" s="510" t="n"/>
    </row>
    <row r="3593" ht="19.95" customFormat="1" customHeight="1" s="511">
      <c r="A3593" s="277" t="n"/>
      <c r="B3593" s="285" t="n"/>
      <c r="C3593" s="579" t="n"/>
      <c r="D3593" s="580" t="n"/>
      <c r="E3593" s="581" t="n"/>
      <c r="F3593" s="577" t="n"/>
      <c r="G3593" s="582" t="n"/>
      <c r="H3593" s="583" t="n"/>
      <c r="I3593" s="510" t="n"/>
    </row>
    <row r="3594" ht="19.95" customFormat="1" customHeight="1" s="511">
      <c r="A3594" s="277" t="n"/>
      <c r="B3594" s="285" t="n"/>
      <c r="C3594" s="579" t="n"/>
      <c r="D3594" s="580" t="n"/>
      <c r="E3594" s="581" t="n"/>
      <c r="F3594" s="577" t="n"/>
      <c r="G3594" s="582" t="n"/>
      <c r="H3594" s="583" t="n"/>
      <c r="I3594" s="510" t="n"/>
    </row>
    <row r="3595" ht="19.95" customFormat="1" customHeight="1" s="511">
      <c r="A3595" s="277" t="n"/>
      <c r="B3595" s="285" t="n"/>
      <c r="C3595" s="579" t="n"/>
      <c r="D3595" s="580" t="n"/>
      <c r="E3595" s="581" t="n"/>
      <c r="F3595" s="577" t="n"/>
      <c r="G3595" s="582" t="n"/>
      <c r="H3595" s="583" t="n"/>
      <c r="I3595" s="510" t="n"/>
    </row>
    <row r="3596" ht="19.95" customFormat="1" customHeight="1" s="511">
      <c r="A3596" s="277" t="n"/>
      <c r="B3596" s="285" t="n"/>
      <c r="C3596" s="579" t="n"/>
      <c r="D3596" s="580" t="n"/>
      <c r="E3596" s="581" t="n"/>
      <c r="F3596" s="577" t="n"/>
      <c r="G3596" s="582" t="n"/>
      <c r="H3596" s="583" t="n"/>
      <c r="I3596" s="510" t="n"/>
    </row>
    <row r="3597" ht="19.95" customFormat="1" customHeight="1" s="511">
      <c r="A3597" s="277" t="n"/>
      <c r="B3597" s="285" t="n"/>
      <c r="C3597" s="579" t="n"/>
      <c r="D3597" s="580" t="n"/>
      <c r="E3597" s="581" t="n"/>
      <c r="F3597" s="577" t="n"/>
      <c r="G3597" s="582" t="n"/>
      <c r="H3597" s="583" t="n"/>
      <c r="I3597" s="510" t="n"/>
    </row>
    <row r="3598" ht="19.95" customFormat="1" customHeight="1" s="511">
      <c r="A3598" s="277" t="n"/>
      <c r="B3598" s="285" t="n"/>
      <c r="C3598" s="579" t="n"/>
      <c r="D3598" s="580" t="n"/>
      <c r="E3598" s="581" t="n"/>
      <c r="F3598" s="577" t="n"/>
      <c r="G3598" s="582" t="n"/>
      <c r="H3598" s="583" t="n"/>
      <c r="I3598" s="510" t="n"/>
    </row>
    <row r="3599" ht="19.95" customFormat="1" customHeight="1" s="511">
      <c r="A3599" s="277" t="n"/>
      <c r="B3599" s="285" t="n"/>
      <c r="C3599" s="579" t="n"/>
      <c r="D3599" s="580" t="n"/>
      <c r="E3599" s="581" t="n"/>
      <c r="F3599" s="577" t="n"/>
      <c r="G3599" s="582" t="n"/>
      <c r="H3599" s="583" t="n"/>
      <c r="I3599" s="510" t="n"/>
    </row>
    <row r="3600" ht="19.95" customFormat="1" customHeight="1" s="511">
      <c r="A3600" s="277" t="n"/>
      <c r="B3600" s="285" t="n"/>
      <c r="C3600" s="579" t="n"/>
      <c r="D3600" s="580" t="n"/>
      <c r="E3600" s="581" t="n"/>
      <c r="F3600" s="577" t="n"/>
      <c r="G3600" s="582" t="n"/>
      <c r="H3600" s="583" t="n"/>
      <c r="I3600" s="510" t="n"/>
    </row>
    <row r="3601" ht="19.95" customFormat="1" customHeight="1" s="511">
      <c r="A3601" s="277" t="n"/>
      <c r="B3601" s="285" t="n"/>
      <c r="C3601" s="579" t="n"/>
      <c r="D3601" s="580" t="n"/>
      <c r="E3601" s="581" t="n"/>
      <c r="F3601" s="577" t="n"/>
      <c r="G3601" s="582" t="n"/>
      <c r="H3601" s="583" t="n"/>
      <c r="I3601" s="510" t="n"/>
    </row>
    <row r="3602" ht="19.95" customFormat="1" customHeight="1" s="511">
      <c r="A3602" s="277" t="n"/>
      <c r="B3602" s="285" t="n"/>
      <c r="C3602" s="579" t="n"/>
      <c r="D3602" s="580" t="n"/>
      <c r="E3602" s="581" t="n"/>
      <c r="F3602" s="577" t="n"/>
      <c r="G3602" s="582" t="n"/>
      <c r="H3602" s="583" t="n"/>
      <c r="I3602" s="510" t="n"/>
    </row>
    <row r="3603" ht="19.95" customFormat="1" customHeight="1" s="511">
      <c r="A3603" s="277" t="n"/>
      <c r="B3603" s="285" t="n"/>
      <c r="C3603" s="579" t="n"/>
      <c r="D3603" s="580" t="n"/>
      <c r="E3603" s="581" t="n"/>
      <c r="F3603" s="577" t="n"/>
      <c r="G3603" s="582" t="n"/>
      <c r="H3603" s="583" t="n"/>
      <c r="I3603" s="510" t="n"/>
    </row>
    <row r="3604" ht="19.95" customFormat="1" customHeight="1" s="511">
      <c r="A3604" s="277" t="n"/>
      <c r="B3604" s="285" t="n"/>
      <c r="C3604" s="579" t="n"/>
      <c r="D3604" s="580" t="n"/>
      <c r="E3604" s="581" t="n"/>
      <c r="F3604" s="577" t="n"/>
      <c r="G3604" s="582" t="n"/>
      <c r="H3604" s="583" t="n"/>
      <c r="I3604" s="510" t="n"/>
    </row>
    <row r="3605" ht="19.95" customFormat="1" customHeight="1" s="511">
      <c r="A3605" s="277" t="n"/>
      <c r="B3605" s="285" t="n"/>
      <c r="C3605" s="579" t="n"/>
      <c r="D3605" s="580" t="n"/>
      <c r="E3605" s="581" t="n"/>
      <c r="F3605" s="577" t="n"/>
      <c r="G3605" s="582" t="n"/>
      <c r="H3605" s="583" t="n"/>
      <c r="I3605" s="510" t="n"/>
    </row>
    <row r="3606" ht="19.95" customFormat="1" customHeight="1" s="511">
      <c r="A3606" s="277" t="n"/>
      <c r="B3606" s="285" t="n"/>
      <c r="C3606" s="579" t="n"/>
      <c r="D3606" s="580" t="n"/>
      <c r="E3606" s="581" t="n"/>
      <c r="F3606" s="577" t="n"/>
      <c r="G3606" s="582" t="n"/>
      <c r="H3606" s="583" t="n"/>
      <c r="I3606" s="510" t="n"/>
    </row>
    <row r="3607" ht="19.95" customFormat="1" customHeight="1" s="511">
      <c r="A3607" s="277" t="n"/>
      <c r="B3607" s="285" t="n"/>
      <c r="C3607" s="579" t="n"/>
      <c r="D3607" s="580" t="n"/>
      <c r="E3607" s="581" t="n"/>
      <c r="F3607" s="577" t="n"/>
      <c r="G3607" s="582" t="n"/>
      <c r="H3607" s="583" t="n"/>
      <c r="I3607" s="510" t="n"/>
    </row>
    <row r="3608" ht="19.95" customFormat="1" customHeight="1" s="511">
      <c r="A3608" s="277" t="n"/>
      <c r="B3608" s="285" t="n"/>
      <c r="C3608" s="579" t="n"/>
      <c r="D3608" s="580" t="n"/>
      <c r="E3608" s="581" t="n"/>
      <c r="F3608" s="577" t="n"/>
      <c r="G3608" s="582" t="n"/>
      <c r="H3608" s="583" t="n"/>
      <c r="I3608" s="510" t="n"/>
    </row>
    <row r="3609" ht="19.95" customFormat="1" customHeight="1" s="511">
      <c r="A3609" s="277" t="n"/>
      <c r="B3609" s="285" t="n"/>
      <c r="C3609" s="579" t="n"/>
      <c r="D3609" s="580" t="n"/>
      <c r="E3609" s="581" t="n"/>
      <c r="F3609" s="577" t="n"/>
      <c r="G3609" s="582" t="n"/>
      <c r="H3609" s="583" t="n"/>
      <c r="I3609" s="510" t="n"/>
    </row>
    <row r="3610" ht="19.95" customFormat="1" customHeight="1" s="511">
      <c r="A3610" s="277" t="n"/>
      <c r="B3610" s="285" t="n"/>
      <c r="C3610" s="579" t="n"/>
      <c r="D3610" s="580" t="n"/>
      <c r="E3610" s="581" t="n"/>
      <c r="F3610" s="577" t="n"/>
      <c r="G3610" s="582" t="n"/>
      <c r="H3610" s="583" t="n"/>
      <c r="I3610" s="510" t="n"/>
    </row>
    <row r="3611" ht="19.95" customFormat="1" customHeight="1" s="511">
      <c r="A3611" s="277" t="n"/>
      <c r="B3611" s="285" t="n"/>
      <c r="C3611" s="579" t="n"/>
      <c r="D3611" s="580" t="n"/>
      <c r="E3611" s="581" t="n"/>
      <c r="F3611" s="577" t="n"/>
      <c r="G3611" s="582" t="n"/>
      <c r="H3611" s="583" t="n"/>
      <c r="I3611" s="510" t="n"/>
    </row>
    <row r="3612" ht="19.95" customFormat="1" customHeight="1" s="511">
      <c r="A3612" s="277" t="n"/>
      <c r="B3612" s="285" t="n"/>
      <c r="C3612" s="579" t="n"/>
      <c r="D3612" s="580" t="n"/>
      <c r="E3612" s="581" t="n"/>
      <c r="F3612" s="577" t="n"/>
      <c r="G3612" s="582" t="n"/>
      <c r="H3612" s="583" t="n"/>
      <c r="I3612" s="510" t="n"/>
    </row>
    <row r="3613" ht="19.95" customFormat="1" customHeight="1" s="511">
      <c r="A3613" s="277" t="n"/>
      <c r="B3613" s="285" t="n"/>
      <c r="C3613" s="579" t="n"/>
      <c r="D3613" s="580" t="n"/>
      <c r="E3613" s="581" t="n"/>
      <c r="F3613" s="577" t="n"/>
      <c r="G3613" s="582" t="n"/>
      <c r="H3613" s="583" t="n"/>
      <c r="I3613" s="510" t="n"/>
    </row>
    <row r="3614" ht="19.95" customFormat="1" customHeight="1" s="511">
      <c r="A3614" s="277" t="n"/>
      <c r="B3614" s="285" t="n"/>
      <c r="C3614" s="579" t="n"/>
      <c r="D3614" s="580" t="n"/>
      <c r="E3614" s="581" t="n"/>
      <c r="F3614" s="577" t="n"/>
      <c r="G3614" s="582" t="n"/>
      <c r="H3614" s="583" t="n"/>
      <c r="I3614" s="510" t="n"/>
    </row>
    <row r="3615" ht="19.95" customFormat="1" customHeight="1" s="511">
      <c r="A3615" s="277" t="n"/>
      <c r="B3615" s="285" t="n"/>
      <c r="C3615" s="579" t="n"/>
      <c r="D3615" s="580" t="n"/>
      <c r="E3615" s="581" t="n"/>
      <c r="F3615" s="577" t="n"/>
      <c r="G3615" s="582" t="n"/>
      <c r="H3615" s="583" t="n"/>
      <c r="I3615" s="510" t="n"/>
    </row>
    <row r="3616" ht="19.95" customFormat="1" customHeight="1" s="511">
      <c r="A3616" s="277" t="n"/>
      <c r="B3616" s="285" t="n"/>
      <c r="C3616" s="579" t="n"/>
      <c r="D3616" s="580" t="n"/>
      <c r="E3616" s="581" t="n"/>
      <c r="F3616" s="577" t="n"/>
      <c r="G3616" s="582" t="n"/>
      <c r="H3616" s="583" t="n"/>
      <c r="I3616" s="510" t="n"/>
    </row>
    <row r="3617" ht="19.95" customFormat="1" customHeight="1" s="511">
      <c r="A3617" s="277" t="n"/>
      <c r="B3617" s="285" t="n"/>
      <c r="C3617" s="579" t="n"/>
      <c r="D3617" s="580" t="n"/>
      <c r="E3617" s="581" t="n"/>
      <c r="F3617" s="577" t="n"/>
      <c r="G3617" s="582" t="n"/>
      <c r="H3617" s="583" t="n"/>
      <c r="I3617" s="510" t="n"/>
    </row>
    <row r="3618" ht="19.95" customFormat="1" customHeight="1" s="511">
      <c r="A3618" s="277" t="n"/>
      <c r="B3618" s="285" t="n"/>
      <c r="C3618" s="579" t="n"/>
      <c r="D3618" s="580" t="n"/>
      <c r="E3618" s="581" t="n"/>
      <c r="F3618" s="577" t="n"/>
      <c r="G3618" s="582" t="n"/>
      <c r="H3618" s="583" t="n"/>
      <c r="I3618" s="510" t="n"/>
    </row>
    <row r="3619" ht="19.95" customFormat="1" customHeight="1" s="511">
      <c r="A3619" s="277" t="n"/>
      <c r="B3619" s="285" t="n"/>
      <c r="C3619" s="579" t="n"/>
      <c r="D3619" s="580" t="n"/>
      <c r="E3619" s="581" t="n"/>
      <c r="F3619" s="577" t="n"/>
      <c r="G3619" s="582" t="n"/>
      <c r="H3619" s="583" t="n"/>
      <c r="I3619" s="510" t="n"/>
    </row>
    <row r="3620" ht="19.95" customFormat="1" customHeight="1" s="511">
      <c r="A3620" s="277" t="n"/>
      <c r="B3620" s="285" t="n"/>
      <c r="C3620" s="579" t="n"/>
      <c r="D3620" s="580" t="n"/>
      <c r="E3620" s="581" t="n"/>
      <c r="F3620" s="577" t="n"/>
      <c r="G3620" s="582" t="n"/>
      <c r="H3620" s="583" t="n"/>
      <c r="I3620" s="510" t="n"/>
    </row>
    <row r="3621" ht="19.95" customFormat="1" customHeight="1" s="511">
      <c r="A3621" s="277" t="n"/>
      <c r="B3621" s="285" t="n"/>
      <c r="C3621" s="579" t="n"/>
      <c r="D3621" s="580" t="n"/>
      <c r="E3621" s="581" t="n"/>
      <c r="F3621" s="577" t="n"/>
      <c r="G3621" s="582" t="n"/>
      <c r="H3621" s="583" t="n"/>
      <c r="I3621" s="510" t="n"/>
    </row>
    <row r="3622" ht="19.95" customFormat="1" customHeight="1" s="511">
      <c r="A3622" s="277" t="n"/>
      <c r="B3622" s="285" t="n"/>
      <c r="C3622" s="579" t="n"/>
      <c r="D3622" s="580" t="n"/>
      <c r="E3622" s="581" t="n"/>
      <c r="F3622" s="577" t="n"/>
      <c r="G3622" s="582" t="n"/>
      <c r="H3622" s="583" t="n"/>
      <c r="I3622" s="510" t="n"/>
    </row>
    <row r="3623" ht="19.95" customFormat="1" customHeight="1" s="511">
      <c r="A3623" s="277" t="n"/>
      <c r="B3623" s="285" t="n"/>
      <c r="C3623" s="579" t="n"/>
      <c r="D3623" s="580" t="n"/>
      <c r="E3623" s="581" t="n"/>
      <c r="F3623" s="577" t="n"/>
      <c r="G3623" s="582" t="n"/>
      <c r="H3623" s="583" t="n"/>
      <c r="I3623" s="510" t="n"/>
    </row>
    <row r="3624" ht="19.95" customFormat="1" customHeight="1" s="511">
      <c r="A3624" s="277" t="n"/>
      <c r="B3624" s="285" t="n"/>
      <c r="C3624" s="579" t="n"/>
      <c r="D3624" s="580" t="n"/>
      <c r="E3624" s="581" t="n"/>
      <c r="F3624" s="577" t="n"/>
      <c r="G3624" s="582" t="n"/>
      <c r="H3624" s="583" t="n"/>
      <c r="I3624" s="510" t="n"/>
    </row>
    <row r="3625" ht="19.95" customFormat="1" customHeight="1" s="511">
      <c r="A3625" s="277" t="n"/>
      <c r="B3625" s="285" t="n"/>
      <c r="C3625" s="579" t="n"/>
      <c r="D3625" s="580" t="n"/>
      <c r="E3625" s="581" t="n"/>
      <c r="F3625" s="577" t="n"/>
      <c r="G3625" s="582" t="n"/>
      <c r="H3625" s="583" t="n"/>
      <c r="I3625" s="510" t="n"/>
    </row>
    <row r="3626" ht="19.95" customFormat="1" customHeight="1" s="511">
      <c r="A3626" s="277" t="n"/>
      <c r="B3626" s="285" t="n"/>
      <c r="C3626" s="579" t="n"/>
      <c r="D3626" s="580" t="n"/>
      <c r="E3626" s="581" t="n"/>
      <c r="F3626" s="577" t="n"/>
      <c r="G3626" s="582" t="n"/>
      <c r="H3626" s="583" t="n"/>
      <c r="I3626" s="510" t="n"/>
    </row>
    <row r="3627" ht="19.95" customFormat="1" customHeight="1" s="511">
      <c r="A3627" s="277" t="n"/>
      <c r="B3627" s="285" t="n"/>
      <c r="C3627" s="579" t="n"/>
      <c r="D3627" s="580" t="n"/>
      <c r="E3627" s="581" t="n"/>
      <c r="F3627" s="577" t="n"/>
      <c r="G3627" s="582" t="n"/>
      <c r="H3627" s="583" t="n"/>
      <c r="I3627" s="510" t="n"/>
    </row>
    <row r="3628" ht="19.95" customFormat="1" customHeight="1" s="511">
      <c r="A3628" s="277" t="n"/>
      <c r="B3628" s="285" t="n"/>
      <c r="C3628" s="579" t="n"/>
      <c r="D3628" s="580" t="n"/>
      <c r="E3628" s="581" t="n"/>
      <c r="F3628" s="577" t="n"/>
      <c r="G3628" s="582" t="n"/>
      <c r="H3628" s="583" t="n"/>
      <c r="I3628" s="510" t="n"/>
    </row>
    <row r="3629" ht="19.95" customFormat="1" customHeight="1" s="511">
      <c r="A3629" s="277" t="n"/>
      <c r="B3629" s="285" t="n"/>
      <c r="C3629" s="579" t="n"/>
      <c r="D3629" s="580" t="n"/>
      <c r="E3629" s="581" t="n"/>
      <c r="F3629" s="577" t="n"/>
      <c r="G3629" s="582" t="n"/>
      <c r="H3629" s="583" t="n"/>
      <c r="I3629" s="510" t="n"/>
    </row>
    <row r="3630" ht="19.95" customFormat="1" customHeight="1" s="511">
      <c r="A3630" s="277" t="n"/>
      <c r="B3630" s="285" t="n"/>
      <c r="C3630" s="579" t="n"/>
      <c r="D3630" s="580" t="n"/>
      <c r="E3630" s="581" t="n"/>
      <c r="F3630" s="577" t="n"/>
      <c r="G3630" s="582" t="n"/>
      <c r="H3630" s="583" t="n"/>
      <c r="I3630" s="510" t="n"/>
    </row>
    <row r="3631" ht="19.95" customFormat="1" customHeight="1" s="511">
      <c r="A3631" s="277" t="n"/>
      <c r="B3631" s="285" t="n"/>
      <c r="C3631" s="579" t="n"/>
      <c r="D3631" s="580" t="n"/>
      <c r="E3631" s="581" t="n"/>
      <c r="F3631" s="577" t="n"/>
      <c r="G3631" s="582" t="n"/>
      <c r="H3631" s="583" t="n"/>
      <c r="I3631" s="510" t="n"/>
    </row>
    <row r="3632" ht="19.95" customFormat="1" customHeight="1" s="511">
      <c r="A3632" s="277" t="n"/>
      <c r="B3632" s="285" t="n"/>
      <c r="C3632" s="579" t="n"/>
      <c r="D3632" s="580" t="n"/>
      <c r="E3632" s="581" t="n"/>
      <c r="F3632" s="577" t="n"/>
      <c r="G3632" s="582" t="n"/>
      <c r="H3632" s="583" t="n"/>
      <c r="I3632" s="510" t="n"/>
    </row>
    <row r="3633" ht="19.95" customFormat="1" customHeight="1" s="511">
      <c r="A3633" s="277" t="n"/>
      <c r="B3633" s="285" t="n"/>
      <c r="C3633" s="579" t="n"/>
      <c r="D3633" s="580" t="n"/>
      <c r="E3633" s="581" t="n"/>
      <c r="F3633" s="577" t="n"/>
      <c r="G3633" s="582" t="n"/>
      <c r="H3633" s="583" t="n"/>
      <c r="I3633" s="510" t="n"/>
    </row>
    <row r="3634" ht="19.95" customFormat="1" customHeight="1" s="511">
      <c r="A3634" s="277" t="n"/>
      <c r="B3634" s="285" t="n"/>
      <c r="C3634" s="579" t="n"/>
      <c r="D3634" s="580" t="n"/>
      <c r="E3634" s="581" t="n"/>
      <c r="F3634" s="577" t="n"/>
      <c r="G3634" s="582" t="n"/>
      <c r="H3634" s="583" t="n"/>
      <c r="I3634" s="510" t="n"/>
    </row>
    <row r="3635" ht="19.95" customFormat="1" customHeight="1" s="511">
      <c r="A3635" s="277" t="n"/>
      <c r="B3635" s="285" t="n"/>
      <c r="C3635" s="579" t="n"/>
      <c r="D3635" s="580" t="n"/>
      <c r="E3635" s="581" t="n"/>
      <c r="F3635" s="577" t="n"/>
      <c r="G3635" s="582" t="n"/>
      <c r="H3635" s="583" t="n"/>
      <c r="I3635" s="510" t="n"/>
    </row>
    <row r="3636" ht="19.95" customFormat="1" customHeight="1" s="511">
      <c r="A3636" s="277" t="n"/>
      <c r="B3636" s="285" t="n"/>
      <c r="C3636" s="579" t="n"/>
      <c r="D3636" s="580" t="n"/>
      <c r="E3636" s="581" t="n"/>
      <c r="F3636" s="577" t="n"/>
      <c r="G3636" s="582" t="n"/>
      <c r="H3636" s="583" t="n"/>
      <c r="I3636" s="510" t="n"/>
    </row>
    <row r="3637" ht="19.95" customFormat="1" customHeight="1" s="511">
      <c r="A3637" s="277" t="n"/>
      <c r="B3637" s="285" t="n"/>
      <c r="C3637" s="579" t="n"/>
      <c r="D3637" s="580" t="n"/>
      <c r="E3637" s="581" t="n"/>
      <c r="F3637" s="577" t="n"/>
      <c r="G3637" s="582" t="n"/>
      <c r="H3637" s="583" t="n"/>
      <c r="I3637" s="510" t="n"/>
    </row>
    <row r="3638" ht="19.95" customFormat="1" customHeight="1" s="511">
      <c r="A3638" s="277" t="n"/>
      <c r="B3638" s="285" t="n"/>
      <c r="C3638" s="579" t="n"/>
      <c r="D3638" s="580" t="n"/>
      <c r="E3638" s="581" t="n"/>
      <c r="F3638" s="577" t="n"/>
      <c r="G3638" s="582" t="n"/>
      <c r="H3638" s="583" t="n"/>
      <c r="I3638" s="510" t="n"/>
    </row>
    <row r="3639" ht="19.95" customFormat="1" customHeight="1" s="511">
      <c r="A3639" s="277" t="n"/>
      <c r="B3639" s="285" t="n"/>
      <c r="C3639" s="579" t="n"/>
      <c r="D3639" s="580" t="n"/>
      <c r="E3639" s="581" t="n"/>
      <c r="F3639" s="577" t="n"/>
      <c r="G3639" s="582" t="n"/>
      <c r="H3639" s="583" t="n"/>
      <c r="I3639" s="510" t="n"/>
    </row>
    <row r="3640" ht="19.95" customFormat="1" customHeight="1" s="511">
      <c r="A3640" s="277" t="n"/>
      <c r="B3640" s="285" t="n"/>
      <c r="C3640" s="579" t="n"/>
      <c r="D3640" s="580" t="n"/>
      <c r="E3640" s="581" t="n"/>
      <c r="F3640" s="577" t="n"/>
      <c r="G3640" s="582" t="n"/>
      <c r="H3640" s="583" t="n"/>
      <c r="I3640" s="510" t="n"/>
    </row>
    <row r="3641" ht="19.95" customFormat="1" customHeight="1" s="511">
      <c r="A3641" s="277" t="n"/>
      <c r="B3641" s="285" t="n"/>
      <c r="C3641" s="579" t="n"/>
      <c r="D3641" s="580" t="n"/>
      <c r="E3641" s="581" t="n"/>
      <c r="F3641" s="577" t="n"/>
      <c r="G3641" s="582" t="n"/>
      <c r="H3641" s="583" t="n"/>
      <c r="I3641" s="510" t="n"/>
    </row>
    <row r="3642" ht="19.95" customFormat="1" customHeight="1" s="511">
      <c r="A3642" s="277" t="n"/>
      <c r="B3642" s="285" t="n"/>
      <c r="C3642" s="579" t="n"/>
      <c r="D3642" s="580" t="n"/>
      <c r="E3642" s="581" t="n"/>
      <c r="F3642" s="577" t="n"/>
      <c r="G3642" s="582" t="n"/>
      <c r="H3642" s="583" t="n"/>
      <c r="I3642" s="510" t="n"/>
    </row>
    <row r="3643" ht="19.95" customFormat="1" customHeight="1" s="511">
      <c r="A3643" s="277" t="n"/>
      <c r="B3643" s="285" t="n"/>
      <c r="C3643" s="579" t="n"/>
      <c r="D3643" s="580" t="n"/>
      <c r="E3643" s="581" t="n"/>
      <c r="F3643" s="577" t="n"/>
      <c r="G3643" s="582" t="n"/>
      <c r="H3643" s="583" t="n"/>
      <c r="I3643" s="510" t="n"/>
    </row>
    <row r="3644" ht="19.95" customFormat="1" customHeight="1" s="511">
      <c r="A3644" s="277" t="n"/>
      <c r="B3644" s="285" t="n"/>
      <c r="C3644" s="579" t="n"/>
      <c r="D3644" s="580" t="n"/>
      <c r="E3644" s="581" t="n"/>
      <c r="F3644" s="577" t="n"/>
      <c r="G3644" s="582" t="n"/>
      <c r="H3644" s="583" t="n"/>
      <c r="I3644" s="510" t="n"/>
    </row>
    <row r="3645" ht="19.95" customFormat="1" customHeight="1" s="511">
      <c r="A3645" s="277" t="n"/>
      <c r="B3645" s="285" t="n"/>
      <c r="C3645" s="579" t="n"/>
      <c r="D3645" s="580" t="n"/>
      <c r="E3645" s="581" t="n"/>
      <c r="F3645" s="577" t="n"/>
      <c r="G3645" s="582" t="n"/>
      <c r="H3645" s="583" t="n"/>
      <c r="I3645" s="510" t="n"/>
    </row>
    <row r="3646" ht="19.95" customFormat="1" customHeight="1" s="511">
      <c r="A3646" s="277" t="n"/>
      <c r="B3646" s="285" t="n"/>
      <c r="C3646" s="579" t="n"/>
      <c r="D3646" s="580" t="n"/>
      <c r="E3646" s="581" t="n"/>
      <c r="F3646" s="577" t="n"/>
      <c r="G3646" s="582" t="n"/>
      <c r="H3646" s="583" t="n"/>
      <c r="I3646" s="510" t="n"/>
    </row>
    <row r="3647" ht="19.95" customFormat="1" customHeight="1" s="511">
      <c r="A3647" s="277" t="n"/>
      <c r="B3647" s="285" t="n"/>
      <c r="C3647" s="579" t="n"/>
      <c r="D3647" s="580" t="n"/>
      <c r="E3647" s="581" t="n"/>
      <c r="F3647" s="577" t="n"/>
      <c r="G3647" s="582" t="n"/>
      <c r="H3647" s="583" t="n"/>
      <c r="I3647" s="510" t="n"/>
    </row>
    <row r="3648" ht="19.95" customFormat="1" customHeight="1" s="511">
      <c r="A3648" s="277" t="n"/>
      <c r="B3648" s="285" t="n"/>
      <c r="C3648" s="579" t="n"/>
      <c r="D3648" s="580" t="n"/>
      <c r="E3648" s="581" t="n"/>
      <c r="F3648" s="577" t="n"/>
      <c r="G3648" s="582" t="n"/>
      <c r="H3648" s="583" t="n"/>
      <c r="I3648" s="510" t="n"/>
    </row>
    <row r="3649" ht="19.95" customFormat="1" customHeight="1" s="511">
      <c r="A3649" s="277" t="n"/>
      <c r="B3649" s="285" t="n"/>
      <c r="C3649" s="579" t="n"/>
      <c r="D3649" s="580" t="n"/>
      <c r="E3649" s="581" t="n"/>
      <c r="F3649" s="577" t="n"/>
      <c r="G3649" s="582" t="n"/>
      <c r="H3649" s="583" t="n"/>
      <c r="I3649" s="510" t="n"/>
    </row>
    <row r="3650" ht="19.95" customFormat="1" customHeight="1" s="511">
      <c r="A3650" s="277" t="n"/>
      <c r="B3650" s="285" t="n"/>
      <c r="C3650" s="579" t="n"/>
      <c r="D3650" s="580" t="n"/>
      <c r="E3650" s="581" t="n"/>
      <c r="F3650" s="577" t="n"/>
      <c r="G3650" s="582" t="n"/>
      <c r="H3650" s="583" t="n"/>
      <c r="I3650" s="510" t="n"/>
    </row>
    <row r="3651" ht="19.95" customFormat="1" customHeight="1" s="511">
      <c r="A3651" s="277" t="n"/>
      <c r="B3651" s="285" t="n"/>
      <c r="C3651" s="579" t="n"/>
      <c r="D3651" s="580" t="n"/>
      <c r="E3651" s="581" t="n"/>
      <c r="F3651" s="577" t="n"/>
      <c r="G3651" s="582" t="n"/>
      <c r="H3651" s="583" t="n"/>
      <c r="I3651" s="510" t="n"/>
    </row>
    <row r="3652" ht="19.95" customFormat="1" customHeight="1" s="511">
      <c r="A3652" s="277" t="n"/>
      <c r="B3652" s="285" t="n"/>
      <c r="C3652" s="579" t="n"/>
      <c r="D3652" s="580" t="n"/>
      <c r="E3652" s="581" t="n"/>
      <c r="F3652" s="577" t="n"/>
      <c r="G3652" s="582" t="n"/>
      <c r="H3652" s="583" t="n"/>
      <c r="I3652" s="510" t="n"/>
    </row>
    <row r="3653" ht="19.95" customFormat="1" customHeight="1" s="511">
      <c r="A3653" s="277" t="n"/>
      <c r="B3653" s="285" t="n"/>
      <c r="C3653" s="579" t="n"/>
      <c r="D3653" s="580" t="n"/>
      <c r="E3653" s="581" t="n"/>
      <c r="F3653" s="577" t="n"/>
      <c r="G3653" s="582" t="n"/>
      <c r="H3653" s="583" t="n"/>
      <c r="I3653" s="510" t="n"/>
    </row>
    <row r="3654" ht="19.95" customFormat="1" customHeight="1" s="511">
      <c r="A3654" s="277" t="n"/>
      <c r="B3654" s="285" t="n"/>
      <c r="C3654" s="579" t="n"/>
      <c r="D3654" s="580" t="n"/>
      <c r="E3654" s="581" t="n"/>
      <c r="F3654" s="577" t="n"/>
      <c r="G3654" s="582" t="n"/>
      <c r="H3654" s="583" t="n"/>
      <c r="I3654" s="510" t="n"/>
    </row>
    <row r="3655" ht="19.95" customFormat="1" customHeight="1" s="511">
      <c r="A3655" s="277" t="n"/>
      <c r="B3655" s="285" t="n"/>
      <c r="C3655" s="579" t="n"/>
      <c r="D3655" s="580" t="n"/>
      <c r="E3655" s="581" t="n"/>
      <c r="F3655" s="577" t="n"/>
      <c r="G3655" s="582" t="n"/>
      <c r="H3655" s="583" t="n"/>
      <c r="I3655" s="510" t="n"/>
    </row>
    <row r="3656" ht="19.95" customFormat="1" customHeight="1" s="511">
      <c r="A3656" s="277" t="n"/>
      <c r="B3656" s="285" t="n"/>
      <c r="C3656" s="579" t="n"/>
      <c r="D3656" s="580" t="n"/>
      <c r="E3656" s="581" t="n"/>
      <c r="F3656" s="577" t="n"/>
      <c r="G3656" s="582" t="n"/>
      <c r="H3656" s="583" t="n"/>
      <c r="I3656" s="510" t="n"/>
    </row>
    <row r="3657" ht="19.95" customFormat="1" customHeight="1" s="511">
      <c r="A3657" s="277" t="n"/>
      <c r="B3657" s="285" t="n"/>
      <c r="C3657" s="579" t="n"/>
      <c r="D3657" s="580" t="n"/>
      <c r="E3657" s="581" t="n"/>
      <c r="F3657" s="577" t="n"/>
      <c r="G3657" s="582" t="n"/>
      <c r="H3657" s="583" t="n"/>
      <c r="I3657" s="510" t="n"/>
    </row>
    <row r="3658" ht="19.95" customFormat="1" customHeight="1" s="511">
      <c r="A3658" s="277" t="n"/>
      <c r="B3658" s="285" t="n"/>
      <c r="C3658" s="579" t="n"/>
      <c r="D3658" s="580" t="n"/>
      <c r="E3658" s="581" t="n"/>
      <c r="F3658" s="577" t="n"/>
      <c r="G3658" s="582" t="n"/>
      <c r="H3658" s="583" t="n"/>
      <c r="I3658" s="510" t="n"/>
    </row>
    <row r="3659" ht="19.95" customFormat="1" customHeight="1" s="511">
      <c r="A3659" s="277" t="n"/>
      <c r="B3659" s="285" t="n"/>
      <c r="C3659" s="579" t="n"/>
      <c r="D3659" s="580" t="n"/>
      <c r="E3659" s="581" t="n"/>
      <c r="F3659" s="577" t="n"/>
      <c r="G3659" s="582" t="n"/>
      <c r="H3659" s="583" t="n"/>
      <c r="I3659" s="510" t="n"/>
    </row>
    <row r="3660" ht="19.95" customFormat="1" customHeight="1" s="511">
      <c r="A3660" s="277" t="n"/>
      <c r="B3660" s="285" t="n"/>
      <c r="C3660" s="579" t="n"/>
      <c r="D3660" s="580" t="n"/>
      <c r="E3660" s="581" t="n"/>
      <c r="F3660" s="577" t="n"/>
      <c r="G3660" s="582" t="n"/>
      <c r="H3660" s="583" t="n"/>
      <c r="I3660" s="510" t="n"/>
    </row>
    <row r="3661" ht="19.95" customFormat="1" customHeight="1" s="511">
      <c r="A3661" s="277" t="n"/>
      <c r="B3661" s="285" t="n"/>
      <c r="C3661" s="579" t="n"/>
      <c r="D3661" s="580" t="n"/>
      <c r="E3661" s="581" t="n"/>
      <c r="F3661" s="577" t="n"/>
      <c r="G3661" s="582" t="n"/>
      <c r="H3661" s="583" t="n"/>
      <c r="I3661" s="510" t="n"/>
    </row>
    <row r="3662" ht="19.95" customFormat="1" customHeight="1" s="511">
      <c r="A3662" s="277" t="n"/>
      <c r="B3662" s="285" t="n"/>
      <c r="C3662" s="579" t="n"/>
      <c r="D3662" s="580" t="n"/>
      <c r="E3662" s="581" t="n"/>
      <c r="F3662" s="577" t="n"/>
      <c r="G3662" s="582" t="n"/>
      <c r="H3662" s="583" t="n"/>
      <c r="I3662" s="510" t="n"/>
    </row>
    <row r="3663" ht="19.95" customFormat="1" customHeight="1" s="511">
      <c r="A3663" s="277" t="n"/>
      <c r="B3663" s="285" t="n"/>
      <c r="C3663" s="579" t="n"/>
      <c r="D3663" s="580" t="n"/>
      <c r="E3663" s="581" t="n"/>
      <c r="F3663" s="577" t="n"/>
      <c r="G3663" s="582" t="n"/>
      <c r="H3663" s="583" t="n"/>
      <c r="I3663" s="510" t="n"/>
    </row>
    <row r="3664" ht="19.95" customFormat="1" customHeight="1" s="511">
      <c r="A3664" s="277" t="n"/>
      <c r="B3664" s="285" t="n"/>
      <c r="C3664" s="579" t="n"/>
      <c r="D3664" s="580" t="n"/>
      <c r="E3664" s="581" t="n"/>
      <c r="F3664" s="577" t="n"/>
      <c r="G3664" s="582" t="n"/>
      <c r="H3664" s="583" t="n"/>
      <c r="I3664" s="510" t="n"/>
    </row>
    <row r="3665" ht="19.95" customFormat="1" customHeight="1" s="511">
      <c r="A3665" s="277" t="n"/>
      <c r="B3665" s="285" t="n"/>
      <c r="C3665" s="579" t="n"/>
      <c r="D3665" s="580" t="n"/>
      <c r="E3665" s="581" t="n"/>
      <c r="F3665" s="577" t="n"/>
      <c r="G3665" s="582" t="n"/>
      <c r="H3665" s="583" t="n"/>
      <c r="I3665" s="510" t="n"/>
    </row>
    <row r="3666" ht="19.95" customFormat="1" customHeight="1" s="511">
      <c r="A3666" s="277" t="n"/>
      <c r="B3666" s="285" t="n"/>
      <c r="C3666" s="579" t="n"/>
      <c r="D3666" s="580" t="n"/>
      <c r="E3666" s="581" t="n"/>
      <c r="F3666" s="577" t="n"/>
      <c r="G3666" s="582" t="n"/>
      <c r="H3666" s="583" t="n"/>
      <c r="I3666" s="510" t="n"/>
    </row>
    <row r="3667" ht="19.95" customFormat="1" customHeight="1" s="511">
      <c r="A3667" s="277" t="n"/>
      <c r="B3667" s="285" t="n"/>
      <c r="C3667" s="579" t="n"/>
      <c r="D3667" s="580" t="n"/>
      <c r="E3667" s="581" t="n"/>
      <c r="F3667" s="577" t="n"/>
      <c r="G3667" s="582" t="n"/>
      <c r="H3667" s="583" t="n"/>
      <c r="I3667" s="510" t="n"/>
    </row>
    <row r="3668" ht="19.95" customFormat="1" customHeight="1" s="511">
      <c r="A3668" s="277" t="n"/>
      <c r="B3668" s="285" t="n"/>
      <c r="C3668" s="579" t="n"/>
      <c r="D3668" s="580" t="n"/>
      <c r="E3668" s="581" t="n"/>
      <c r="F3668" s="577" t="n"/>
      <c r="G3668" s="582" t="n"/>
      <c r="H3668" s="583" t="n"/>
      <c r="I3668" s="510" t="n"/>
    </row>
    <row r="3669" ht="19.95" customFormat="1" customHeight="1" s="511">
      <c r="A3669" s="277" t="n"/>
      <c r="B3669" s="285" t="n"/>
      <c r="C3669" s="579" t="n"/>
      <c r="D3669" s="580" t="n"/>
      <c r="E3669" s="581" t="n"/>
      <c r="F3669" s="577" t="n"/>
      <c r="G3669" s="582" t="n"/>
      <c r="H3669" s="583" t="n"/>
      <c r="I3669" s="510" t="n"/>
    </row>
    <row r="3670" ht="19.95" customFormat="1" customHeight="1" s="511">
      <c r="A3670" s="277" t="n"/>
      <c r="B3670" s="285" t="n"/>
      <c r="C3670" s="579" t="n"/>
      <c r="D3670" s="580" t="n"/>
      <c r="E3670" s="581" t="n"/>
      <c r="F3670" s="577" t="n"/>
      <c r="G3670" s="582" t="n"/>
      <c r="H3670" s="583" t="n"/>
      <c r="I3670" s="510" t="n"/>
    </row>
    <row r="3671" ht="19.95" customFormat="1" customHeight="1" s="511">
      <c r="A3671" s="277" t="n"/>
      <c r="B3671" s="285" t="n"/>
      <c r="C3671" s="579" t="n"/>
      <c r="D3671" s="580" t="n"/>
      <c r="E3671" s="581" t="n"/>
      <c r="F3671" s="577" t="n"/>
      <c r="G3671" s="582" t="n"/>
      <c r="H3671" s="583" t="n"/>
      <c r="I3671" s="510" t="n"/>
    </row>
    <row r="3672" ht="19.95" customFormat="1" customHeight="1" s="511">
      <c r="A3672" s="277" t="n"/>
      <c r="B3672" s="285" t="n"/>
      <c r="C3672" s="579" t="n"/>
      <c r="D3672" s="580" t="n"/>
      <c r="E3672" s="581" t="n"/>
      <c r="F3672" s="577" t="n"/>
      <c r="G3672" s="582" t="n"/>
      <c r="H3672" s="583" t="n"/>
      <c r="I3672" s="510" t="n"/>
    </row>
    <row r="3673" ht="19.95" customFormat="1" customHeight="1" s="511">
      <c r="A3673" s="277" t="n"/>
      <c r="B3673" s="285" t="n"/>
      <c r="C3673" s="579" t="n"/>
      <c r="D3673" s="580" t="n"/>
      <c r="E3673" s="581" t="n"/>
      <c r="F3673" s="577" t="n"/>
      <c r="G3673" s="582" t="n"/>
      <c r="H3673" s="583" t="n"/>
      <c r="I3673" s="510" t="n"/>
    </row>
    <row r="3674" ht="19.95" customFormat="1" customHeight="1" s="511">
      <c r="A3674" s="277" t="n"/>
      <c r="B3674" s="285" t="n"/>
      <c r="C3674" s="579" t="n"/>
      <c r="D3674" s="580" t="n"/>
      <c r="E3674" s="581" t="n"/>
      <c r="F3674" s="577" t="n"/>
      <c r="G3674" s="582" t="n"/>
      <c r="H3674" s="583" t="n"/>
      <c r="I3674" s="510" t="n"/>
    </row>
    <row r="3675" ht="19.95" customFormat="1" customHeight="1" s="511">
      <c r="A3675" s="277" t="n"/>
      <c r="B3675" s="285" t="n"/>
      <c r="C3675" s="579" t="n"/>
      <c r="D3675" s="580" t="n"/>
      <c r="E3675" s="581" t="n"/>
      <c r="F3675" s="577" t="n"/>
      <c r="G3675" s="582" t="n"/>
      <c r="H3675" s="583" t="n"/>
      <c r="I3675" s="510" t="n"/>
    </row>
    <row r="3676" ht="19.95" customFormat="1" customHeight="1" s="511">
      <c r="A3676" s="277" t="n"/>
      <c r="B3676" s="285" t="n"/>
      <c r="C3676" s="579" t="n"/>
      <c r="D3676" s="580" t="n"/>
      <c r="E3676" s="581" t="n"/>
      <c r="F3676" s="577" t="n"/>
      <c r="G3676" s="582" t="n"/>
      <c r="H3676" s="583" t="n"/>
      <c r="I3676" s="510" t="n"/>
    </row>
    <row r="3677" ht="19.95" customFormat="1" customHeight="1" s="511">
      <c r="A3677" s="277" t="n"/>
      <c r="B3677" s="285" t="n"/>
      <c r="C3677" s="579" t="n"/>
      <c r="D3677" s="580" t="n"/>
      <c r="E3677" s="581" t="n"/>
      <c r="F3677" s="577" t="n"/>
      <c r="G3677" s="582" t="n"/>
      <c r="H3677" s="583" t="n"/>
      <c r="I3677" s="510" t="n"/>
    </row>
    <row r="3678" ht="19.95" customFormat="1" customHeight="1" s="511">
      <c r="A3678" s="277" t="n"/>
      <c r="B3678" s="285" t="n"/>
      <c r="C3678" s="579" t="n"/>
      <c r="D3678" s="580" t="n"/>
      <c r="E3678" s="581" t="n"/>
      <c r="F3678" s="577" t="n"/>
      <c r="G3678" s="582" t="n"/>
      <c r="H3678" s="583" t="n"/>
      <c r="I3678" s="510" t="n"/>
    </row>
    <row r="3679" ht="19.95" customFormat="1" customHeight="1" s="511">
      <c r="A3679" s="277" t="n"/>
      <c r="B3679" s="285" t="n"/>
      <c r="C3679" s="579" t="n"/>
      <c r="D3679" s="580" t="n"/>
      <c r="E3679" s="581" t="n"/>
      <c r="F3679" s="577" t="n"/>
      <c r="G3679" s="582" t="n"/>
      <c r="H3679" s="583" t="n"/>
      <c r="I3679" s="510" t="n"/>
    </row>
    <row r="3680" ht="19.95" customFormat="1" customHeight="1" s="511">
      <c r="A3680" s="277" t="n"/>
      <c r="B3680" s="285" t="n"/>
      <c r="C3680" s="579" t="n"/>
      <c r="D3680" s="580" t="n"/>
      <c r="E3680" s="581" t="n"/>
      <c r="F3680" s="577" t="n"/>
      <c r="G3680" s="582" t="n"/>
      <c r="H3680" s="583" t="n"/>
      <c r="I3680" s="510" t="n"/>
    </row>
    <row r="3681" ht="19.95" customFormat="1" customHeight="1" s="511">
      <c r="A3681" s="277" t="n"/>
      <c r="B3681" s="285" t="n"/>
      <c r="C3681" s="579" t="n"/>
      <c r="D3681" s="580" t="n"/>
      <c r="E3681" s="581" t="n"/>
      <c r="F3681" s="577" t="n"/>
      <c r="G3681" s="582" t="n"/>
      <c r="H3681" s="583" t="n"/>
      <c r="I3681" s="510" t="n"/>
    </row>
    <row r="3682" ht="19.95" customFormat="1" customHeight="1" s="511">
      <c r="A3682" s="277" t="n"/>
      <c r="B3682" s="285" t="n"/>
      <c r="C3682" s="579" t="n"/>
      <c r="D3682" s="580" t="n"/>
      <c r="E3682" s="581" t="n"/>
      <c r="F3682" s="577" t="n"/>
      <c r="G3682" s="582" t="n"/>
      <c r="H3682" s="583" t="n"/>
      <c r="I3682" s="510" t="n"/>
    </row>
    <row r="3683" ht="19.95" customFormat="1" customHeight="1" s="511">
      <c r="A3683" s="277" t="n"/>
      <c r="B3683" s="285" t="n"/>
      <c r="C3683" s="579" t="n"/>
      <c r="D3683" s="580" t="n"/>
      <c r="E3683" s="581" t="n"/>
      <c r="F3683" s="577" t="n"/>
      <c r="G3683" s="582" t="n"/>
      <c r="H3683" s="583" t="n"/>
      <c r="I3683" s="510" t="n"/>
    </row>
    <row r="3684" ht="19.95" customFormat="1" customHeight="1" s="511">
      <c r="A3684" s="277" t="n"/>
      <c r="B3684" s="285" t="n"/>
      <c r="C3684" s="579" t="n"/>
      <c r="D3684" s="580" t="n"/>
      <c r="E3684" s="581" t="n"/>
      <c r="F3684" s="577" t="n"/>
      <c r="G3684" s="582" t="n"/>
      <c r="H3684" s="583" t="n"/>
      <c r="I3684" s="510" t="n"/>
    </row>
    <row r="3685" ht="19.95" customFormat="1" customHeight="1" s="511">
      <c r="A3685" s="277" t="n"/>
      <c r="B3685" s="285" t="n"/>
      <c r="C3685" s="579" t="n"/>
      <c r="D3685" s="580" t="n"/>
      <c r="E3685" s="581" t="n"/>
      <c r="F3685" s="577" t="n"/>
      <c r="G3685" s="582" t="n"/>
      <c r="H3685" s="583" t="n"/>
      <c r="I3685" s="510" t="n"/>
    </row>
    <row r="3686" ht="19.95" customFormat="1" customHeight="1" s="511">
      <c r="A3686" s="277" t="n"/>
      <c r="B3686" s="285" t="n"/>
      <c r="C3686" s="579" t="n"/>
      <c r="D3686" s="580" t="n"/>
      <c r="E3686" s="581" t="n"/>
      <c r="F3686" s="577" t="n"/>
      <c r="G3686" s="582" t="n"/>
      <c r="H3686" s="583" t="n"/>
      <c r="I3686" s="510" t="n"/>
    </row>
    <row r="3687" ht="19.95" customFormat="1" customHeight="1" s="511">
      <c r="A3687" s="277" t="n"/>
      <c r="B3687" s="285" t="n"/>
      <c r="C3687" s="579" t="n"/>
      <c r="D3687" s="580" t="n"/>
      <c r="E3687" s="581" t="n"/>
      <c r="F3687" s="577" t="n"/>
      <c r="G3687" s="582" t="n"/>
      <c r="H3687" s="583" t="n"/>
      <c r="I3687" s="510" t="n"/>
    </row>
    <row r="3688" ht="19.95" customFormat="1" customHeight="1" s="511">
      <c r="A3688" s="277" t="n"/>
      <c r="B3688" s="285" t="n"/>
      <c r="C3688" s="579" t="n"/>
      <c r="D3688" s="580" t="n"/>
      <c r="E3688" s="581" t="n"/>
      <c r="F3688" s="577" t="n"/>
      <c r="G3688" s="582" t="n"/>
      <c r="H3688" s="583" t="n"/>
      <c r="I3688" s="510" t="n"/>
    </row>
    <row r="3689" ht="19.95" customFormat="1" customHeight="1" s="511">
      <c r="A3689" s="277" t="n"/>
      <c r="B3689" s="285" t="n"/>
      <c r="C3689" s="579" t="n"/>
      <c r="D3689" s="580" t="n"/>
      <c r="E3689" s="581" t="n"/>
      <c r="F3689" s="577" t="n"/>
      <c r="G3689" s="582" t="n"/>
      <c r="H3689" s="583" t="n"/>
      <c r="I3689" s="510" t="n"/>
    </row>
    <row r="3690" ht="19.95" customFormat="1" customHeight="1" s="511">
      <c r="A3690" s="277" t="n"/>
      <c r="B3690" s="285" t="n"/>
      <c r="C3690" s="579" t="n"/>
      <c r="D3690" s="580" t="n"/>
      <c r="E3690" s="581" t="n"/>
      <c r="F3690" s="577" t="n"/>
      <c r="G3690" s="582" t="n"/>
      <c r="H3690" s="583" t="n"/>
      <c r="I3690" s="510" t="n"/>
    </row>
    <row r="3691" ht="19.95" customFormat="1" customHeight="1" s="511">
      <c r="A3691" s="277" t="n"/>
      <c r="B3691" s="285" t="n"/>
      <c r="C3691" s="579" t="n"/>
      <c r="D3691" s="580" t="n"/>
      <c r="E3691" s="581" t="n"/>
      <c r="F3691" s="577" t="n"/>
      <c r="G3691" s="582" t="n"/>
      <c r="H3691" s="583" t="n"/>
      <c r="I3691" s="510" t="n"/>
    </row>
    <row r="3692" ht="19.95" customFormat="1" customHeight="1" s="511">
      <c r="A3692" s="277" t="n"/>
      <c r="B3692" s="285" t="n"/>
      <c r="C3692" s="579" t="n"/>
      <c r="D3692" s="580" t="n"/>
      <c r="E3692" s="581" t="n"/>
      <c r="F3692" s="577" t="n"/>
      <c r="G3692" s="582" t="n"/>
      <c r="H3692" s="583" t="n"/>
      <c r="I3692" s="510" t="n"/>
    </row>
    <row r="3693" ht="19.95" customFormat="1" customHeight="1" s="511">
      <c r="A3693" s="277" t="n"/>
      <c r="B3693" s="285" t="n"/>
      <c r="C3693" s="579" t="n"/>
      <c r="D3693" s="580" t="n"/>
      <c r="E3693" s="581" t="n"/>
      <c r="F3693" s="577" t="n"/>
      <c r="G3693" s="582" t="n"/>
      <c r="H3693" s="583" t="n"/>
      <c r="I3693" s="510" t="n"/>
    </row>
    <row r="3694" ht="19.95" customFormat="1" customHeight="1" s="511">
      <c r="A3694" s="277" t="n"/>
      <c r="B3694" s="285" t="n"/>
      <c r="C3694" s="579" t="n"/>
      <c r="D3694" s="580" t="n"/>
      <c r="E3694" s="581" t="n"/>
      <c r="F3694" s="577" t="n"/>
      <c r="G3694" s="582" t="n"/>
      <c r="H3694" s="583" t="n"/>
      <c r="I3694" s="510" t="n"/>
    </row>
    <row r="3695" ht="19.95" customFormat="1" customHeight="1" s="511">
      <c r="A3695" s="277" t="n"/>
      <c r="B3695" s="285" t="n"/>
      <c r="C3695" s="579" t="n"/>
      <c r="D3695" s="580" t="n"/>
      <c r="E3695" s="581" t="n"/>
      <c r="F3695" s="577" t="n"/>
      <c r="G3695" s="582" t="n"/>
      <c r="H3695" s="583" t="n"/>
      <c r="I3695" s="510" t="n"/>
    </row>
    <row r="3696" ht="19.95" customFormat="1" customHeight="1" s="511">
      <c r="A3696" s="277" t="n"/>
      <c r="B3696" s="285" t="n"/>
      <c r="C3696" s="579" t="n"/>
      <c r="D3696" s="580" t="n"/>
      <c r="E3696" s="581" t="n"/>
      <c r="F3696" s="577" t="n"/>
      <c r="G3696" s="582" t="n"/>
      <c r="H3696" s="583" t="n"/>
      <c r="I3696" s="510" t="n"/>
    </row>
    <row r="3697" ht="19.95" customFormat="1" customHeight="1" s="511">
      <c r="A3697" s="277" t="n"/>
      <c r="B3697" s="285" t="n"/>
      <c r="C3697" s="579" t="n"/>
      <c r="D3697" s="580" t="n"/>
      <c r="E3697" s="581" t="n"/>
      <c r="F3697" s="577" t="n"/>
      <c r="G3697" s="582" t="n"/>
      <c r="H3697" s="583" t="n"/>
      <c r="I3697" s="510" t="n"/>
    </row>
    <row r="3698" ht="19.95" customFormat="1" customHeight="1" s="511">
      <c r="A3698" s="277" t="n"/>
      <c r="B3698" s="285" t="n"/>
      <c r="C3698" s="579" t="n"/>
      <c r="D3698" s="580" t="n"/>
      <c r="E3698" s="581" t="n"/>
      <c r="F3698" s="577" t="n"/>
      <c r="G3698" s="582" t="n"/>
      <c r="H3698" s="583" t="n"/>
      <c r="I3698" s="510" t="n"/>
    </row>
    <row r="3699" ht="19.95" customFormat="1" customHeight="1" s="511">
      <c r="A3699" s="277" t="n"/>
      <c r="B3699" s="285" t="n"/>
      <c r="C3699" s="579" t="n"/>
      <c r="D3699" s="580" t="n"/>
      <c r="E3699" s="581" t="n"/>
      <c r="F3699" s="577" t="n"/>
      <c r="G3699" s="582" t="n"/>
      <c r="H3699" s="583" t="n"/>
      <c r="I3699" s="510" t="n"/>
    </row>
    <row r="3700" ht="19.95" customFormat="1" customHeight="1" s="511">
      <c r="A3700" s="277" t="n"/>
      <c r="B3700" s="285" t="n"/>
      <c r="C3700" s="579" t="n"/>
      <c r="D3700" s="580" t="n"/>
      <c r="E3700" s="581" t="n"/>
      <c r="F3700" s="577" t="n"/>
      <c r="G3700" s="582" t="n"/>
      <c r="H3700" s="583" t="n"/>
      <c r="I3700" s="510" t="n"/>
    </row>
    <row r="3701" ht="19.95" customFormat="1" customHeight="1" s="511">
      <c r="A3701" s="277" t="n"/>
      <c r="B3701" s="285" t="n"/>
      <c r="C3701" s="579" t="n"/>
      <c r="D3701" s="580" t="n"/>
      <c r="E3701" s="581" t="n"/>
      <c r="F3701" s="577" t="n"/>
      <c r="G3701" s="582" t="n"/>
      <c r="H3701" s="583" t="n"/>
      <c r="I3701" s="510" t="n"/>
    </row>
    <row r="3702" ht="19.95" customFormat="1" customHeight="1" s="511">
      <c r="A3702" s="277" t="n"/>
      <c r="B3702" s="285" t="n"/>
      <c r="C3702" s="579" t="n"/>
      <c r="D3702" s="580" t="n"/>
      <c r="E3702" s="581" t="n"/>
      <c r="F3702" s="577" t="n"/>
      <c r="G3702" s="582" t="n"/>
      <c r="H3702" s="583" t="n"/>
      <c r="I3702" s="510" t="n"/>
    </row>
    <row r="3703" ht="19.95" customFormat="1" customHeight="1" s="511">
      <c r="A3703" s="277" t="n"/>
      <c r="B3703" s="285" t="n"/>
      <c r="C3703" s="579" t="n"/>
      <c r="D3703" s="580" t="n"/>
      <c r="E3703" s="581" t="n"/>
      <c r="F3703" s="577" t="n"/>
      <c r="G3703" s="582" t="n"/>
      <c r="H3703" s="583" t="n"/>
      <c r="I3703" s="510" t="n"/>
    </row>
    <row r="3704" ht="19.95" customFormat="1" customHeight="1" s="511">
      <c r="A3704" s="277" t="n"/>
      <c r="B3704" s="285" t="n"/>
      <c r="C3704" s="579" t="n"/>
      <c r="D3704" s="580" t="n"/>
      <c r="E3704" s="581" t="n"/>
      <c r="F3704" s="577" t="n"/>
      <c r="G3704" s="582" t="n"/>
      <c r="H3704" s="583" t="n"/>
      <c r="I3704" s="510" t="n"/>
    </row>
    <row r="3705" ht="19.95" customFormat="1" customHeight="1" s="511">
      <c r="A3705" s="277" t="n"/>
      <c r="B3705" s="285" t="n"/>
      <c r="C3705" s="579" t="n"/>
      <c r="D3705" s="580" t="n"/>
      <c r="E3705" s="581" t="n"/>
      <c r="F3705" s="577" t="n"/>
      <c r="G3705" s="582" t="n"/>
      <c r="H3705" s="583" t="n"/>
      <c r="I3705" s="510" t="n"/>
    </row>
    <row r="3706" ht="19.95" customFormat="1" customHeight="1" s="511">
      <c r="A3706" s="277" t="n"/>
      <c r="B3706" s="285" t="n"/>
      <c r="C3706" s="579" t="n"/>
      <c r="D3706" s="580" t="n"/>
      <c r="E3706" s="581" t="n"/>
      <c r="F3706" s="577" t="n"/>
      <c r="G3706" s="582" t="n"/>
      <c r="H3706" s="583" t="n"/>
      <c r="I3706" s="510" t="n"/>
    </row>
    <row r="3707" ht="19.95" customFormat="1" customHeight="1" s="511">
      <c r="A3707" s="277" t="n"/>
      <c r="B3707" s="285" t="n"/>
      <c r="C3707" s="579" t="n"/>
      <c r="D3707" s="580" t="n"/>
      <c r="E3707" s="581" t="n"/>
      <c r="F3707" s="577" t="n"/>
      <c r="G3707" s="582" t="n"/>
      <c r="H3707" s="583" t="n"/>
      <c r="I3707" s="510" t="n"/>
    </row>
    <row r="3708" ht="19.95" customFormat="1" customHeight="1" s="511">
      <c r="A3708" s="277" t="n"/>
      <c r="B3708" s="285" t="n"/>
      <c r="C3708" s="579" t="n"/>
      <c r="D3708" s="580" t="n"/>
      <c r="E3708" s="581" t="n"/>
      <c r="F3708" s="577" t="n"/>
      <c r="G3708" s="582" t="n"/>
      <c r="H3708" s="583" t="n"/>
      <c r="I3708" s="510" t="n"/>
    </row>
    <row r="3709" ht="19.95" customFormat="1" customHeight="1" s="511">
      <c r="A3709" s="277" t="n"/>
      <c r="B3709" s="285" t="n"/>
      <c r="C3709" s="579" t="n"/>
      <c r="D3709" s="580" t="n"/>
      <c r="E3709" s="581" t="n"/>
      <c r="F3709" s="577" t="n"/>
      <c r="G3709" s="582" t="n"/>
      <c r="H3709" s="583" t="n"/>
      <c r="I3709" s="510" t="n"/>
    </row>
    <row r="3710" ht="19.95" customFormat="1" customHeight="1" s="511">
      <c r="A3710" s="277" t="n"/>
      <c r="B3710" s="285" t="n"/>
      <c r="C3710" s="579" t="n"/>
      <c r="D3710" s="580" t="n"/>
      <c r="E3710" s="581" t="n"/>
      <c r="F3710" s="577" t="n"/>
      <c r="G3710" s="582" t="n"/>
      <c r="H3710" s="583" t="n"/>
      <c r="I3710" s="510" t="n"/>
    </row>
    <row r="3711" ht="19.95" customFormat="1" customHeight="1" s="511">
      <c r="A3711" s="277" t="n"/>
      <c r="B3711" s="285" t="n"/>
      <c r="C3711" s="579" t="n"/>
      <c r="D3711" s="580" t="n"/>
      <c r="E3711" s="581" t="n"/>
      <c r="F3711" s="577" t="n"/>
      <c r="G3711" s="582" t="n"/>
      <c r="H3711" s="583" t="n"/>
      <c r="I3711" s="510" t="n"/>
    </row>
    <row r="3712" ht="19.95" customFormat="1" customHeight="1" s="511">
      <c r="A3712" s="277" t="n"/>
      <c r="B3712" s="285" t="n"/>
      <c r="C3712" s="579" t="n"/>
      <c r="D3712" s="580" t="n"/>
      <c r="E3712" s="581" t="n"/>
      <c r="F3712" s="577" t="n"/>
      <c r="G3712" s="582" t="n"/>
      <c r="H3712" s="583" t="n"/>
      <c r="I3712" s="510" t="n"/>
    </row>
    <row r="3713" ht="19.95" customFormat="1" customHeight="1" s="511">
      <c r="A3713" s="277" t="n"/>
      <c r="B3713" s="285" t="n"/>
      <c r="C3713" s="579" t="n"/>
      <c r="D3713" s="580" t="n"/>
      <c r="E3713" s="581" t="n"/>
      <c r="F3713" s="577" t="n"/>
      <c r="G3713" s="582" t="n"/>
      <c r="H3713" s="583" t="n"/>
      <c r="I3713" s="510" t="n"/>
    </row>
    <row r="3714" ht="19.95" customFormat="1" customHeight="1" s="511">
      <c r="A3714" s="277" t="n"/>
      <c r="B3714" s="285" t="n"/>
      <c r="C3714" s="579" t="n"/>
      <c r="D3714" s="580" t="n"/>
      <c r="E3714" s="581" t="n"/>
      <c r="F3714" s="577" t="n"/>
      <c r="G3714" s="582" t="n"/>
      <c r="H3714" s="583" t="n"/>
      <c r="I3714" s="510" t="n"/>
    </row>
    <row r="3715" ht="19.95" customFormat="1" customHeight="1" s="511">
      <c r="A3715" s="277" t="n"/>
      <c r="B3715" s="285" t="n"/>
      <c r="C3715" s="579" t="n"/>
      <c r="D3715" s="580" t="n"/>
      <c r="E3715" s="581" t="n"/>
      <c r="F3715" s="577" t="n"/>
      <c r="G3715" s="582" t="n"/>
      <c r="H3715" s="583" t="n"/>
      <c r="I3715" s="510" t="n"/>
    </row>
    <row r="3716" ht="19.95" customFormat="1" customHeight="1" s="511">
      <c r="A3716" s="277" t="n"/>
      <c r="B3716" s="285" t="n"/>
      <c r="C3716" s="579" t="n"/>
      <c r="D3716" s="580" t="n"/>
      <c r="E3716" s="581" t="n"/>
      <c r="F3716" s="577" t="n"/>
      <c r="G3716" s="582" t="n"/>
      <c r="H3716" s="583" t="n"/>
      <c r="I3716" s="510" t="n"/>
    </row>
    <row r="3717" ht="19.95" customFormat="1" customHeight="1" s="511">
      <c r="A3717" s="277" t="n"/>
      <c r="B3717" s="285" t="n"/>
      <c r="C3717" s="579" t="n"/>
      <c r="D3717" s="580" t="n"/>
      <c r="E3717" s="581" t="n"/>
      <c r="F3717" s="577" t="n"/>
      <c r="G3717" s="582" t="n"/>
      <c r="H3717" s="583" t="n"/>
      <c r="I3717" s="510" t="n"/>
    </row>
    <row r="3718" ht="19.95" customFormat="1" customHeight="1" s="511">
      <c r="A3718" s="277" t="n"/>
      <c r="B3718" s="285" t="n"/>
      <c r="C3718" s="579" t="n"/>
      <c r="D3718" s="580" t="n"/>
      <c r="E3718" s="581" t="n"/>
      <c r="F3718" s="577" t="n"/>
      <c r="G3718" s="582" t="n"/>
      <c r="H3718" s="583" t="n"/>
      <c r="I3718" s="510" t="n"/>
    </row>
    <row r="3719" ht="19.95" customFormat="1" customHeight="1" s="511">
      <c r="A3719" s="277" t="n"/>
      <c r="B3719" s="285" t="n"/>
      <c r="C3719" s="579" t="n"/>
      <c r="D3719" s="580" t="n"/>
      <c r="E3719" s="581" t="n"/>
      <c r="F3719" s="577" t="n"/>
      <c r="G3719" s="582" t="n"/>
      <c r="H3719" s="583" t="n"/>
      <c r="I3719" s="510" t="n"/>
    </row>
    <row r="3720" ht="19.95" customFormat="1" customHeight="1" s="511">
      <c r="A3720" s="277" t="n"/>
      <c r="B3720" s="285" t="n"/>
      <c r="C3720" s="579" t="n"/>
      <c r="D3720" s="580" t="n"/>
      <c r="E3720" s="581" t="n"/>
      <c r="F3720" s="577" t="n"/>
      <c r="G3720" s="582" t="n"/>
      <c r="H3720" s="583" t="n"/>
      <c r="I3720" s="510" t="n"/>
    </row>
    <row r="3721" ht="19.95" customFormat="1" customHeight="1" s="511">
      <c r="A3721" s="277" t="n"/>
      <c r="B3721" s="285" t="n"/>
      <c r="C3721" s="579" t="n"/>
      <c r="D3721" s="580" t="n"/>
      <c r="E3721" s="581" t="n"/>
      <c r="F3721" s="577" t="n"/>
      <c r="G3721" s="582" t="n"/>
      <c r="H3721" s="583" t="n"/>
      <c r="I3721" s="510" t="n"/>
    </row>
    <row r="3722" ht="19.95" customFormat="1" customHeight="1" s="511">
      <c r="A3722" s="277" t="n"/>
      <c r="B3722" s="285" t="n"/>
      <c r="C3722" s="579" t="n"/>
      <c r="D3722" s="580" t="n"/>
      <c r="E3722" s="581" t="n"/>
      <c r="F3722" s="577" t="n"/>
      <c r="G3722" s="582" t="n"/>
      <c r="H3722" s="583" t="n"/>
      <c r="I3722" s="510" t="n"/>
    </row>
    <row r="3723" ht="19.95" customFormat="1" customHeight="1" s="511">
      <c r="A3723" s="277" t="n"/>
      <c r="B3723" s="285" t="n"/>
      <c r="C3723" s="579" t="n"/>
      <c r="D3723" s="580" t="n"/>
      <c r="E3723" s="581" t="n"/>
      <c r="F3723" s="577" t="n"/>
      <c r="G3723" s="582" t="n"/>
      <c r="H3723" s="583" t="n"/>
      <c r="I3723" s="510" t="n"/>
    </row>
    <row r="3724" ht="19.95" customFormat="1" customHeight="1" s="511">
      <c r="A3724" s="277" t="n"/>
      <c r="B3724" s="285" t="n"/>
      <c r="C3724" s="579" t="n"/>
      <c r="D3724" s="580" t="n"/>
      <c r="E3724" s="581" t="n"/>
      <c r="F3724" s="577" t="n"/>
      <c r="G3724" s="582" t="n"/>
      <c r="H3724" s="583" t="n"/>
      <c r="I3724" s="510" t="n"/>
    </row>
    <row r="3725" ht="19.95" customFormat="1" customHeight="1" s="511">
      <c r="A3725" s="277" t="n"/>
      <c r="B3725" s="285" t="n"/>
      <c r="C3725" s="579" t="n"/>
      <c r="D3725" s="580" t="n"/>
      <c r="E3725" s="581" t="n"/>
      <c r="F3725" s="577" t="n"/>
      <c r="G3725" s="582" t="n"/>
      <c r="H3725" s="583" t="n"/>
      <c r="I3725" s="510" t="n"/>
    </row>
    <row r="3726" ht="19.95" customFormat="1" customHeight="1" s="511">
      <c r="A3726" s="277" t="n"/>
      <c r="B3726" s="285" t="n"/>
      <c r="C3726" s="579" t="n"/>
      <c r="D3726" s="580" t="n"/>
      <c r="E3726" s="581" t="n"/>
      <c r="F3726" s="577" t="n"/>
      <c r="G3726" s="582" t="n"/>
      <c r="H3726" s="583" t="n"/>
      <c r="I3726" s="510" t="n"/>
    </row>
    <row r="3727" ht="19.95" customFormat="1" customHeight="1" s="511">
      <c r="A3727" s="277" t="n"/>
      <c r="B3727" s="285" t="n"/>
      <c r="C3727" s="579" t="n"/>
      <c r="D3727" s="580" t="n"/>
      <c r="E3727" s="581" t="n"/>
      <c r="F3727" s="577" t="n"/>
      <c r="G3727" s="582" t="n"/>
      <c r="H3727" s="583" t="n"/>
      <c r="I3727" s="510" t="n"/>
    </row>
    <row r="3728" ht="19.95" customFormat="1" customHeight="1" s="511">
      <c r="A3728" s="277" t="n"/>
      <c r="B3728" s="285" t="n"/>
      <c r="C3728" s="579" t="n"/>
      <c r="D3728" s="580" t="n"/>
      <c r="E3728" s="581" t="n"/>
      <c r="F3728" s="577" t="n"/>
      <c r="G3728" s="582" t="n"/>
      <c r="H3728" s="583" t="n"/>
      <c r="I3728" s="510" t="n"/>
    </row>
    <row r="3729" ht="19.95" customFormat="1" customHeight="1" s="511">
      <c r="A3729" s="277" t="n"/>
      <c r="B3729" s="285" t="n"/>
      <c r="C3729" s="579" t="n"/>
      <c r="D3729" s="580" t="n"/>
      <c r="E3729" s="581" t="n"/>
      <c r="F3729" s="577" t="n"/>
      <c r="G3729" s="582" t="n"/>
      <c r="H3729" s="583" t="n"/>
      <c r="I3729" s="510" t="n"/>
    </row>
    <row r="3730" ht="19.95" customFormat="1" customHeight="1" s="511">
      <c r="A3730" s="277" t="n"/>
      <c r="B3730" s="285" t="n"/>
      <c r="C3730" s="579" t="n"/>
      <c r="D3730" s="580" t="n"/>
      <c r="E3730" s="581" t="n"/>
      <c r="F3730" s="577" t="n"/>
      <c r="G3730" s="582" t="n"/>
      <c r="H3730" s="583" t="n"/>
      <c r="I3730" s="510" t="n"/>
    </row>
    <row r="3731" ht="19.95" customFormat="1" customHeight="1" s="511">
      <c r="A3731" s="277" t="n"/>
      <c r="B3731" s="285" t="n"/>
      <c r="C3731" s="579" t="n"/>
      <c r="D3731" s="580" t="n"/>
      <c r="E3731" s="581" t="n"/>
      <c r="F3731" s="577" t="n"/>
      <c r="G3731" s="582" t="n"/>
      <c r="H3731" s="583" t="n"/>
      <c r="I3731" s="510" t="n"/>
    </row>
    <row r="3732" ht="19.95" customFormat="1" customHeight="1" s="511">
      <c r="A3732" s="277" t="n"/>
      <c r="B3732" s="285" t="n"/>
      <c r="C3732" s="579" t="n"/>
      <c r="D3732" s="580" t="n"/>
      <c r="E3732" s="581" t="n"/>
      <c r="F3732" s="577" t="n"/>
      <c r="G3732" s="582" t="n"/>
      <c r="H3732" s="583" t="n"/>
      <c r="I3732" s="510" t="n"/>
    </row>
    <row r="3733" ht="19.95" customFormat="1" customHeight="1" s="511">
      <c r="A3733" s="277" t="n"/>
      <c r="B3733" s="285" t="n"/>
      <c r="C3733" s="579" t="n"/>
      <c r="D3733" s="580" t="n"/>
      <c r="E3733" s="581" t="n"/>
      <c r="F3733" s="577" t="n"/>
      <c r="G3733" s="582" t="n"/>
      <c r="H3733" s="583" t="n"/>
      <c r="I3733" s="510" t="n"/>
    </row>
    <row r="3734" ht="19.95" customFormat="1" customHeight="1" s="511">
      <c r="A3734" s="277" t="n"/>
      <c r="B3734" s="285" t="n"/>
      <c r="C3734" s="579" t="n"/>
      <c r="D3734" s="580" t="n"/>
      <c r="E3734" s="581" t="n"/>
      <c r="F3734" s="577" t="n"/>
      <c r="G3734" s="582" t="n"/>
      <c r="H3734" s="583" t="n"/>
      <c r="I3734" s="510" t="n"/>
    </row>
    <row r="3735" ht="19.95" customFormat="1" customHeight="1" s="511">
      <c r="A3735" s="277" t="n"/>
      <c r="B3735" s="285" t="n"/>
      <c r="C3735" s="579" t="n"/>
      <c r="D3735" s="580" t="n"/>
      <c r="E3735" s="581" t="n"/>
      <c r="F3735" s="577" t="n"/>
      <c r="G3735" s="582" t="n"/>
      <c r="H3735" s="583" t="n"/>
      <c r="I3735" s="510" t="n"/>
    </row>
    <row r="3736" ht="19.95" customFormat="1" customHeight="1" s="511">
      <c r="A3736" s="277" t="n"/>
      <c r="B3736" s="285" t="n"/>
      <c r="C3736" s="579" t="n"/>
      <c r="D3736" s="580" t="n"/>
      <c r="E3736" s="581" t="n"/>
      <c r="F3736" s="577" t="n"/>
      <c r="G3736" s="582" t="n"/>
      <c r="H3736" s="583" t="n"/>
      <c r="I3736" s="510" t="n"/>
    </row>
    <row r="3737" ht="19.95" customFormat="1" customHeight="1" s="511">
      <c r="A3737" s="277" t="n"/>
      <c r="B3737" s="285" t="n"/>
      <c r="C3737" s="579" t="n"/>
      <c r="D3737" s="580" t="n"/>
      <c r="E3737" s="581" t="n"/>
      <c r="F3737" s="577" t="n"/>
      <c r="G3737" s="582" t="n"/>
      <c r="H3737" s="583" t="n"/>
      <c r="I3737" s="510" t="n"/>
    </row>
    <row r="3738" ht="19.95" customFormat="1" customHeight="1" s="511">
      <c r="A3738" s="277" t="n"/>
      <c r="B3738" s="285" t="n"/>
      <c r="C3738" s="579" t="n"/>
      <c r="D3738" s="580" t="n"/>
      <c r="E3738" s="581" t="n"/>
      <c r="F3738" s="577" t="n"/>
      <c r="G3738" s="582" t="n"/>
      <c r="H3738" s="583" t="n"/>
      <c r="I3738" s="510" t="n"/>
    </row>
    <row r="3739" ht="19.95" customFormat="1" customHeight="1" s="511">
      <c r="A3739" s="277" t="n"/>
      <c r="B3739" s="285" t="n"/>
      <c r="C3739" s="579" t="n"/>
      <c r="D3739" s="580" t="n"/>
      <c r="E3739" s="581" t="n"/>
      <c r="F3739" s="577" t="n"/>
      <c r="G3739" s="582" t="n"/>
      <c r="H3739" s="583" t="n"/>
      <c r="I3739" s="510" t="n"/>
    </row>
    <row r="3740" ht="19.95" customFormat="1" customHeight="1" s="511">
      <c r="A3740" s="277" t="n"/>
      <c r="B3740" s="285" t="n"/>
      <c r="C3740" s="579" t="n"/>
      <c r="D3740" s="580" t="n"/>
      <c r="E3740" s="581" t="n"/>
      <c r="F3740" s="577" t="n"/>
      <c r="G3740" s="582" t="n"/>
      <c r="H3740" s="583" t="n"/>
      <c r="I3740" s="510" t="n"/>
    </row>
    <row r="3741" ht="19.95" customFormat="1" customHeight="1" s="511">
      <c r="A3741" s="277" t="n"/>
      <c r="B3741" s="285" t="n"/>
      <c r="C3741" s="579" t="n"/>
      <c r="D3741" s="580" t="n"/>
      <c r="E3741" s="581" t="n"/>
      <c r="F3741" s="577" t="n"/>
      <c r="G3741" s="582" t="n"/>
      <c r="H3741" s="583" t="n"/>
      <c r="I3741" s="510" t="n"/>
    </row>
    <row r="3742" ht="19.95" customFormat="1" customHeight="1" s="511">
      <c r="A3742" s="277" t="n"/>
      <c r="B3742" s="285" t="n"/>
      <c r="C3742" s="579" t="n"/>
      <c r="D3742" s="580" t="n"/>
      <c r="E3742" s="581" t="n"/>
      <c r="F3742" s="577" t="n"/>
      <c r="G3742" s="582" t="n"/>
      <c r="H3742" s="583" t="n"/>
      <c r="I3742" s="510" t="n"/>
    </row>
    <row r="3743" ht="19.95" customFormat="1" customHeight="1" s="511">
      <c r="A3743" s="277" t="n"/>
      <c r="B3743" s="285" t="n"/>
      <c r="C3743" s="579" t="n"/>
      <c r="D3743" s="580" t="n"/>
      <c r="E3743" s="581" t="n"/>
      <c r="F3743" s="577" t="n"/>
      <c r="G3743" s="582" t="n"/>
      <c r="H3743" s="583" t="n"/>
      <c r="I3743" s="510" t="n"/>
    </row>
    <row r="3744" ht="19.95" customFormat="1" customHeight="1" s="511">
      <c r="A3744" s="277" t="n"/>
      <c r="B3744" s="285" t="n"/>
      <c r="C3744" s="579" t="n"/>
      <c r="D3744" s="580" t="n"/>
      <c r="E3744" s="581" t="n"/>
      <c r="F3744" s="577" t="n"/>
      <c r="G3744" s="582" t="n"/>
      <c r="H3744" s="583" t="n"/>
      <c r="I3744" s="510" t="n"/>
    </row>
    <row r="3745" ht="19.95" customFormat="1" customHeight="1" s="511">
      <c r="A3745" s="277" t="n"/>
      <c r="B3745" s="285" t="n"/>
      <c r="C3745" s="579" t="n"/>
      <c r="D3745" s="580" t="n"/>
      <c r="E3745" s="581" t="n"/>
      <c r="F3745" s="577" t="n"/>
      <c r="G3745" s="582" t="n"/>
      <c r="H3745" s="583" t="n"/>
      <c r="I3745" s="510" t="n"/>
    </row>
    <row r="3746" ht="19.95" customFormat="1" customHeight="1" s="511">
      <c r="A3746" s="277" t="n"/>
      <c r="B3746" s="285" t="n"/>
      <c r="C3746" s="579" t="n"/>
      <c r="D3746" s="580" t="n"/>
      <c r="E3746" s="581" t="n"/>
      <c r="F3746" s="577" t="n"/>
      <c r="G3746" s="582" t="n"/>
      <c r="H3746" s="583" t="n"/>
      <c r="I3746" s="510" t="n"/>
    </row>
    <row r="3747" ht="19.95" customFormat="1" customHeight="1" s="511">
      <c r="A3747" s="277" t="n"/>
      <c r="B3747" s="285" t="n"/>
      <c r="C3747" s="579" t="n"/>
      <c r="D3747" s="580" t="n"/>
      <c r="E3747" s="581" t="n"/>
      <c r="F3747" s="577" t="n"/>
      <c r="G3747" s="582" t="n"/>
      <c r="H3747" s="583" t="n"/>
      <c r="I3747" s="510" t="n"/>
    </row>
    <row r="3748" ht="19.95" customFormat="1" customHeight="1" s="511">
      <c r="A3748" s="277" t="n"/>
      <c r="B3748" s="285" t="n"/>
      <c r="C3748" s="579" t="n"/>
      <c r="D3748" s="580" t="n"/>
      <c r="E3748" s="581" t="n"/>
      <c r="F3748" s="577" t="n"/>
      <c r="G3748" s="582" t="n"/>
      <c r="H3748" s="583" t="n"/>
      <c r="I3748" s="510" t="n"/>
    </row>
    <row r="3749" ht="19.95" customFormat="1" customHeight="1" s="511">
      <c r="A3749" s="277" t="n"/>
      <c r="B3749" s="285" t="n"/>
      <c r="C3749" s="579" t="n"/>
      <c r="D3749" s="580" t="n"/>
      <c r="E3749" s="581" t="n"/>
      <c r="F3749" s="577" t="n"/>
      <c r="G3749" s="582" t="n"/>
      <c r="H3749" s="583" t="n"/>
      <c r="I3749" s="510" t="n"/>
    </row>
    <row r="3750" ht="19.95" customFormat="1" customHeight="1" s="511">
      <c r="A3750" s="277" t="n"/>
      <c r="B3750" s="285" t="n"/>
      <c r="C3750" s="579" t="n"/>
      <c r="D3750" s="580" t="n"/>
      <c r="E3750" s="581" t="n"/>
      <c r="F3750" s="577" t="n"/>
      <c r="G3750" s="582" t="n"/>
      <c r="H3750" s="583" t="n"/>
      <c r="I3750" s="510" t="n"/>
    </row>
    <row r="3751" ht="19.95" customFormat="1" customHeight="1" s="511">
      <c r="A3751" s="277" t="n"/>
      <c r="B3751" s="285" t="n"/>
      <c r="C3751" s="579" t="n"/>
      <c r="D3751" s="580" t="n"/>
      <c r="E3751" s="581" t="n"/>
      <c r="F3751" s="577" t="n"/>
      <c r="G3751" s="582" t="n"/>
      <c r="H3751" s="583" t="n"/>
      <c r="I3751" s="510" t="n"/>
    </row>
    <row r="3752" ht="19.95" customFormat="1" customHeight="1" s="511">
      <c r="A3752" s="277" t="n"/>
      <c r="B3752" s="285" t="n"/>
      <c r="C3752" s="579" t="n"/>
      <c r="D3752" s="580" t="n"/>
      <c r="E3752" s="581" t="n"/>
      <c r="F3752" s="577" t="n"/>
      <c r="G3752" s="582" t="n"/>
      <c r="H3752" s="583" t="n"/>
      <c r="I3752" s="510" t="n"/>
    </row>
    <row r="3753" ht="19.95" customFormat="1" customHeight="1" s="511">
      <c r="A3753" s="277" t="n"/>
      <c r="B3753" s="285" t="n"/>
      <c r="C3753" s="579" t="n"/>
      <c r="D3753" s="580" t="n"/>
      <c r="E3753" s="581" t="n"/>
      <c r="F3753" s="577" t="n"/>
      <c r="G3753" s="582" t="n"/>
      <c r="H3753" s="583" t="n"/>
      <c r="I3753" s="510" t="n"/>
    </row>
    <row r="3754" ht="19.95" customFormat="1" customHeight="1" s="511">
      <c r="A3754" s="277" t="n"/>
      <c r="B3754" s="285" t="n"/>
      <c r="C3754" s="579" t="n"/>
      <c r="D3754" s="580" t="n"/>
      <c r="E3754" s="581" t="n"/>
      <c r="F3754" s="577" t="n"/>
      <c r="G3754" s="582" t="n"/>
      <c r="H3754" s="583" t="n"/>
      <c r="I3754" s="510" t="n"/>
    </row>
    <row r="3755" ht="19.95" customFormat="1" customHeight="1" s="511">
      <c r="A3755" s="277" t="n"/>
      <c r="B3755" s="285" t="n"/>
      <c r="C3755" s="579" t="n"/>
      <c r="D3755" s="580" t="n"/>
      <c r="E3755" s="581" t="n"/>
      <c r="F3755" s="577" t="n"/>
      <c r="G3755" s="582" t="n"/>
      <c r="H3755" s="583" t="n"/>
      <c r="I3755" s="510" t="n"/>
    </row>
    <row r="3756" ht="19.95" customFormat="1" customHeight="1" s="511">
      <c r="A3756" s="277" t="n"/>
      <c r="B3756" s="285" t="n"/>
      <c r="C3756" s="579" t="n"/>
      <c r="D3756" s="580" t="n"/>
      <c r="E3756" s="581" t="n"/>
      <c r="F3756" s="577" t="n"/>
      <c r="G3756" s="582" t="n"/>
      <c r="H3756" s="583" t="n"/>
      <c r="I3756" s="510" t="n"/>
    </row>
    <row r="3757" ht="19.95" customFormat="1" customHeight="1" s="511">
      <c r="A3757" s="277" t="n"/>
      <c r="B3757" s="285" t="n"/>
      <c r="C3757" s="579" t="n"/>
      <c r="D3757" s="580" t="n"/>
      <c r="E3757" s="581" t="n"/>
      <c r="F3757" s="577" t="n"/>
      <c r="G3757" s="582" t="n"/>
      <c r="H3757" s="583" t="n"/>
      <c r="I3757" s="510" t="n"/>
    </row>
    <row r="3758" ht="19.95" customFormat="1" customHeight="1" s="511">
      <c r="A3758" s="277" t="n"/>
      <c r="B3758" s="285" t="n"/>
      <c r="C3758" s="579" t="n"/>
      <c r="D3758" s="580" t="n"/>
      <c r="E3758" s="581" t="n"/>
      <c r="F3758" s="577" t="n"/>
      <c r="G3758" s="582" t="n"/>
      <c r="H3758" s="583" t="n"/>
      <c r="I3758" s="510" t="n"/>
    </row>
    <row r="3759" ht="19.95" customFormat="1" customHeight="1" s="511">
      <c r="A3759" s="277" t="n"/>
      <c r="B3759" s="285" t="n"/>
      <c r="C3759" s="579" t="n"/>
      <c r="D3759" s="580" t="n"/>
      <c r="E3759" s="581" t="n"/>
      <c r="F3759" s="577" t="n"/>
      <c r="G3759" s="582" t="n"/>
      <c r="H3759" s="583" t="n"/>
      <c r="I3759" s="510" t="n"/>
    </row>
    <row r="3760" ht="19.95" customFormat="1" customHeight="1" s="511">
      <c r="A3760" s="277" t="n"/>
      <c r="B3760" s="285" t="n"/>
      <c r="C3760" s="579" t="n"/>
      <c r="D3760" s="580" t="n"/>
      <c r="E3760" s="581" t="n"/>
      <c r="F3760" s="577" t="n"/>
      <c r="G3760" s="582" t="n"/>
      <c r="H3760" s="583" t="n"/>
      <c r="I3760" s="510" t="n"/>
    </row>
    <row r="3761" ht="19.95" customFormat="1" customHeight="1" s="511">
      <c r="A3761" s="277" t="n"/>
      <c r="B3761" s="285" t="n"/>
      <c r="C3761" s="579" t="n"/>
      <c r="D3761" s="580" t="n"/>
      <c r="E3761" s="581" t="n"/>
      <c r="F3761" s="577" t="n"/>
      <c r="G3761" s="582" t="n"/>
      <c r="H3761" s="583" t="n"/>
      <c r="I3761" s="510" t="n"/>
    </row>
    <row r="3762" ht="19.95" customFormat="1" customHeight="1" s="511">
      <c r="A3762" s="277" t="n"/>
      <c r="B3762" s="285" t="n"/>
      <c r="C3762" s="579" t="n"/>
      <c r="D3762" s="580" t="n"/>
      <c r="E3762" s="581" t="n"/>
      <c r="F3762" s="577" t="n"/>
      <c r="G3762" s="582" t="n"/>
      <c r="H3762" s="583" t="n"/>
      <c r="I3762" s="510" t="n"/>
    </row>
    <row r="3763" ht="19.95" customFormat="1" customHeight="1" s="511">
      <c r="A3763" s="277" t="n"/>
      <c r="B3763" s="285" t="n"/>
      <c r="C3763" s="579" t="n"/>
      <c r="D3763" s="580" t="n"/>
      <c r="E3763" s="581" t="n"/>
      <c r="F3763" s="577" t="n"/>
      <c r="G3763" s="582" t="n"/>
      <c r="H3763" s="583" t="n"/>
      <c r="I3763" s="510" t="n"/>
    </row>
    <row r="3764" ht="19.95" customFormat="1" customHeight="1" s="511">
      <c r="A3764" s="277" t="n"/>
      <c r="B3764" s="285" t="n"/>
      <c r="C3764" s="579" t="n"/>
      <c r="D3764" s="580" t="n"/>
      <c r="E3764" s="581" t="n"/>
      <c r="F3764" s="577" t="n"/>
      <c r="G3764" s="582" t="n"/>
      <c r="H3764" s="583" t="n"/>
      <c r="I3764" s="510" t="n"/>
    </row>
    <row r="3765" ht="19.95" customFormat="1" customHeight="1" s="511">
      <c r="A3765" s="277" t="n"/>
      <c r="B3765" s="285" t="n"/>
      <c r="C3765" s="579" t="n"/>
      <c r="D3765" s="580" t="n"/>
      <c r="E3765" s="581" t="n"/>
      <c r="F3765" s="577" t="n"/>
      <c r="G3765" s="582" t="n"/>
      <c r="H3765" s="583" t="n"/>
      <c r="I3765" s="510" t="n"/>
    </row>
    <row r="3766" ht="19.95" customFormat="1" customHeight="1" s="511">
      <c r="A3766" s="277" t="n"/>
      <c r="B3766" s="285" t="n"/>
      <c r="C3766" s="579" t="n"/>
      <c r="D3766" s="580" t="n"/>
      <c r="E3766" s="581" t="n"/>
      <c r="F3766" s="577" t="n"/>
      <c r="G3766" s="582" t="n"/>
      <c r="H3766" s="583" t="n"/>
      <c r="I3766" s="510" t="n"/>
    </row>
    <row r="3767" ht="19.95" customFormat="1" customHeight="1" s="511">
      <c r="A3767" s="277" t="n"/>
      <c r="B3767" s="285" t="n"/>
      <c r="C3767" s="579" t="n"/>
      <c r="D3767" s="580" t="n"/>
      <c r="E3767" s="581" t="n"/>
      <c r="F3767" s="577" t="n"/>
      <c r="G3767" s="582" t="n"/>
      <c r="H3767" s="583" t="n"/>
      <c r="I3767" s="510" t="n"/>
    </row>
    <row r="3768" ht="19.95" customFormat="1" customHeight="1" s="511">
      <c r="A3768" s="277" t="n"/>
      <c r="B3768" s="285" t="n"/>
      <c r="C3768" s="579" t="n"/>
      <c r="D3768" s="580" t="n"/>
      <c r="E3768" s="581" t="n"/>
      <c r="F3768" s="577" t="n"/>
      <c r="G3768" s="582" t="n"/>
      <c r="H3768" s="583" t="n"/>
      <c r="I3768" s="510" t="n"/>
    </row>
    <row r="3769" ht="19.95" customFormat="1" customHeight="1" s="511">
      <c r="A3769" s="277" t="n"/>
      <c r="B3769" s="285" t="n"/>
      <c r="C3769" s="579" t="n"/>
      <c r="D3769" s="580" t="n"/>
      <c r="E3769" s="581" t="n"/>
      <c r="F3769" s="577" t="n"/>
      <c r="G3769" s="582" t="n"/>
      <c r="H3769" s="583" t="n"/>
      <c r="I3769" s="510" t="n"/>
    </row>
    <row r="3770" ht="19.95" customFormat="1" customHeight="1" s="511">
      <c r="A3770" s="277" t="n"/>
      <c r="B3770" s="285" t="n"/>
      <c r="C3770" s="579" t="n"/>
      <c r="D3770" s="580" t="n"/>
      <c r="E3770" s="581" t="n"/>
      <c r="F3770" s="577" t="n"/>
      <c r="G3770" s="582" t="n"/>
      <c r="H3770" s="583" t="n"/>
      <c r="I3770" s="510" t="n"/>
    </row>
    <row r="3771" ht="19.95" customFormat="1" customHeight="1" s="511">
      <c r="A3771" s="277" t="n"/>
      <c r="B3771" s="285" t="n"/>
      <c r="C3771" s="579" t="n"/>
      <c r="D3771" s="580" t="n"/>
      <c r="E3771" s="581" t="n"/>
      <c r="F3771" s="577" t="n"/>
      <c r="G3771" s="582" t="n"/>
      <c r="H3771" s="583" t="n"/>
      <c r="I3771" s="510" t="n"/>
    </row>
    <row r="3772" ht="19.95" customFormat="1" customHeight="1" s="511">
      <c r="A3772" s="277" t="n"/>
      <c r="B3772" s="285" t="n"/>
      <c r="C3772" s="579" t="n"/>
      <c r="D3772" s="580" t="n"/>
      <c r="E3772" s="581" t="n"/>
      <c r="F3772" s="577" t="n"/>
      <c r="G3772" s="582" t="n"/>
      <c r="H3772" s="583" t="n"/>
      <c r="I3772" s="510" t="n"/>
    </row>
    <row r="3773" ht="19.95" customFormat="1" customHeight="1" s="511">
      <c r="A3773" s="277" t="n"/>
      <c r="B3773" s="285" t="n"/>
      <c r="C3773" s="579" t="n"/>
      <c r="D3773" s="580" t="n"/>
      <c r="E3773" s="581" t="n"/>
      <c r="F3773" s="577" t="n"/>
      <c r="G3773" s="582" t="n"/>
      <c r="H3773" s="583" t="n"/>
      <c r="I3773" s="510" t="n"/>
    </row>
    <row r="3774" ht="19.95" customFormat="1" customHeight="1" s="511">
      <c r="A3774" s="277" t="n"/>
      <c r="B3774" s="285" t="n"/>
      <c r="C3774" s="579" t="n"/>
      <c r="D3774" s="580" t="n"/>
      <c r="E3774" s="581" t="n"/>
      <c r="F3774" s="577" t="n"/>
      <c r="G3774" s="582" t="n"/>
      <c r="H3774" s="583" t="n"/>
      <c r="I3774" s="510" t="n"/>
    </row>
    <row r="3775" ht="19.95" customFormat="1" customHeight="1" s="511">
      <c r="A3775" s="277" t="n"/>
      <c r="B3775" s="285" t="n"/>
      <c r="C3775" s="579" t="n"/>
      <c r="D3775" s="580" t="n"/>
      <c r="E3775" s="581" t="n"/>
      <c r="F3775" s="577" t="n"/>
      <c r="G3775" s="582" t="n"/>
      <c r="H3775" s="583" t="n"/>
      <c r="I3775" s="510" t="n"/>
    </row>
    <row r="3776" ht="19.95" customFormat="1" customHeight="1" s="511">
      <c r="A3776" s="277" t="n"/>
      <c r="B3776" s="285" t="n"/>
      <c r="C3776" s="579" t="n"/>
      <c r="D3776" s="580" t="n"/>
      <c r="E3776" s="581" t="n"/>
      <c r="F3776" s="577" t="n"/>
      <c r="G3776" s="582" t="n"/>
      <c r="H3776" s="583" t="n"/>
      <c r="I3776" s="510" t="n"/>
    </row>
    <row r="3777" ht="19.95" customFormat="1" customHeight="1" s="511">
      <c r="A3777" s="277" t="n"/>
      <c r="B3777" s="285" t="n"/>
      <c r="C3777" s="579" t="n"/>
      <c r="D3777" s="580" t="n"/>
      <c r="E3777" s="581" t="n"/>
      <c r="F3777" s="577" t="n"/>
      <c r="G3777" s="582" t="n"/>
      <c r="H3777" s="583" t="n"/>
      <c r="I3777" s="510" t="n"/>
    </row>
    <row r="3778" ht="19.95" customFormat="1" customHeight="1" s="511">
      <c r="A3778" s="277" t="n"/>
      <c r="B3778" s="285" t="n"/>
      <c r="C3778" s="579" t="n"/>
      <c r="D3778" s="580" t="n"/>
      <c r="E3778" s="581" t="n"/>
      <c r="F3778" s="577" t="n"/>
      <c r="G3778" s="582" t="n"/>
      <c r="H3778" s="583" t="n"/>
      <c r="I3778" s="510" t="n"/>
    </row>
    <row r="3779" ht="19.95" customFormat="1" customHeight="1" s="511">
      <c r="A3779" s="277" t="n"/>
      <c r="B3779" s="285" t="n"/>
      <c r="C3779" s="579" t="n"/>
      <c r="D3779" s="580" t="n"/>
      <c r="E3779" s="581" t="n"/>
      <c r="F3779" s="577" t="n"/>
      <c r="G3779" s="582" t="n"/>
      <c r="H3779" s="583" t="n"/>
      <c r="I3779" s="510" t="n"/>
    </row>
    <row r="3780" ht="19.95" customFormat="1" customHeight="1" s="511">
      <c r="A3780" s="277" t="n"/>
      <c r="B3780" s="285" t="n"/>
      <c r="C3780" s="579" t="n"/>
      <c r="D3780" s="580" t="n"/>
      <c r="E3780" s="581" t="n"/>
      <c r="F3780" s="577" t="n"/>
      <c r="G3780" s="582" t="n"/>
      <c r="H3780" s="583" t="n"/>
      <c r="I3780" s="510" t="n"/>
    </row>
    <row r="3781" ht="19.95" customFormat="1" customHeight="1" s="511">
      <c r="A3781" s="277" t="n"/>
      <c r="B3781" s="285" t="n"/>
      <c r="C3781" s="579" t="n"/>
      <c r="D3781" s="580" t="n"/>
      <c r="E3781" s="581" t="n"/>
      <c r="F3781" s="577" t="n"/>
      <c r="G3781" s="582" t="n"/>
      <c r="H3781" s="583" t="n"/>
      <c r="I3781" s="510" t="n"/>
    </row>
    <row r="3782" ht="19.95" customFormat="1" customHeight="1" s="511">
      <c r="A3782" s="277" t="n"/>
      <c r="B3782" s="285" t="n"/>
      <c r="C3782" s="579" t="n"/>
      <c r="D3782" s="580" t="n"/>
      <c r="E3782" s="581" t="n"/>
      <c r="F3782" s="577" t="n"/>
      <c r="G3782" s="582" t="n"/>
      <c r="H3782" s="583" t="n"/>
      <c r="I3782" s="510" t="n"/>
    </row>
    <row r="3783" ht="19.95" customFormat="1" customHeight="1" s="511">
      <c r="A3783" s="277" t="n"/>
      <c r="B3783" s="285" t="n"/>
      <c r="C3783" s="579" t="n"/>
      <c r="D3783" s="580" t="n"/>
      <c r="E3783" s="581" t="n"/>
      <c r="F3783" s="577" t="n"/>
      <c r="G3783" s="582" t="n"/>
      <c r="H3783" s="583" t="n"/>
      <c r="I3783" s="510" t="n"/>
    </row>
    <row r="3784" ht="19.95" customFormat="1" customHeight="1" s="511">
      <c r="A3784" s="277" t="n"/>
      <c r="B3784" s="285" t="n"/>
      <c r="C3784" s="579" t="n"/>
      <c r="D3784" s="580" t="n"/>
      <c r="E3784" s="581" t="n"/>
      <c r="F3784" s="577" t="n"/>
      <c r="G3784" s="582" t="n"/>
      <c r="H3784" s="583" t="n"/>
      <c r="I3784" s="510" t="n"/>
    </row>
    <row r="3785" ht="19.95" customFormat="1" customHeight="1" s="511">
      <c r="A3785" s="277" t="n"/>
      <c r="B3785" s="285" t="n"/>
      <c r="C3785" s="579" t="n"/>
      <c r="D3785" s="580" t="n"/>
      <c r="E3785" s="581" t="n"/>
      <c r="F3785" s="577" t="n"/>
      <c r="G3785" s="582" t="n"/>
      <c r="H3785" s="583" t="n"/>
      <c r="I3785" s="510" t="n"/>
    </row>
    <row r="3786" ht="19.95" customFormat="1" customHeight="1" s="511">
      <c r="A3786" s="277" t="n"/>
      <c r="B3786" s="285" t="n"/>
      <c r="C3786" s="579" t="n"/>
      <c r="D3786" s="580" t="n"/>
      <c r="E3786" s="581" t="n"/>
      <c r="F3786" s="577" t="n"/>
      <c r="G3786" s="582" t="n"/>
      <c r="H3786" s="583" t="n"/>
      <c r="I3786" s="510" t="n"/>
    </row>
    <row r="3787" ht="19.95" customFormat="1" customHeight="1" s="511">
      <c r="A3787" s="277" t="n"/>
      <c r="B3787" s="285" t="n"/>
      <c r="C3787" s="579" t="n"/>
      <c r="D3787" s="580" t="n"/>
      <c r="E3787" s="581" t="n"/>
      <c r="F3787" s="577" t="n"/>
      <c r="G3787" s="582" t="n"/>
      <c r="H3787" s="583" t="n"/>
      <c r="I3787" s="510" t="n"/>
    </row>
    <row r="3788" ht="19.95" customFormat="1" customHeight="1" s="511">
      <c r="A3788" s="277" t="n"/>
      <c r="B3788" s="285" t="n"/>
      <c r="C3788" s="579" t="n"/>
      <c r="D3788" s="580" t="n"/>
      <c r="E3788" s="581" t="n"/>
      <c r="F3788" s="577" t="n"/>
      <c r="G3788" s="582" t="n"/>
      <c r="H3788" s="583" t="n"/>
      <c r="I3788" s="510" t="n"/>
    </row>
    <row r="3789" ht="19.95" customFormat="1" customHeight="1" s="511">
      <c r="A3789" s="277" t="n"/>
      <c r="B3789" s="285" t="n"/>
      <c r="C3789" s="579" t="n"/>
      <c r="D3789" s="580" t="n"/>
      <c r="E3789" s="581" t="n"/>
      <c r="F3789" s="577" t="n"/>
      <c r="G3789" s="582" t="n"/>
      <c r="H3789" s="583" t="n"/>
      <c r="I3789" s="510" t="n"/>
    </row>
    <row r="3790" ht="19.95" customFormat="1" customHeight="1" s="511">
      <c r="A3790" s="277" t="n"/>
      <c r="B3790" s="285" t="n"/>
      <c r="C3790" s="579" t="n"/>
      <c r="D3790" s="580" t="n"/>
      <c r="E3790" s="581" t="n"/>
      <c r="F3790" s="577" t="n"/>
      <c r="G3790" s="582" t="n"/>
      <c r="H3790" s="583" t="n"/>
      <c r="I3790" s="510" t="n"/>
    </row>
    <row r="3791" ht="19.95" customFormat="1" customHeight="1" s="511">
      <c r="A3791" s="277" t="n"/>
      <c r="B3791" s="285" t="n"/>
      <c r="C3791" s="579" t="n"/>
      <c r="D3791" s="580" t="n"/>
      <c r="E3791" s="581" t="n"/>
      <c r="F3791" s="577" t="n"/>
      <c r="G3791" s="582" t="n"/>
      <c r="H3791" s="583" t="n"/>
      <c r="I3791" s="510" t="n"/>
    </row>
    <row r="3792" ht="19.95" customFormat="1" customHeight="1" s="511">
      <c r="A3792" s="277" t="n"/>
      <c r="B3792" s="285" t="n"/>
      <c r="C3792" s="579" t="n"/>
      <c r="D3792" s="580" t="n"/>
      <c r="E3792" s="581" t="n"/>
      <c r="F3792" s="577" t="n"/>
      <c r="G3792" s="582" t="n"/>
      <c r="H3792" s="583" t="n"/>
      <c r="I3792" s="510" t="n"/>
    </row>
    <row r="3793" ht="19.95" customFormat="1" customHeight="1" s="511">
      <c r="A3793" s="277" t="n"/>
      <c r="B3793" s="285" t="n"/>
      <c r="C3793" s="579" t="n"/>
      <c r="D3793" s="580" t="n"/>
      <c r="E3793" s="581" t="n"/>
      <c r="F3793" s="577" t="n"/>
      <c r="G3793" s="582" t="n"/>
      <c r="H3793" s="583" t="n"/>
      <c r="I3793" s="510" t="n"/>
    </row>
    <row r="3794" ht="19.95" customFormat="1" customHeight="1" s="511">
      <c r="A3794" s="277" t="n"/>
      <c r="B3794" s="285" t="n"/>
      <c r="C3794" s="579" t="n"/>
      <c r="D3794" s="580" t="n"/>
      <c r="E3794" s="581" t="n"/>
      <c r="F3794" s="577" t="n"/>
      <c r="G3794" s="582" t="n"/>
      <c r="H3794" s="583" t="n"/>
      <c r="I3794" s="510" t="n"/>
    </row>
    <row r="3795" ht="19.95" customFormat="1" customHeight="1" s="511">
      <c r="A3795" s="277" t="n"/>
      <c r="B3795" s="285" t="n"/>
      <c r="C3795" s="579" t="n"/>
      <c r="D3795" s="580" t="n"/>
      <c r="E3795" s="581" t="n"/>
      <c r="F3795" s="577" t="n"/>
      <c r="G3795" s="582" t="n"/>
      <c r="H3795" s="583" t="n"/>
      <c r="I3795" s="510" t="n"/>
    </row>
    <row r="3796" ht="19.95" customFormat="1" customHeight="1" s="511">
      <c r="A3796" s="277" t="n"/>
      <c r="B3796" s="285" t="n"/>
      <c r="C3796" s="579" t="n"/>
      <c r="D3796" s="580" t="n"/>
      <c r="E3796" s="581" t="n"/>
      <c r="F3796" s="577" t="n"/>
      <c r="G3796" s="582" t="n"/>
      <c r="H3796" s="583" t="n"/>
      <c r="I3796" s="510" t="n"/>
    </row>
    <row r="3797" ht="19.95" customFormat="1" customHeight="1" s="511">
      <c r="A3797" s="277" t="n"/>
      <c r="B3797" s="285" t="n"/>
      <c r="C3797" s="579" t="n"/>
      <c r="D3797" s="580" t="n"/>
      <c r="E3797" s="581" t="n"/>
      <c r="F3797" s="577" t="n"/>
      <c r="G3797" s="582" t="n"/>
      <c r="H3797" s="583" t="n"/>
      <c r="I3797" s="510" t="n"/>
    </row>
    <row r="3798" ht="19.95" customFormat="1" customHeight="1" s="511">
      <c r="A3798" s="277" t="n"/>
      <c r="B3798" s="285" t="n"/>
      <c r="C3798" s="579" t="n"/>
      <c r="D3798" s="580" t="n"/>
      <c r="E3798" s="581" t="n"/>
      <c r="F3798" s="577" t="n"/>
      <c r="G3798" s="582" t="n"/>
      <c r="H3798" s="583" t="n"/>
      <c r="I3798" s="510" t="n"/>
    </row>
    <row r="3799" ht="19.95" customFormat="1" customHeight="1" s="511">
      <c r="A3799" s="277" t="n"/>
      <c r="B3799" s="285" t="n"/>
      <c r="C3799" s="579" t="n"/>
      <c r="D3799" s="580" t="n"/>
      <c r="E3799" s="581" t="n"/>
      <c r="F3799" s="577" t="n"/>
      <c r="G3799" s="582" t="n"/>
      <c r="H3799" s="583" t="n"/>
      <c r="I3799" s="510" t="n"/>
    </row>
    <row r="3800" ht="19.95" customFormat="1" customHeight="1" s="511">
      <c r="A3800" s="277" t="n"/>
      <c r="B3800" s="285" t="n"/>
      <c r="C3800" s="579" t="n"/>
      <c r="D3800" s="580" t="n"/>
      <c r="E3800" s="581" t="n"/>
      <c r="F3800" s="577" t="n"/>
      <c r="G3800" s="582" t="n"/>
      <c r="H3800" s="583" t="n"/>
      <c r="I3800" s="510" t="n"/>
    </row>
    <row r="3801" ht="19.95" customFormat="1" customHeight="1" s="511">
      <c r="A3801" s="277" t="n"/>
      <c r="B3801" s="285" t="n"/>
      <c r="C3801" s="579" t="n"/>
      <c r="D3801" s="580" t="n"/>
      <c r="E3801" s="581" t="n"/>
      <c r="F3801" s="577" t="n"/>
      <c r="G3801" s="582" t="n"/>
      <c r="H3801" s="583" t="n"/>
      <c r="I3801" s="510" t="n"/>
    </row>
    <row r="3802" ht="19.95" customFormat="1" customHeight="1" s="511">
      <c r="A3802" s="277" t="n"/>
      <c r="B3802" s="285" t="n"/>
      <c r="C3802" s="579" t="n"/>
      <c r="D3802" s="580" t="n"/>
      <c r="E3802" s="581" t="n"/>
      <c r="F3802" s="577" t="n"/>
      <c r="G3802" s="582" t="n"/>
      <c r="H3802" s="583" t="n"/>
      <c r="I3802" s="510" t="n"/>
    </row>
    <row r="3803" ht="19.95" customFormat="1" customHeight="1" s="511">
      <c r="A3803" s="277" t="n"/>
      <c r="B3803" s="285" t="n"/>
      <c r="C3803" s="579" t="n"/>
      <c r="D3803" s="580" t="n"/>
      <c r="E3803" s="581" t="n"/>
      <c r="F3803" s="577" t="n"/>
      <c r="G3803" s="582" t="n"/>
      <c r="H3803" s="583" t="n"/>
      <c r="I3803" s="510" t="n"/>
    </row>
    <row r="3804" ht="19.95" customFormat="1" customHeight="1" s="511">
      <c r="A3804" s="277" t="n"/>
      <c r="B3804" s="285" t="n"/>
      <c r="C3804" s="579" t="n"/>
      <c r="D3804" s="580" t="n"/>
      <c r="E3804" s="581" t="n"/>
      <c r="F3804" s="577" t="n"/>
      <c r="G3804" s="582" t="n"/>
      <c r="H3804" s="583" t="n"/>
      <c r="I3804" s="510" t="n"/>
    </row>
    <row r="3805" ht="19.95" customFormat="1" customHeight="1" s="511">
      <c r="A3805" s="277" t="n"/>
      <c r="B3805" s="285" t="n"/>
      <c r="C3805" s="579" t="n"/>
      <c r="D3805" s="580" t="n"/>
      <c r="E3805" s="581" t="n"/>
      <c r="F3805" s="577" t="n"/>
      <c r="G3805" s="582" t="n"/>
      <c r="H3805" s="583" t="n"/>
      <c r="I3805" s="510" t="n"/>
    </row>
    <row r="3806" ht="19.95" customFormat="1" customHeight="1" s="511">
      <c r="A3806" s="277" t="n"/>
      <c r="B3806" s="285" t="n"/>
      <c r="C3806" s="579" t="n"/>
      <c r="D3806" s="580" t="n"/>
      <c r="E3806" s="581" t="n"/>
      <c r="F3806" s="577" t="n"/>
      <c r="G3806" s="582" t="n"/>
      <c r="H3806" s="583" t="n"/>
      <c r="I3806" s="510" t="n"/>
    </row>
    <row r="3807" ht="19.95" customFormat="1" customHeight="1" s="511">
      <c r="A3807" s="277" t="n"/>
      <c r="B3807" s="285" t="n"/>
      <c r="C3807" s="579" t="n"/>
      <c r="D3807" s="580" t="n"/>
      <c r="E3807" s="581" t="n"/>
      <c r="F3807" s="577" t="n"/>
      <c r="G3807" s="582" t="n"/>
      <c r="H3807" s="583" t="n"/>
      <c r="I3807" s="510" t="n"/>
    </row>
    <row r="3808" ht="19.95" customFormat="1" customHeight="1" s="511">
      <c r="A3808" s="277" t="n"/>
      <c r="B3808" s="285" t="n"/>
      <c r="C3808" s="579" t="n"/>
      <c r="D3808" s="580" t="n"/>
      <c r="E3808" s="581" t="n"/>
      <c r="F3808" s="577" t="n"/>
      <c r="G3808" s="582" t="n"/>
      <c r="H3808" s="583" t="n"/>
      <c r="I3808" s="510" t="n"/>
    </row>
    <row r="3809" ht="19.95" customFormat="1" customHeight="1" s="511">
      <c r="A3809" s="277" t="n"/>
      <c r="B3809" s="285" t="n"/>
      <c r="C3809" s="579" t="n"/>
      <c r="D3809" s="580" t="n"/>
      <c r="E3809" s="581" t="n"/>
      <c r="F3809" s="577" t="n"/>
      <c r="G3809" s="582" t="n"/>
      <c r="H3809" s="583" t="n"/>
      <c r="I3809" s="510" t="n"/>
    </row>
    <row r="3810" ht="19.95" customFormat="1" customHeight="1" s="511">
      <c r="A3810" s="277" t="n"/>
      <c r="B3810" s="285" t="n"/>
      <c r="C3810" s="579" t="n"/>
      <c r="D3810" s="580" t="n"/>
      <c r="E3810" s="581" t="n"/>
      <c r="F3810" s="577" t="n"/>
      <c r="G3810" s="582" t="n"/>
      <c r="H3810" s="583" t="n"/>
      <c r="I3810" s="510" t="n"/>
    </row>
    <row r="3811" ht="19.95" customFormat="1" customHeight="1" s="511">
      <c r="A3811" s="277" t="n"/>
      <c r="B3811" s="285" t="n"/>
      <c r="C3811" s="579" t="n"/>
      <c r="D3811" s="580" t="n"/>
      <c r="E3811" s="581" t="n"/>
      <c r="F3811" s="577" t="n"/>
      <c r="G3811" s="582" t="n"/>
      <c r="H3811" s="583" t="n"/>
      <c r="I3811" s="510" t="n"/>
    </row>
    <row r="3812" ht="19.95" customFormat="1" customHeight="1" s="511">
      <c r="A3812" s="277" t="n"/>
      <c r="B3812" s="285" t="n"/>
      <c r="C3812" s="579" t="n"/>
      <c r="D3812" s="580" t="n"/>
      <c r="E3812" s="581" t="n"/>
      <c r="F3812" s="577" t="n"/>
      <c r="G3812" s="582" t="n"/>
      <c r="H3812" s="583" t="n"/>
      <c r="I3812" s="510" t="n"/>
    </row>
    <row r="3813" ht="19.95" customFormat="1" customHeight="1" s="511">
      <c r="A3813" s="277" t="n"/>
      <c r="B3813" s="285" t="n"/>
      <c r="C3813" s="579" t="n"/>
      <c r="D3813" s="580" t="n"/>
      <c r="E3813" s="581" t="n"/>
      <c r="F3813" s="577" t="n"/>
      <c r="G3813" s="582" t="n"/>
      <c r="H3813" s="583" t="n"/>
      <c r="I3813" s="510" t="n"/>
    </row>
    <row r="3814" ht="19.95" customFormat="1" customHeight="1" s="511">
      <c r="A3814" s="277" t="n"/>
      <c r="B3814" s="285" t="n"/>
      <c r="C3814" s="579" t="n"/>
      <c r="D3814" s="580" t="n"/>
      <c r="E3814" s="581" t="n"/>
      <c r="F3814" s="577" t="n"/>
      <c r="G3814" s="582" t="n"/>
      <c r="H3814" s="583" t="n"/>
      <c r="I3814" s="510" t="n"/>
    </row>
    <row r="3815" ht="19.95" customFormat="1" customHeight="1" s="511">
      <c r="A3815" s="277" t="n"/>
      <c r="B3815" s="285" t="n"/>
      <c r="C3815" s="579" t="n"/>
      <c r="D3815" s="580" t="n"/>
      <c r="E3815" s="581" t="n"/>
      <c r="F3815" s="577" t="n"/>
      <c r="G3815" s="582" t="n"/>
      <c r="H3815" s="583" t="n"/>
      <c r="I3815" s="510" t="n"/>
    </row>
    <row r="3816" ht="19.95" customFormat="1" customHeight="1" s="511">
      <c r="A3816" s="277" t="n"/>
      <c r="B3816" s="285" t="n"/>
      <c r="C3816" s="579" t="n"/>
      <c r="D3816" s="580" t="n"/>
      <c r="E3816" s="581" t="n"/>
      <c r="F3816" s="577" t="n"/>
      <c r="G3816" s="582" t="n"/>
      <c r="H3816" s="583" t="n"/>
      <c r="I3816" s="510" t="n"/>
    </row>
    <row r="3817" ht="19.95" customFormat="1" customHeight="1" s="511">
      <c r="A3817" s="277" t="n"/>
      <c r="B3817" s="285" t="n"/>
      <c r="C3817" s="579" t="n"/>
      <c r="D3817" s="580" t="n"/>
      <c r="E3817" s="581" t="n"/>
      <c r="F3817" s="577" t="n"/>
      <c r="G3817" s="582" t="n"/>
      <c r="H3817" s="583" t="n"/>
      <c r="I3817" s="510" t="n"/>
    </row>
    <row r="3818" ht="19.95" customFormat="1" customHeight="1" s="511">
      <c r="A3818" s="277" t="n"/>
      <c r="B3818" s="285" t="n"/>
      <c r="C3818" s="579" t="n"/>
      <c r="D3818" s="580" t="n"/>
      <c r="E3818" s="581" t="n"/>
      <c r="F3818" s="577" t="n"/>
      <c r="G3818" s="582" t="n"/>
      <c r="H3818" s="583" t="n"/>
      <c r="I3818" s="510" t="n"/>
    </row>
    <row r="3819" ht="19.95" customFormat="1" customHeight="1" s="511">
      <c r="A3819" s="277" t="n"/>
      <c r="B3819" s="285" t="n"/>
      <c r="C3819" s="579" t="n"/>
      <c r="D3819" s="580" t="n"/>
      <c r="E3819" s="581" t="n"/>
      <c r="F3819" s="577" t="n"/>
      <c r="G3819" s="582" t="n"/>
      <c r="H3819" s="583" t="n"/>
      <c r="I3819" s="510" t="n"/>
    </row>
    <row r="3820" ht="19.95" customFormat="1" customHeight="1" s="511">
      <c r="A3820" s="277" t="n"/>
      <c r="B3820" s="285" t="n"/>
      <c r="C3820" s="579" t="n"/>
      <c r="D3820" s="580" t="n"/>
      <c r="E3820" s="581" t="n"/>
      <c r="F3820" s="577" t="n"/>
      <c r="G3820" s="582" t="n"/>
      <c r="H3820" s="583" t="n"/>
      <c r="I3820" s="510" t="n"/>
    </row>
    <row r="3821" ht="19.95" customFormat="1" customHeight="1" s="511">
      <c r="A3821" s="277" t="n"/>
      <c r="B3821" s="285" t="n"/>
      <c r="C3821" s="579" t="n"/>
      <c r="D3821" s="580" t="n"/>
      <c r="E3821" s="581" t="n"/>
      <c r="F3821" s="577" t="n"/>
      <c r="G3821" s="582" t="n"/>
      <c r="H3821" s="583" t="n"/>
      <c r="I3821" s="510" t="n"/>
    </row>
    <row r="3822" ht="19.95" customFormat="1" customHeight="1" s="511">
      <c r="A3822" s="277" t="n"/>
      <c r="B3822" s="285" t="n"/>
      <c r="C3822" s="579" t="n"/>
      <c r="D3822" s="580" t="n"/>
      <c r="E3822" s="581" t="n"/>
      <c r="F3822" s="577" t="n"/>
      <c r="G3822" s="582" t="n"/>
      <c r="H3822" s="583" t="n"/>
      <c r="I3822" s="510" t="n"/>
    </row>
    <row r="3823" ht="19.95" customFormat="1" customHeight="1" s="511">
      <c r="A3823" s="277" t="n"/>
      <c r="B3823" s="285" t="n"/>
      <c r="C3823" s="579" t="n"/>
      <c r="D3823" s="580" t="n"/>
      <c r="E3823" s="581" t="n"/>
      <c r="F3823" s="577" t="n"/>
      <c r="G3823" s="582" t="n"/>
      <c r="H3823" s="583" t="n"/>
      <c r="I3823" s="510" t="n"/>
    </row>
    <row r="3824" ht="19.95" customFormat="1" customHeight="1" s="511">
      <c r="A3824" s="277" t="n"/>
      <c r="B3824" s="285" t="n"/>
      <c r="C3824" s="579" t="n"/>
      <c r="D3824" s="580" t="n"/>
      <c r="E3824" s="581" t="n"/>
      <c r="F3824" s="577" t="n"/>
      <c r="G3824" s="582" t="n"/>
      <c r="H3824" s="583" t="n"/>
      <c r="I3824" s="510" t="n"/>
    </row>
    <row r="3825" ht="19.95" customFormat="1" customHeight="1" s="511">
      <c r="A3825" s="277" t="n"/>
      <c r="B3825" s="285" t="n"/>
      <c r="C3825" s="579" t="n"/>
      <c r="D3825" s="580" t="n"/>
      <c r="E3825" s="581" t="n"/>
      <c r="F3825" s="577" t="n"/>
      <c r="G3825" s="582" t="n"/>
      <c r="H3825" s="583" t="n"/>
      <c r="I3825" s="510" t="n"/>
    </row>
    <row r="3826" ht="19.95" customFormat="1" customHeight="1" s="511">
      <c r="A3826" s="277" t="n"/>
      <c r="B3826" s="285" t="n"/>
      <c r="C3826" s="579" t="n"/>
      <c r="D3826" s="580" t="n"/>
      <c r="E3826" s="581" t="n"/>
      <c r="F3826" s="577" t="n"/>
      <c r="G3826" s="582" t="n"/>
      <c r="H3826" s="583" t="n"/>
      <c r="I3826" s="510" t="n"/>
    </row>
    <row r="3827" ht="19.95" customFormat="1" customHeight="1" s="511">
      <c r="A3827" s="277" t="n"/>
      <c r="B3827" s="285" t="n"/>
      <c r="C3827" s="579" t="n"/>
      <c r="D3827" s="580" t="n"/>
      <c r="E3827" s="581" t="n"/>
      <c r="F3827" s="577" t="n"/>
      <c r="G3827" s="582" t="n"/>
      <c r="H3827" s="583" t="n"/>
      <c r="I3827" s="510" t="n"/>
    </row>
    <row r="3828" ht="19.95" customFormat="1" customHeight="1" s="511">
      <c r="A3828" s="277" t="n"/>
      <c r="B3828" s="285" t="n"/>
      <c r="C3828" s="579" t="n"/>
      <c r="D3828" s="580" t="n"/>
      <c r="E3828" s="581" t="n"/>
      <c r="F3828" s="577" t="n"/>
      <c r="G3828" s="582" t="n"/>
      <c r="H3828" s="583" t="n"/>
      <c r="I3828" s="510" t="n"/>
    </row>
    <row r="3829" ht="19.95" customFormat="1" customHeight="1" s="511">
      <c r="A3829" s="277" t="n"/>
      <c r="B3829" s="285" t="n"/>
      <c r="C3829" s="579" t="n"/>
      <c r="D3829" s="580" t="n"/>
      <c r="E3829" s="581" t="n"/>
      <c r="F3829" s="577" t="n"/>
      <c r="G3829" s="582" t="n"/>
      <c r="H3829" s="583" t="n"/>
      <c r="I3829" s="510" t="n"/>
    </row>
    <row r="3830" ht="19.95" customFormat="1" customHeight="1" s="511">
      <c r="A3830" s="277" t="n"/>
      <c r="B3830" s="285" t="n"/>
      <c r="C3830" s="579" t="n"/>
      <c r="D3830" s="580" t="n"/>
      <c r="E3830" s="581" t="n"/>
      <c r="F3830" s="577" t="n"/>
      <c r="G3830" s="582" t="n"/>
      <c r="H3830" s="583" t="n"/>
      <c r="I3830" s="510" t="n"/>
    </row>
    <row r="3831" ht="19.95" customFormat="1" customHeight="1" s="511">
      <c r="A3831" s="277" t="n"/>
      <c r="B3831" s="285" t="n"/>
      <c r="C3831" s="579" t="n"/>
      <c r="D3831" s="580" t="n"/>
      <c r="E3831" s="581" t="n"/>
      <c r="F3831" s="577" t="n"/>
      <c r="G3831" s="582" t="n"/>
      <c r="H3831" s="583" t="n"/>
      <c r="I3831" s="510" t="n"/>
    </row>
    <row r="3832" ht="19.95" customFormat="1" customHeight="1" s="511">
      <c r="A3832" s="277" t="n"/>
      <c r="B3832" s="285" t="n"/>
      <c r="C3832" s="579" t="n"/>
      <c r="D3832" s="580" t="n"/>
      <c r="E3832" s="581" t="n"/>
      <c r="F3832" s="577" t="n"/>
      <c r="G3832" s="582" t="n"/>
      <c r="H3832" s="583" t="n"/>
      <c r="I3832" s="510" t="n"/>
    </row>
    <row r="3833" ht="19.95" customFormat="1" customHeight="1" s="511">
      <c r="A3833" s="277" t="n"/>
      <c r="B3833" s="285" t="n"/>
      <c r="C3833" s="579" t="n"/>
      <c r="D3833" s="580" t="n"/>
      <c r="E3833" s="581" t="n"/>
      <c r="F3833" s="577" t="n"/>
      <c r="G3833" s="582" t="n"/>
      <c r="H3833" s="583" t="n"/>
      <c r="I3833" s="510" t="n"/>
    </row>
    <row r="3834" ht="19.95" customFormat="1" customHeight="1" s="511">
      <c r="A3834" s="277" t="n"/>
      <c r="B3834" s="285" t="n"/>
      <c r="C3834" s="579" t="n"/>
      <c r="D3834" s="580" t="n"/>
      <c r="E3834" s="581" t="n"/>
      <c r="F3834" s="577" t="n"/>
      <c r="G3834" s="582" t="n"/>
      <c r="H3834" s="583" t="n"/>
      <c r="I3834" s="510" t="n"/>
    </row>
    <row r="3835" ht="19.95" customFormat="1" customHeight="1" s="511">
      <c r="A3835" s="277" t="n"/>
      <c r="B3835" s="285" t="n"/>
      <c r="C3835" s="579" t="n"/>
      <c r="D3835" s="580" t="n"/>
      <c r="E3835" s="581" t="n"/>
      <c r="F3835" s="577" t="n"/>
      <c r="G3835" s="582" t="n"/>
      <c r="H3835" s="583" t="n"/>
      <c r="I3835" s="510" t="n"/>
    </row>
    <row r="3836" ht="19.95" customFormat="1" customHeight="1" s="511">
      <c r="A3836" s="277" t="n"/>
      <c r="B3836" s="285" t="n"/>
      <c r="C3836" s="579" t="n"/>
      <c r="D3836" s="580" t="n"/>
      <c r="E3836" s="581" t="n"/>
      <c r="F3836" s="577" t="n"/>
      <c r="G3836" s="582" t="n"/>
      <c r="H3836" s="583" t="n"/>
      <c r="I3836" s="510" t="n"/>
    </row>
    <row r="3837" ht="19.95" customFormat="1" customHeight="1" s="511">
      <c r="A3837" s="277" t="n"/>
      <c r="B3837" s="285" t="n"/>
      <c r="C3837" s="579" t="n"/>
      <c r="D3837" s="580" t="n"/>
      <c r="E3837" s="581" t="n"/>
      <c r="F3837" s="577" t="n"/>
      <c r="G3837" s="582" t="n"/>
      <c r="H3837" s="583" t="n"/>
      <c r="I3837" s="510" t="n"/>
    </row>
    <row r="3838" ht="19.95" customFormat="1" customHeight="1" s="511">
      <c r="A3838" s="277" t="n"/>
      <c r="B3838" s="285" t="n"/>
      <c r="C3838" s="579" t="n"/>
      <c r="D3838" s="580" t="n"/>
      <c r="E3838" s="581" t="n"/>
      <c r="F3838" s="577" t="n"/>
      <c r="G3838" s="582" t="n"/>
      <c r="H3838" s="583" t="n"/>
      <c r="I3838" s="510" t="n"/>
    </row>
    <row r="3839" ht="19.95" customFormat="1" customHeight="1" s="511">
      <c r="A3839" s="277" t="n"/>
      <c r="B3839" s="285" t="n"/>
      <c r="C3839" s="579" t="n"/>
      <c r="D3839" s="580" t="n"/>
      <c r="E3839" s="581" t="n"/>
      <c r="F3839" s="577" t="n"/>
      <c r="G3839" s="582" t="n"/>
      <c r="H3839" s="583" t="n"/>
      <c r="I3839" s="510" t="n"/>
    </row>
    <row r="3840" ht="19.95" customFormat="1" customHeight="1" s="511">
      <c r="A3840" s="277" t="n"/>
      <c r="B3840" s="285" t="n"/>
      <c r="C3840" s="579" t="n"/>
      <c r="D3840" s="580" t="n"/>
      <c r="E3840" s="581" t="n"/>
      <c r="F3840" s="577" t="n"/>
      <c r="G3840" s="582" t="n"/>
      <c r="H3840" s="583" t="n"/>
      <c r="I3840" s="510" t="n"/>
    </row>
    <row r="3841" ht="19.95" customFormat="1" customHeight="1" s="511">
      <c r="A3841" s="277" t="n"/>
      <c r="B3841" s="285" t="n"/>
      <c r="C3841" s="579" t="n"/>
      <c r="D3841" s="580" t="n"/>
      <c r="E3841" s="581" t="n"/>
      <c r="F3841" s="577" t="n"/>
      <c r="G3841" s="582" t="n"/>
      <c r="H3841" s="583" t="n"/>
      <c r="I3841" s="510" t="n"/>
    </row>
    <row r="3842" ht="19.95" customFormat="1" customHeight="1" s="511">
      <c r="A3842" s="277" t="n"/>
      <c r="B3842" s="285" t="n"/>
      <c r="C3842" s="579" t="n"/>
      <c r="D3842" s="580" t="n"/>
      <c r="E3842" s="581" t="n"/>
      <c r="F3842" s="577" t="n"/>
      <c r="G3842" s="582" t="n"/>
      <c r="H3842" s="583" t="n"/>
      <c r="I3842" s="510" t="n"/>
    </row>
    <row r="3843" ht="19.95" customFormat="1" customHeight="1" s="511">
      <c r="A3843" s="277" t="n"/>
      <c r="B3843" s="285" t="n"/>
      <c r="C3843" s="579" t="n"/>
      <c r="D3843" s="580" t="n"/>
      <c r="E3843" s="581" t="n"/>
      <c r="F3843" s="577" t="n"/>
      <c r="G3843" s="582" t="n"/>
      <c r="H3843" s="583" t="n"/>
      <c r="I3843" s="510" t="n"/>
    </row>
    <row r="3844" ht="19.95" customFormat="1" customHeight="1" s="511">
      <c r="A3844" s="277" t="n"/>
      <c r="B3844" s="285" t="n"/>
      <c r="C3844" s="579" t="n"/>
      <c r="D3844" s="580" t="n"/>
      <c r="E3844" s="581" t="n"/>
      <c r="F3844" s="577" t="n"/>
      <c r="G3844" s="582" t="n"/>
      <c r="H3844" s="583" t="n"/>
      <c r="I3844" s="510" t="n"/>
    </row>
    <row r="3845" ht="19.95" customFormat="1" customHeight="1" s="511">
      <c r="A3845" s="277" t="n"/>
      <c r="B3845" s="285" t="n"/>
      <c r="C3845" s="579" t="n"/>
      <c r="D3845" s="580" t="n"/>
      <c r="E3845" s="581" t="n"/>
      <c r="F3845" s="577" t="n"/>
      <c r="G3845" s="582" t="n"/>
      <c r="H3845" s="583" t="n"/>
      <c r="I3845" s="510" t="n"/>
    </row>
    <row r="3846" ht="19.95" customFormat="1" customHeight="1" s="511">
      <c r="A3846" s="277" t="n"/>
      <c r="B3846" s="285" t="n"/>
      <c r="C3846" s="579" t="n"/>
      <c r="D3846" s="580" t="n"/>
      <c r="E3846" s="581" t="n"/>
      <c r="F3846" s="577" t="n"/>
      <c r="G3846" s="582" t="n"/>
      <c r="H3846" s="583" t="n"/>
      <c r="I3846" s="510" t="n"/>
    </row>
    <row r="3847" ht="19.95" customFormat="1" customHeight="1" s="511">
      <c r="A3847" s="277" t="n"/>
      <c r="B3847" s="285" t="n"/>
      <c r="C3847" s="579" t="n"/>
      <c r="D3847" s="580" t="n"/>
      <c r="E3847" s="581" t="n"/>
      <c r="F3847" s="577" t="n"/>
      <c r="G3847" s="582" t="n"/>
      <c r="H3847" s="583" t="n"/>
      <c r="I3847" s="510" t="n"/>
    </row>
    <row r="3848" ht="19.95" customFormat="1" customHeight="1" s="511">
      <c r="A3848" s="277" t="n"/>
      <c r="B3848" s="285" t="n"/>
      <c r="C3848" s="579" t="n"/>
      <c r="D3848" s="580" t="n"/>
      <c r="E3848" s="581" t="n"/>
      <c r="F3848" s="577" t="n"/>
      <c r="G3848" s="582" t="n"/>
      <c r="H3848" s="583" t="n"/>
      <c r="I3848" s="510" t="n"/>
    </row>
    <row r="3849" ht="19.95" customFormat="1" customHeight="1" s="511">
      <c r="A3849" s="277" t="n"/>
      <c r="B3849" s="285" t="n"/>
      <c r="C3849" s="579" t="n"/>
      <c r="D3849" s="580" t="n"/>
      <c r="E3849" s="581" t="n"/>
      <c r="F3849" s="577" t="n"/>
      <c r="G3849" s="582" t="n"/>
      <c r="H3849" s="583" t="n"/>
      <c r="I3849" s="510" t="n"/>
    </row>
    <row r="3850" ht="19.95" customFormat="1" customHeight="1" s="511">
      <c r="A3850" s="277" t="n"/>
      <c r="B3850" s="285" t="n"/>
      <c r="C3850" s="579" t="n"/>
      <c r="D3850" s="580" t="n"/>
      <c r="E3850" s="581" t="n"/>
      <c r="F3850" s="577" t="n"/>
      <c r="G3850" s="582" t="n"/>
      <c r="H3850" s="583" t="n"/>
      <c r="I3850" s="510" t="n"/>
    </row>
    <row r="3851" ht="19.95" customFormat="1" customHeight="1" s="511">
      <c r="A3851" s="277" t="n"/>
      <c r="B3851" s="285" t="n"/>
      <c r="C3851" s="579" t="n"/>
      <c r="D3851" s="580" t="n"/>
      <c r="E3851" s="581" t="n"/>
      <c r="F3851" s="577" t="n"/>
      <c r="G3851" s="582" t="n"/>
      <c r="H3851" s="583" t="n"/>
      <c r="I3851" s="510" t="n"/>
    </row>
    <row r="3852" ht="19.95" customFormat="1" customHeight="1" s="511">
      <c r="A3852" s="277" t="n"/>
      <c r="B3852" s="285" t="n"/>
      <c r="C3852" s="579" t="n"/>
      <c r="D3852" s="580" t="n"/>
      <c r="E3852" s="581" t="n"/>
      <c r="F3852" s="577" t="n"/>
      <c r="G3852" s="582" t="n"/>
      <c r="H3852" s="583" t="n"/>
      <c r="I3852" s="510" t="n"/>
    </row>
    <row r="3853" ht="19.95" customFormat="1" customHeight="1" s="511">
      <c r="A3853" s="277" t="n"/>
      <c r="B3853" s="285" t="n"/>
      <c r="C3853" s="579" t="n"/>
      <c r="D3853" s="580" t="n"/>
      <c r="E3853" s="581" t="n"/>
      <c r="F3853" s="577" t="n"/>
      <c r="G3853" s="582" t="n"/>
      <c r="H3853" s="583" t="n"/>
      <c r="I3853" s="510" t="n"/>
    </row>
    <row r="3854" ht="19.95" customFormat="1" customHeight="1" s="511">
      <c r="A3854" s="277" t="n"/>
      <c r="B3854" s="285" t="n"/>
      <c r="C3854" s="579" t="n"/>
      <c r="D3854" s="580" t="n"/>
      <c r="E3854" s="581" t="n"/>
      <c r="F3854" s="577" t="n"/>
      <c r="G3854" s="582" t="n"/>
      <c r="H3854" s="583" t="n"/>
      <c r="I3854" s="510" t="n"/>
    </row>
    <row r="3855" ht="19.95" customFormat="1" customHeight="1" s="511">
      <c r="A3855" s="277" t="n"/>
      <c r="B3855" s="285" t="n"/>
      <c r="C3855" s="579" t="n"/>
      <c r="D3855" s="580" t="n"/>
      <c r="E3855" s="581" t="n"/>
      <c r="F3855" s="577" t="n"/>
      <c r="G3855" s="582" t="n"/>
      <c r="H3855" s="583" t="n"/>
      <c r="I3855" s="510" t="n"/>
    </row>
    <row r="3856" ht="19.95" customFormat="1" customHeight="1" s="511">
      <c r="A3856" s="277" t="n"/>
      <c r="B3856" s="285" t="n"/>
      <c r="C3856" s="579" t="n"/>
      <c r="D3856" s="580" t="n"/>
      <c r="E3856" s="581" t="n"/>
      <c r="F3856" s="577" t="n"/>
      <c r="G3856" s="582" t="n"/>
      <c r="H3856" s="583" t="n"/>
      <c r="I3856" s="510" t="n"/>
    </row>
    <row r="3857" ht="19.95" customFormat="1" customHeight="1" s="511">
      <c r="A3857" s="277" t="n"/>
      <c r="B3857" s="285" t="n"/>
      <c r="C3857" s="579" t="n"/>
      <c r="D3857" s="580" t="n"/>
      <c r="E3857" s="581" t="n"/>
      <c r="F3857" s="577" t="n"/>
      <c r="G3857" s="582" t="n"/>
      <c r="H3857" s="583" t="n"/>
      <c r="I3857" s="510" t="n"/>
    </row>
    <row r="3858" ht="19.95" customFormat="1" customHeight="1" s="511">
      <c r="A3858" s="277" t="n"/>
      <c r="B3858" s="285" t="n"/>
      <c r="C3858" s="579" t="n"/>
      <c r="D3858" s="580" t="n"/>
      <c r="E3858" s="581" t="n"/>
      <c r="F3858" s="577" t="n"/>
      <c r="G3858" s="582" t="n"/>
      <c r="H3858" s="583" t="n"/>
      <c r="I3858" s="510" t="n"/>
    </row>
    <row r="3859" ht="19.95" customFormat="1" customHeight="1" s="511">
      <c r="A3859" s="277" t="n"/>
      <c r="B3859" s="285" t="n"/>
      <c r="C3859" s="579" t="n"/>
      <c r="D3859" s="580" t="n"/>
      <c r="E3859" s="581" t="n"/>
      <c r="F3859" s="577" t="n"/>
      <c r="G3859" s="582" t="n"/>
      <c r="H3859" s="583" t="n"/>
      <c r="I3859" s="510" t="n"/>
    </row>
    <row r="3860" ht="19.95" customFormat="1" customHeight="1" s="511">
      <c r="A3860" s="277" t="n"/>
      <c r="B3860" s="285" t="n"/>
      <c r="C3860" s="579" t="n"/>
      <c r="D3860" s="580" t="n"/>
      <c r="E3860" s="581" t="n"/>
      <c r="F3860" s="577" t="n"/>
      <c r="G3860" s="582" t="n"/>
      <c r="H3860" s="583" t="n"/>
      <c r="I3860" s="510" t="n"/>
    </row>
    <row r="3861" ht="19.95" customFormat="1" customHeight="1" s="511">
      <c r="A3861" s="277" t="n"/>
      <c r="B3861" s="285" t="n"/>
      <c r="C3861" s="579" t="n"/>
      <c r="D3861" s="580" t="n"/>
      <c r="E3861" s="581" t="n"/>
      <c r="F3861" s="577" t="n"/>
      <c r="G3861" s="582" t="n"/>
      <c r="H3861" s="583" t="n"/>
      <c r="I3861" s="510" t="n"/>
    </row>
    <row r="3862" ht="19.95" customFormat="1" customHeight="1" s="511">
      <c r="A3862" s="277" t="n"/>
      <c r="B3862" s="285" t="n"/>
      <c r="C3862" s="579" t="n"/>
      <c r="D3862" s="580" t="n"/>
      <c r="E3862" s="581" t="n"/>
      <c r="F3862" s="577" t="n"/>
      <c r="G3862" s="582" t="n"/>
      <c r="H3862" s="583" t="n"/>
      <c r="I3862" s="510" t="n"/>
    </row>
    <row r="3863" ht="19.95" customFormat="1" customHeight="1" s="511">
      <c r="A3863" s="277" t="n"/>
      <c r="B3863" s="285" t="n"/>
      <c r="C3863" s="579" t="n"/>
      <c r="D3863" s="580" t="n"/>
      <c r="E3863" s="581" t="n"/>
      <c r="F3863" s="577" t="n"/>
      <c r="G3863" s="582" t="n"/>
      <c r="H3863" s="583" t="n"/>
      <c r="I3863" s="510" t="n"/>
    </row>
    <row r="3864" ht="19.95" customFormat="1" customHeight="1" s="511">
      <c r="A3864" s="277" t="n"/>
      <c r="B3864" s="285" t="n"/>
      <c r="C3864" s="579" t="n"/>
      <c r="D3864" s="580" t="n"/>
      <c r="E3864" s="581" t="n"/>
      <c r="F3864" s="577" t="n"/>
      <c r="G3864" s="582" t="n"/>
      <c r="H3864" s="583" t="n"/>
      <c r="I3864" s="510" t="n"/>
    </row>
    <row r="3865" ht="19.95" customFormat="1" customHeight="1" s="511">
      <c r="A3865" s="277" t="n"/>
      <c r="B3865" s="285" t="n"/>
      <c r="C3865" s="579" t="n"/>
      <c r="D3865" s="580" t="n"/>
      <c r="E3865" s="581" t="n"/>
      <c r="F3865" s="577" t="n"/>
      <c r="G3865" s="582" t="n"/>
      <c r="H3865" s="583" t="n"/>
      <c r="I3865" s="510" t="n"/>
    </row>
    <row r="3866" ht="19.95" customFormat="1" customHeight="1" s="511">
      <c r="A3866" s="277" t="n"/>
      <c r="B3866" s="285" t="n"/>
      <c r="C3866" s="579" t="n"/>
      <c r="D3866" s="580" t="n"/>
      <c r="E3866" s="581" t="n"/>
      <c r="F3866" s="577" t="n"/>
      <c r="G3866" s="582" t="n"/>
      <c r="H3866" s="583" t="n"/>
      <c r="I3866" s="510" t="n"/>
    </row>
    <row r="3867" ht="19.95" customFormat="1" customHeight="1" s="511">
      <c r="A3867" s="277" t="n"/>
      <c r="B3867" s="285" t="n"/>
      <c r="C3867" s="579" t="n"/>
      <c r="D3867" s="580" t="n"/>
      <c r="E3867" s="581" t="n"/>
      <c r="F3867" s="577" t="n"/>
      <c r="G3867" s="582" t="n"/>
      <c r="H3867" s="583" t="n"/>
      <c r="I3867" s="510" t="n"/>
    </row>
    <row r="3868" ht="19.95" customFormat="1" customHeight="1" s="511">
      <c r="A3868" s="277" t="n"/>
      <c r="B3868" s="285" t="n"/>
      <c r="C3868" s="579" t="n"/>
      <c r="D3868" s="580" t="n"/>
      <c r="E3868" s="581" t="n"/>
      <c r="F3868" s="577" t="n"/>
      <c r="G3868" s="582" t="n"/>
      <c r="H3868" s="583" t="n"/>
      <c r="I3868" s="510" t="n"/>
    </row>
    <row r="3869" ht="19.95" customFormat="1" customHeight="1" s="511">
      <c r="A3869" s="277" t="n"/>
      <c r="B3869" s="285" t="n"/>
      <c r="C3869" s="579" t="n"/>
      <c r="D3869" s="580" t="n"/>
      <c r="E3869" s="581" t="n"/>
      <c r="F3869" s="577" t="n"/>
      <c r="G3869" s="582" t="n"/>
      <c r="H3869" s="583" t="n"/>
      <c r="I3869" s="510" t="n"/>
    </row>
    <row r="3870" ht="19.95" customFormat="1" customHeight="1" s="511">
      <c r="A3870" s="277" t="n"/>
      <c r="B3870" s="285" t="n"/>
      <c r="C3870" s="579" t="n"/>
      <c r="D3870" s="580" t="n"/>
      <c r="E3870" s="581" t="n"/>
      <c r="F3870" s="577" t="n"/>
      <c r="G3870" s="582" t="n"/>
      <c r="H3870" s="583" t="n"/>
      <c r="I3870" s="510" t="n"/>
    </row>
    <row r="3871" ht="19.95" customFormat="1" customHeight="1" s="511">
      <c r="A3871" s="277" t="n"/>
      <c r="B3871" s="285" t="n"/>
      <c r="C3871" s="579" t="n"/>
      <c r="D3871" s="580" t="n"/>
      <c r="E3871" s="581" t="n"/>
      <c r="F3871" s="577" t="n"/>
      <c r="G3871" s="582" t="n"/>
      <c r="H3871" s="583" t="n"/>
      <c r="I3871" s="510" t="n"/>
    </row>
    <row r="3872" ht="19.95" customFormat="1" customHeight="1" s="511">
      <c r="A3872" s="277" t="n"/>
      <c r="B3872" s="285" t="n"/>
      <c r="C3872" s="579" t="n"/>
      <c r="D3872" s="580" t="n"/>
      <c r="E3872" s="581" t="n"/>
      <c r="F3872" s="577" t="n"/>
      <c r="G3872" s="582" t="n"/>
      <c r="H3872" s="583" t="n"/>
      <c r="I3872" s="510" t="n"/>
    </row>
    <row r="3873" ht="19.95" customFormat="1" customHeight="1" s="511">
      <c r="A3873" s="277" t="n"/>
      <c r="B3873" s="285" t="n"/>
      <c r="C3873" s="579" t="n"/>
      <c r="D3873" s="580" t="n"/>
      <c r="E3873" s="581" t="n"/>
      <c r="F3873" s="577" t="n"/>
      <c r="G3873" s="582" t="n"/>
      <c r="H3873" s="583" t="n"/>
      <c r="I3873" s="510" t="n"/>
    </row>
    <row r="3874" ht="19.95" customFormat="1" customHeight="1" s="511">
      <c r="A3874" s="277" t="n"/>
      <c r="B3874" s="285" t="n"/>
      <c r="C3874" s="579" t="n"/>
      <c r="D3874" s="580" t="n"/>
      <c r="E3874" s="581" t="n"/>
      <c r="F3874" s="577" t="n"/>
      <c r="G3874" s="582" t="n"/>
      <c r="H3874" s="583" t="n"/>
      <c r="I3874" s="510" t="n"/>
    </row>
    <row r="3875" ht="19.95" customFormat="1" customHeight="1" s="511">
      <c r="A3875" s="277" t="n"/>
      <c r="B3875" s="285" t="n"/>
      <c r="C3875" s="579" t="n"/>
      <c r="D3875" s="580" t="n"/>
      <c r="E3875" s="581" t="n"/>
      <c r="F3875" s="577" t="n"/>
      <c r="G3875" s="582" t="n"/>
      <c r="H3875" s="583" t="n"/>
      <c r="I3875" s="510" t="n"/>
    </row>
    <row r="3876" ht="19.95" customFormat="1" customHeight="1" s="511">
      <c r="A3876" s="277" t="n"/>
      <c r="B3876" s="285" t="n"/>
      <c r="C3876" s="579" t="n"/>
      <c r="D3876" s="580" t="n"/>
      <c r="E3876" s="581" t="n"/>
      <c r="F3876" s="577" t="n"/>
      <c r="G3876" s="582" t="n"/>
      <c r="H3876" s="583" t="n"/>
      <c r="I3876" s="510" t="n"/>
    </row>
    <row r="3877" ht="19.95" customFormat="1" customHeight="1" s="511">
      <c r="A3877" s="277" t="n"/>
      <c r="B3877" s="285" t="n"/>
      <c r="C3877" s="579" t="n"/>
      <c r="D3877" s="580" t="n"/>
      <c r="E3877" s="581" t="n"/>
      <c r="F3877" s="577" t="n"/>
      <c r="G3877" s="582" t="n"/>
      <c r="H3877" s="583" t="n"/>
      <c r="I3877" s="510" t="n"/>
    </row>
    <row r="3878" ht="19.95" customFormat="1" customHeight="1" s="511">
      <c r="A3878" s="277" t="n"/>
      <c r="B3878" s="285" t="n"/>
      <c r="C3878" s="579" t="n"/>
      <c r="D3878" s="580" t="n"/>
      <c r="E3878" s="581" t="n"/>
      <c r="F3878" s="577" t="n"/>
      <c r="G3878" s="582" t="n"/>
      <c r="H3878" s="583" t="n"/>
      <c r="I3878" s="510" t="n"/>
    </row>
    <row r="3879" ht="19.95" customFormat="1" customHeight="1" s="511">
      <c r="A3879" s="277" t="n"/>
      <c r="B3879" s="285" t="n"/>
      <c r="C3879" s="579" t="n"/>
      <c r="D3879" s="580" t="n"/>
      <c r="E3879" s="581" t="n"/>
      <c r="F3879" s="577" t="n"/>
      <c r="G3879" s="582" t="n"/>
      <c r="H3879" s="583" t="n"/>
      <c r="I3879" s="510" t="n"/>
    </row>
    <row r="3880" ht="19.95" customFormat="1" customHeight="1" s="511">
      <c r="A3880" s="277" t="n"/>
      <c r="B3880" s="285" t="n"/>
      <c r="C3880" s="579" t="n"/>
      <c r="D3880" s="580" t="n"/>
      <c r="E3880" s="581" t="n"/>
      <c r="F3880" s="577" t="n"/>
      <c r="G3880" s="582" t="n"/>
      <c r="H3880" s="583" t="n"/>
      <c r="I3880" s="510" t="n"/>
    </row>
    <row r="3881" ht="19.95" customFormat="1" customHeight="1" s="511">
      <c r="A3881" s="277" t="n"/>
      <c r="B3881" s="285" t="n"/>
      <c r="C3881" s="579" t="n"/>
      <c r="D3881" s="580" t="n"/>
      <c r="E3881" s="581" t="n"/>
      <c r="F3881" s="577" t="n"/>
      <c r="G3881" s="582" t="n"/>
      <c r="H3881" s="583" t="n"/>
      <c r="I3881" s="510" t="n"/>
    </row>
    <row r="3882" ht="19.95" customFormat="1" customHeight="1" s="511">
      <c r="A3882" s="277" t="n"/>
      <c r="B3882" s="285" t="n"/>
      <c r="C3882" s="579" t="n"/>
      <c r="D3882" s="580" t="n"/>
      <c r="E3882" s="581" t="n"/>
      <c r="F3882" s="577" t="n"/>
      <c r="G3882" s="582" t="n"/>
      <c r="H3882" s="583" t="n"/>
      <c r="I3882" s="510" t="n"/>
    </row>
    <row r="3883" ht="19.95" customFormat="1" customHeight="1" s="511">
      <c r="A3883" s="277" t="n"/>
      <c r="B3883" s="285" t="n"/>
      <c r="C3883" s="579" t="n"/>
      <c r="D3883" s="580" t="n"/>
      <c r="E3883" s="581" t="n"/>
      <c r="F3883" s="577" t="n"/>
      <c r="G3883" s="582" t="n"/>
      <c r="H3883" s="583" t="n"/>
      <c r="I3883" s="510" t="n"/>
    </row>
    <row r="3884" ht="19.95" customFormat="1" customHeight="1" s="511">
      <c r="A3884" s="277" t="n"/>
      <c r="B3884" s="285" t="n"/>
      <c r="C3884" s="579" t="n"/>
      <c r="D3884" s="580" t="n"/>
      <c r="E3884" s="581" t="n"/>
      <c r="F3884" s="577" t="n"/>
      <c r="G3884" s="582" t="n"/>
      <c r="H3884" s="583" t="n"/>
      <c r="I3884" s="510" t="n"/>
    </row>
    <row r="3885" ht="19.95" customFormat="1" customHeight="1" s="511">
      <c r="A3885" s="277" t="n"/>
      <c r="B3885" s="285" t="n"/>
      <c r="C3885" s="579" t="n"/>
      <c r="D3885" s="580" t="n"/>
      <c r="E3885" s="581" t="n"/>
      <c r="F3885" s="577" t="n"/>
      <c r="G3885" s="582" t="n"/>
      <c r="H3885" s="583" t="n"/>
      <c r="I3885" s="510" t="n"/>
    </row>
    <row r="3886" ht="19.95" customFormat="1" customHeight="1" s="511">
      <c r="A3886" s="277" t="n"/>
      <c r="B3886" s="285" t="n"/>
      <c r="C3886" s="579" t="n"/>
      <c r="D3886" s="580" t="n"/>
      <c r="E3886" s="581" t="n"/>
      <c r="F3886" s="577" t="n"/>
      <c r="G3886" s="582" t="n"/>
      <c r="H3886" s="583" t="n"/>
      <c r="I3886" s="510" t="n"/>
    </row>
    <row r="3887" ht="19.95" customFormat="1" customHeight="1" s="511">
      <c r="A3887" s="277" t="n"/>
      <c r="B3887" s="285" t="n"/>
      <c r="C3887" s="579" t="n"/>
      <c r="D3887" s="580" t="n"/>
      <c r="E3887" s="581" t="n"/>
      <c r="F3887" s="577" t="n"/>
      <c r="G3887" s="582" t="n"/>
      <c r="H3887" s="583" t="n"/>
      <c r="I3887" s="510" t="n"/>
    </row>
    <row r="3888" ht="19.95" customFormat="1" customHeight="1" s="511">
      <c r="A3888" s="277" t="n"/>
      <c r="B3888" s="285" t="n"/>
      <c r="C3888" s="579" t="n"/>
      <c r="D3888" s="580" t="n"/>
      <c r="E3888" s="581" t="n"/>
      <c r="F3888" s="577" t="n"/>
      <c r="G3888" s="582" t="n"/>
      <c r="H3888" s="583" t="n"/>
      <c r="I3888" s="510" t="n"/>
    </row>
    <row r="3889" ht="19.95" customFormat="1" customHeight="1" s="511">
      <c r="A3889" s="277" t="n"/>
      <c r="B3889" s="285" t="n"/>
      <c r="C3889" s="579" t="n"/>
      <c r="D3889" s="580" t="n"/>
      <c r="E3889" s="581" t="n"/>
      <c r="F3889" s="577" t="n"/>
      <c r="G3889" s="582" t="n"/>
      <c r="H3889" s="583" t="n"/>
      <c r="I3889" s="510" t="n"/>
    </row>
    <row r="3890" ht="19.95" customFormat="1" customHeight="1" s="511">
      <c r="A3890" s="277" t="n"/>
      <c r="B3890" s="285" t="n"/>
      <c r="C3890" s="579" t="n"/>
      <c r="D3890" s="580" t="n"/>
      <c r="E3890" s="581" t="n"/>
      <c r="F3890" s="577" t="n"/>
      <c r="G3890" s="582" t="n"/>
      <c r="H3890" s="583" t="n"/>
      <c r="I3890" s="510" t="n"/>
    </row>
    <row r="3891" ht="19.95" customFormat="1" customHeight="1" s="511">
      <c r="A3891" s="277" t="n"/>
      <c r="B3891" s="285" t="n"/>
      <c r="C3891" s="579" t="n"/>
      <c r="D3891" s="580" t="n"/>
      <c r="E3891" s="581" t="n"/>
      <c r="F3891" s="577" t="n"/>
      <c r="G3891" s="582" t="n"/>
      <c r="H3891" s="583" t="n"/>
      <c r="I3891" s="510" t="n"/>
    </row>
    <row r="3892" ht="19.95" customFormat="1" customHeight="1" s="511">
      <c r="A3892" s="277" t="n"/>
      <c r="B3892" s="285" t="n"/>
      <c r="C3892" s="579" t="n"/>
      <c r="D3892" s="580" t="n"/>
      <c r="E3892" s="581" t="n"/>
      <c r="F3892" s="577" t="n"/>
      <c r="G3892" s="582" t="n"/>
      <c r="H3892" s="583" t="n"/>
      <c r="I3892" s="510" t="n"/>
    </row>
    <row r="3893" ht="19.95" customFormat="1" customHeight="1" s="511">
      <c r="A3893" s="277" t="n"/>
      <c r="B3893" s="285" t="n"/>
      <c r="C3893" s="579" t="n"/>
      <c r="D3893" s="580" t="n"/>
      <c r="E3893" s="581" t="n"/>
      <c r="F3893" s="577" t="n"/>
      <c r="G3893" s="582" t="n"/>
      <c r="H3893" s="583" t="n"/>
      <c r="I3893" s="510" t="n"/>
    </row>
    <row r="3894" ht="19.95" customFormat="1" customHeight="1" s="511">
      <c r="A3894" s="277" t="n"/>
      <c r="B3894" s="285" t="n"/>
      <c r="C3894" s="579" t="n"/>
      <c r="D3894" s="580" t="n"/>
      <c r="E3894" s="581" t="n"/>
      <c r="F3894" s="577" t="n"/>
      <c r="G3894" s="582" t="n"/>
      <c r="H3894" s="583" t="n"/>
      <c r="I3894" s="510" t="n"/>
    </row>
    <row r="3895" ht="19.95" customFormat="1" customHeight="1" s="511">
      <c r="A3895" s="277" t="n"/>
      <c r="B3895" s="285" t="n"/>
      <c r="C3895" s="579" t="n"/>
      <c r="D3895" s="580" t="n"/>
      <c r="E3895" s="581" t="n"/>
      <c r="F3895" s="577" t="n"/>
      <c r="G3895" s="582" t="n"/>
      <c r="H3895" s="583" t="n"/>
      <c r="I3895" s="510" t="n"/>
    </row>
    <row r="3896" ht="19.95" customFormat="1" customHeight="1" s="511">
      <c r="A3896" s="277" t="n"/>
      <c r="B3896" s="285" t="n"/>
      <c r="C3896" s="579" t="n"/>
      <c r="D3896" s="580" t="n"/>
      <c r="E3896" s="581" t="n"/>
      <c r="F3896" s="577" t="n"/>
      <c r="G3896" s="582" t="n"/>
      <c r="H3896" s="583" t="n"/>
      <c r="I3896" s="510" t="n"/>
    </row>
    <row r="3897" ht="19.95" customFormat="1" customHeight="1" s="511">
      <c r="A3897" s="277" t="n"/>
      <c r="B3897" s="285" t="n"/>
      <c r="C3897" s="579" t="n"/>
      <c r="D3897" s="580" t="n"/>
      <c r="E3897" s="581" t="n"/>
      <c r="F3897" s="577" t="n"/>
      <c r="G3897" s="582" t="n"/>
      <c r="H3897" s="583" t="n"/>
      <c r="I3897" s="510" t="n"/>
    </row>
    <row r="3898" ht="19.95" customFormat="1" customHeight="1" s="511">
      <c r="A3898" s="277" t="n"/>
      <c r="B3898" s="285" t="n"/>
      <c r="C3898" s="579" t="n"/>
      <c r="D3898" s="580" t="n"/>
      <c r="E3898" s="581" t="n"/>
      <c r="F3898" s="577" t="n"/>
      <c r="G3898" s="582" t="n"/>
      <c r="H3898" s="583" t="n"/>
      <c r="I3898" s="510" t="n"/>
    </row>
    <row r="3899" ht="19.95" customFormat="1" customHeight="1" s="511">
      <c r="A3899" s="277" t="n"/>
      <c r="B3899" s="285" t="n"/>
      <c r="C3899" s="579" t="n"/>
      <c r="D3899" s="580" t="n"/>
      <c r="E3899" s="581" t="n"/>
      <c r="F3899" s="577" t="n"/>
      <c r="G3899" s="582" t="n"/>
      <c r="H3899" s="583" t="n"/>
      <c r="I3899" s="510" t="n"/>
    </row>
    <row r="3900" ht="19.95" customFormat="1" customHeight="1" s="511">
      <c r="A3900" s="277" t="n"/>
      <c r="B3900" s="285" t="n"/>
      <c r="C3900" s="579" t="n"/>
      <c r="D3900" s="580" t="n"/>
      <c r="E3900" s="581" t="n"/>
      <c r="F3900" s="577" t="n"/>
      <c r="G3900" s="582" t="n"/>
      <c r="H3900" s="583" t="n"/>
      <c r="I3900" s="510" t="n"/>
    </row>
    <row r="3901" ht="19.95" customFormat="1" customHeight="1" s="511">
      <c r="A3901" s="277" t="n"/>
      <c r="B3901" s="285" t="n"/>
      <c r="C3901" s="579" t="n"/>
      <c r="D3901" s="580" t="n"/>
      <c r="E3901" s="581" t="n"/>
      <c r="F3901" s="577" t="n"/>
      <c r="G3901" s="582" t="n"/>
      <c r="H3901" s="583" t="n"/>
      <c r="I3901" s="510" t="n"/>
    </row>
    <row r="3902" ht="19.95" customFormat="1" customHeight="1" s="511">
      <c r="A3902" s="277" t="n"/>
      <c r="B3902" s="285" t="n"/>
      <c r="C3902" s="579" t="n"/>
      <c r="D3902" s="580" t="n"/>
      <c r="E3902" s="581" t="n"/>
      <c r="F3902" s="577" t="n"/>
      <c r="G3902" s="582" t="n"/>
      <c r="H3902" s="583" t="n"/>
      <c r="I3902" s="510" t="n"/>
    </row>
    <row r="3903" ht="19.95" customFormat="1" customHeight="1" s="511">
      <c r="A3903" s="277" t="n"/>
      <c r="B3903" s="285" t="n"/>
      <c r="C3903" s="579" t="n"/>
      <c r="D3903" s="580" t="n"/>
      <c r="E3903" s="581" t="n"/>
      <c r="F3903" s="577" t="n"/>
      <c r="G3903" s="582" t="n"/>
      <c r="H3903" s="583" t="n"/>
      <c r="I3903" s="510" t="n"/>
    </row>
    <row r="3904" ht="19.95" customFormat="1" customHeight="1" s="511">
      <c r="A3904" s="277" t="n"/>
      <c r="B3904" s="285" t="n"/>
      <c r="C3904" s="579" t="n"/>
      <c r="D3904" s="580" t="n"/>
      <c r="E3904" s="581" t="n"/>
      <c r="F3904" s="577" t="n"/>
      <c r="G3904" s="582" t="n"/>
      <c r="H3904" s="583" t="n"/>
      <c r="I3904" s="510" t="n"/>
    </row>
    <row r="3905" ht="19.95" customFormat="1" customHeight="1" s="511">
      <c r="A3905" s="277" t="n"/>
      <c r="B3905" s="285" t="n"/>
      <c r="C3905" s="579" t="n"/>
      <c r="D3905" s="580" t="n"/>
      <c r="E3905" s="581" t="n"/>
      <c r="F3905" s="577" t="n"/>
      <c r="G3905" s="582" t="n"/>
      <c r="H3905" s="583" t="n"/>
      <c r="I3905" s="510" t="n"/>
    </row>
    <row r="3906" ht="19.95" customFormat="1" customHeight="1" s="511">
      <c r="A3906" s="277" t="n"/>
      <c r="B3906" s="285" t="n"/>
      <c r="C3906" s="579" t="n"/>
      <c r="D3906" s="580" t="n"/>
      <c r="E3906" s="581" t="n"/>
      <c r="F3906" s="577" t="n"/>
      <c r="G3906" s="582" t="n"/>
      <c r="H3906" s="583" t="n"/>
      <c r="I3906" s="510" t="n"/>
    </row>
    <row r="3907" ht="19.95" customFormat="1" customHeight="1" s="511">
      <c r="A3907" s="277" t="n"/>
      <c r="B3907" s="285" t="n"/>
      <c r="C3907" s="579" t="n"/>
      <c r="D3907" s="580" t="n"/>
      <c r="E3907" s="581" t="n"/>
      <c r="F3907" s="577" t="n"/>
      <c r="G3907" s="582" t="n"/>
      <c r="H3907" s="583" t="n"/>
      <c r="I3907" s="510" t="n"/>
    </row>
    <row r="3908" ht="19.95" customFormat="1" customHeight="1" s="511">
      <c r="A3908" s="277" t="n"/>
      <c r="B3908" s="285" t="n"/>
      <c r="C3908" s="579" t="n"/>
      <c r="D3908" s="580" t="n"/>
      <c r="E3908" s="581" t="n"/>
      <c r="F3908" s="577" t="n"/>
      <c r="G3908" s="582" t="n"/>
      <c r="H3908" s="583" t="n"/>
      <c r="I3908" s="510" t="n"/>
    </row>
    <row r="3909" ht="19.95" customFormat="1" customHeight="1" s="511">
      <c r="A3909" s="277" t="n"/>
      <c r="B3909" s="285" t="n"/>
      <c r="C3909" s="579" t="n"/>
      <c r="D3909" s="580" t="n"/>
      <c r="E3909" s="581" t="n"/>
      <c r="F3909" s="577" t="n"/>
      <c r="G3909" s="582" t="n"/>
      <c r="H3909" s="583" t="n"/>
      <c r="I3909" s="510" t="n"/>
    </row>
    <row r="3910" ht="19.95" customFormat="1" customHeight="1" s="511">
      <c r="A3910" s="277" t="n"/>
      <c r="B3910" s="285" t="n"/>
      <c r="C3910" s="579" t="n"/>
      <c r="D3910" s="580" t="n"/>
      <c r="E3910" s="581" t="n"/>
      <c r="F3910" s="577" t="n"/>
      <c r="G3910" s="582" t="n"/>
      <c r="H3910" s="583" t="n"/>
      <c r="I3910" s="510" t="n"/>
    </row>
    <row r="3911" ht="19.95" customFormat="1" customHeight="1" s="511">
      <c r="A3911" s="277" t="n"/>
      <c r="B3911" s="285" t="n"/>
      <c r="C3911" s="579" t="n"/>
      <c r="D3911" s="580" t="n"/>
      <c r="E3911" s="581" t="n"/>
      <c r="F3911" s="577" t="n"/>
      <c r="G3911" s="582" t="n"/>
      <c r="H3911" s="583" t="n"/>
      <c r="I3911" s="510" t="n"/>
    </row>
    <row r="3912" ht="19.95" customFormat="1" customHeight="1" s="511">
      <c r="A3912" s="277" t="n"/>
      <c r="B3912" s="285" t="n"/>
      <c r="C3912" s="579" t="n"/>
      <c r="D3912" s="580" t="n"/>
      <c r="E3912" s="581" t="n"/>
      <c r="F3912" s="577" t="n"/>
      <c r="G3912" s="582" t="n"/>
      <c r="H3912" s="583" t="n"/>
      <c r="I3912" s="510" t="n"/>
    </row>
    <row r="3913" ht="19.95" customFormat="1" customHeight="1" s="511">
      <c r="A3913" s="277" t="n"/>
      <c r="B3913" s="285" t="n"/>
      <c r="C3913" s="579" t="n"/>
      <c r="D3913" s="580" t="n"/>
      <c r="E3913" s="581" t="n"/>
      <c r="F3913" s="577" t="n"/>
      <c r="G3913" s="582" t="n"/>
      <c r="H3913" s="583" t="n"/>
      <c r="I3913" s="510" t="n"/>
    </row>
    <row r="3914" ht="19.95" customFormat="1" customHeight="1" s="511">
      <c r="A3914" s="277" t="n"/>
      <c r="B3914" s="285" t="n"/>
      <c r="C3914" s="579" t="n"/>
      <c r="D3914" s="580" t="n"/>
      <c r="E3914" s="581" t="n"/>
      <c r="F3914" s="577" t="n"/>
      <c r="G3914" s="582" t="n"/>
      <c r="H3914" s="583" t="n"/>
      <c r="I3914" s="510" t="n"/>
    </row>
    <row r="3915" ht="19.95" customFormat="1" customHeight="1" s="511">
      <c r="A3915" s="277" t="n"/>
      <c r="B3915" s="285" t="n"/>
      <c r="C3915" s="579" t="n"/>
      <c r="D3915" s="580" t="n"/>
      <c r="E3915" s="581" t="n"/>
      <c r="F3915" s="577" t="n"/>
      <c r="G3915" s="582" t="n"/>
      <c r="H3915" s="583" t="n"/>
      <c r="I3915" s="510" t="n"/>
    </row>
    <row r="3916" ht="19.95" customFormat="1" customHeight="1" s="511">
      <c r="A3916" s="277" t="n"/>
      <c r="B3916" s="285" t="n"/>
      <c r="C3916" s="579" t="n"/>
      <c r="D3916" s="580" t="n"/>
      <c r="E3916" s="581" t="n"/>
      <c r="F3916" s="577" t="n"/>
      <c r="G3916" s="582" t="n"/>
      <c r="H3916" s="583" t="n"/>
      <c r="I3916" s="510" t="n"/>
    </row>
    <row r="3917" ht="19.95" customFormat="1" customHeight="1" s="511">
      <c r="A3917" s="277" t="n"/>
      <c r="B3917" s="285" t="n"/>
      <c r="C3917" s="579" t="n"/>
      <c r="D3917" s="580" t="n"/>
      <c r="E3917" s="581" t="n"/>
      <c r="F3917" s="577" t="n"/>
      <c r="G3917" s="582" t="n"/>
      <c r="H3917" s="583" t="n"/>
      <c r="I3917" s="510" t="n"/>
    </row>
    <row r="3918" ht="19.95" customFormat="1" customHeight="1" s="511">
      <c r="A3918" s="277" t="n"/>
      <c r="B3918" s="285" t="n"/>
      <c r="C3918" s="579" t="n"/>
      <c r="D3918" s="580" t="n"/>
      <c r="E3918" s="581" t="n"/>
      <c r="F3918" s="577" t="n"/>
      <c r="G3918" s="582" t="n"/>
      <c r="H3918" s="583" t="n"/>
      <c r="I3918" s="510" t="n"/>
    </row>
    <row r="3919" ht="19.95" customFormat="1" customHeight="1" s="511">
      <c r="A3919" s="277" t="n"/>
      <c r="B3919" s="285" t="n"/>
      <c r="C3919" s="579" t="n"/>
      <c r="D3919" s="580" t="n"/>
      <c r="E3919" s="581" t="n"/>
      <c r="F3919" s="577" t="n"/>
      <c r="G3919" s="582" t="n"/>
      <c r="H3919" s="583" t="n"/>
      <c r="I3919" s="510" t="n"/>
    </row>
    <row r="3920" ht="19.95" customFormat="1" customHeight="1" s="511">
      <c r="A3920" s="277" t="n"/>
      <c r="B3920" s="285" t="n"/>
      <c r="C3920" s="579" t="n"/>
      <c r="D3920" s="580" t="n"/>
      <c r="E3920" s="581" t="n"/>
      <c r="F3920" s="577" t="n"/>
      <c r="G3920" s="582" t="n"/>
      <c r="H3920" s="583" t="n"/>
      <c r="I3920" s="510" t="n"/>
    </row>
    <row r="3921" ht="19.95" customFormat="1" customHeight="1" s="511">
      <c r="A3921" s="277" t="n"/>
      <c r="B3921" s="285" t="n"/>
      <c r="C3921" s="579" t="n"/>
      <c r="D3921" s="580" t="n"/>
      <c r="E3921" s="581" t="n"/>
      <c r="F3921" s="577" t="n"/>
      <c r="G3921" s="582" t="n"/>
      <c r="H3921" s="583" t="n"/>
      <c r="I3921" s="510" t="n"/>
    </row>
    <row r="3922" ht="19.95" customFormat="1" customHeight="1" s="511">
      <c r="A3922" s="277" t="n"/>
      <c r="B3922" s="285" t="n"/>
      <c r="C3922" s="579" t="n"/>
      <c r="D3922" s="580" t="n"/>
      <c r="E3922" s="581" t="n"/>
      <c r="F3922" s="577" t="n"/>
      <c r="G3922" s="582" t="n"/>
      <c r="H3922" s="583" t="n"/>
      <c r="I3922" s="510" t="n"/>
    </row>
    <row r="3923" ht="19.95" customFormat="1" customHeight="1" s="511">
      <c r="A3923" s="277" t="n"/>
      <c r="B3923" s="285" t="n"/>
      <c r="C3923" s="579" t="n"/>
      <c r="D3923" s="580" t="n"/>
      <c r="E3923" s="581" t="n"/>
      <c r="F3923" s="577" t="n"/>
      <c r="G3923" s="582" t="n"/>
      <c r="H3923" s="583" t="n"/>
      <c r="I3923" s="510" t="n"/>
    </row>
    <row r="3924" ht="19.95" customFormat="1" customHeight="1" s="511">
      <c r="A3924" s="277" t="n"/>
      <c r="B3924" s="285" t="n"/>
      <c r="C3924" s="579" t="n"/>
      <c r="D3924" s="580" t="n"/>
      <c r="E3924" s="581" t="n"/>
      <c r="F3924" s="577" t="n"/>
      <c r="G3924" s="582" t="n"/>
      <c r="H3924" s="583" t="n"/>
      <c r="I3924" s="510" t="n"/>
    </row>
    <row r="3925" ht="19.95" customFormat="1" customHeight="1" s="511">
      <c r="A3925" s="277" t="n"/>
      <c r="B3925" s="285" t="n"/>
      <c r="C3925" s="579" t="n"/>
      <c r="D3925" s="580" t="n"/>
      <c r="E3925" s="581" t="n"/>
      <c r="F3925" s="577" t="n"/>
      <c r="G3925" s="582" t="n"/>
      <c r="H3925" s="583" t="n"/>
      <c r="I3925" s="510" t="n"/>
    </row>
    <row r="3926" ht="19.95" customFormat="1" customHeight="1" s="511">
      <c r="A3926" s="277" t="n"/>
      <c r="B3926" s="285" t="n"/>
      <c r="C3926" s="579" t="n"/>
      <c r="D3926" s="580" t="n"/>
      <c r="E3926" s="581" t="n"/>
      <c r="F3926" s="577" t="n"/>
      <c r="G3926" s="582" t="n"/>
      <c r="H3926" s="583" t="n"/>
      <c r="I3926" s="510" t="n"/>
    </row>
    <row r="3927" ht="19.95" customFormat="1" customHeight="1" s="511">
      <c r="A3927" s="277" t="n"/>
      <c r="B3927" s="285" t="n"/>
      <c r="C3927" s="579" t="n"/>
      <c r="D3927" s="580" t="n"/>
      <c r="E3927" s="581" t="n"/>
      <c r="F3927" s="577" t="n"/>
      <c r="G3927" s="582" t="n"/>
      <c r="H3927" s="583" t="n"/>
      <c r="I3927" s="510" t="n"/>
    </row>
    <row r="3928" ht="19.95" customFormat="1" customHeight="1" s="511">
      <c r="A3928" s="277" t="n"/>
      <c r="B3928" s="285" t="n"/>
      <c r="C3928" s="579" t="n"/>
      <c r="D3928" s="580" t="n"/>
      <c r="E3928" s="581" t="n"/>
      <c r="F3928" s="577" t="n"/>
      <c r="G3928" s="582" t="n"/>
      <c r="H3928" s="583" t="n"/>
      <c r="I3928" s="510" t="n"/>
    </row>
    <row r="3929" ht="19.95" customFormat="1" customHeight="1" s="511">
      <c r="A3929" s="277" t="n"/>
      <c r="B3929" s="285" t="n"/>
      <c r="C3929" s="579" t="n"/>
      <c r="D3929" s="580" t="n"/>
      <c r="E3929" s="581" t="n"/>
      <c r="F3929" s="577" t="n"/>
      <c r="G3929" s="582" t="n"/>
      <c r="H3929" s="583" t="n"/>
      <c r="I3929" s="510" t="n"/>
    </row>
    <row r="3930" ht="19.95" customFormat="1" customHeight="1" s="511">
      <c r="A3930" s="277" t="n"/>
      <c r="B3930" s="285" t="n"/>
      <c r="C3930" s="579" t="n"/>
      <c r="D3930" s="580" t="n"/>
      <c r="E3930" s="581" t="n"/>
      <c r="F3930" s="577" t="n"/>
      <c r="G3930" s="582" t="n"/>
      <c r="H3930" s="583" t="n"/>
      <c r="I3930" s="510" t="n"/>
    </row>
    <row r="3931" ht="19.95" customFormat="1" customHeight="1" s="511">
      <c r="A3931" s="277" t="n"/>
      <c r="B3931" s="285" t="n"/>
      <c r="C3931" s="579" t="n"/>
      <c r="D3931" s="580" t="n"/>
      <c r="E3931" s="581" t="n"/>
      <c r="F3931" s="577" t="n"/>
      <c r="G3931" s="582" t="n"/>
      <c r="H3931" s="583" t="n"/>
      <c r="I3931" s="510" t="n"/>
    </row>
    <row r="3932" ht="19.95" customFormat="1" customHeight="1" s="511">
      <c r="A3932" s="277" t="n"/>
      <c r="B3932" s="285" t="n"/>
      <c r="C3932" s="579" t="n"/>
      <c r="D3932" s="580" t="n"/>
      <c r="E3932" s="581" t="n"/>
      <c r="F3932" s="577" t="n"/>
      <c r="G3932" s="582" t="n"/>
      <c r="H3932" s="583" t="n"/>
      <c r="I3932" s="510" t="n"/>
    </row>
    <row r="3933" ht="19.95" customFormat="1" customHeight="1" s="511">
      <c r="A3933" s="277" t="n"/>
      <c r="B3933" s="285" t="n"/>
      <c r="C3933" s="579" t="n"/>
      <c r="D3933" s="580" t="n"/>
      <c r="E3933" s="581" t="n"/>
      <c r="F3933" s="577" t="n"/>
      <c r="G3933" s="582" t="n"/>
      <c r="H3933" s="583" t="n"/>
      <c r="I3933" s="510" t="n"/>
    </row>
    <row r="3934" ht="19.95" customFormat="1" customHeight="1" s="511">
      <c r="A3934" s="277" t="n"/>
      <c r="B3934" s="285" t="n"/>
      <c r="C3934" s="579" t="n"/>
      <c r="D3934" s="580" t="n"/>
      <c r="E3934" s="581" t="n"/>
      <c r="F3934" s="577" t="n"/>
      <c r="G3934" s="582" t="n"/>
      <c r="H3934" s="583" t="n"/>
      <c r="I3934" s="510" t="n"/>
    </row>
    <row r="3935" ht="19.95" customFormat="1" customHeight="1" s="511">
      <c r="A3935" s="277" t="n"/>
      <c r="B3935" s="285" t="n"/>
      <c r="C3935" s="579" t="n"/>
      <c r="D3935" s="580" t="n"/>
      <c r="E3935" s="581" t="n"/>
      <c r="F3935" s="577" t="n"/>
      <c r="G3935" s="582" t="n"/>
      <c r="H3935" s="583" t="n"/>
      <c r="I3935" s="510" t="n"/>
    </row>
    <row r="3936" ht="19.95" customFormat="1" customHeight="1" s="511">
      <c r="A3936" s="277" t="n"/>
      <c r="B3936" s="285" t="n"/>
      <c r="C3936" s="579" t="n"/>
      <c r="D3936" s="580" t="n"/>
      <c r="E3936" s="581" t="n"/>
      <c r="F3936" s="577" t="n"/>
      <c r="G3936" s="582" t="n"/>
      <c r="H3936" s="583" t="n"/>
      <c r="I3936" s="510" t="n"/>
    </row>
    <row r="3937" ht="19.95" customFormat="1" customHeight="1" s="511">
      <c r="A3937" s="277" t="n"/>
      <c r="B3937" s="285" t="n"/>
      <c r="C3937" s="579" t="n"/>
      <c r="D3937" s="580" t="n"/>
      <c r="E3937" s="581" t="n"/>
      <c r="F3937" s="577" t="n"/>
      <c r="G3937" s="582" t="n"/>
      <c r="H3937" s="583" t="n"/>
      <c r="I3937" s="510" t="n"/>
    </row>
    <row r="3938" ht="19.95" customFormat="1" customHeight="1" s="511">
      <c r="A3938" s="277" t="n"/>
      <c r="B3938" s="285" t="n"/>
      <c r="C3938" s="579" t="n"/>
      <c r="D3938" s="580" t="n"/>
      <c r="E3938" s="581" t="n"/>
      <c r="F3938" s="577" t="n"/>
      <c r="G3938" s="582" t="n"/>
      <c r="H3938" s="583" t="n"/>
      <c r="I3938" s="510" t="n"/>
    </row>
    <row r="3939" ht="19.95" customFormat="1" customHeight="1" s="511">
      <c r="A3939" s="277" t="n"/>
      <c r="B3939" s="285" t="n"/>
      <c r="C3939" s="579" t="n"/>
      <c r="D3939" s="580" t="n"/>
      <c r="E3939" s="581" t="n"/>
      <c r="F3939" s="577" t="n"/>
      <c r="G3939" s="582" t="n"/>
      <c r="H3939" s="583" t="n"/>
      <c r="I3939" s="510" t="n"/>
    </row>
    <row r="3940" ht="19.95" customFormat="1" customHeight="1" s="511">
      <c r="A3940" s="277" t="n"/>
      <c r="B3940" s="285" t="n"/>
      <c r="C3940" s="579" t="n"/>
      <c r="D3940" s="580" t="n"/>
      <c r="E3940" s="581" t="n"/>
      <c r="F3940" s="577" t="n"/>
      <c r="G3940" s="582" t="n"/>
      <c r="H3940" s="583" t="n"/>
      <c r="I3940" s="510" t="n"/>
    </row>
    <row r="3941" ht="19.95" customFormat="1" customHeight="1" s="511">
      <c r="A3941" s="277" t="n"/>
      <c r="B3941" s="285" t="n"/>
      <c r="C3941" s="579" t="n"/>
      <c r="D3941" s="580" t="n"/>
      <c r="E3941" s="581" t="n"/>
      <c r="F3941" s="577" t="n"/>
      <c r="G3941" s="582" t="n"/>
      <c r="H3941" s="583" t="n"/>
      <c r="I3941" s="510" t="n"/>
    </row>
    <row r="3942" ht="19.95" customFormat="1" customHeight="1" s="511">
      <c r="A3942" s="277" t="n"/>
      <c r="B3942" s="285" t="n"/>
      <c r="C3942" s="579" t="n"/>
      <c r="D3942" s="580" t="n"/>
      <c r="E3942" s="581" t="n"/>
      <c r="F3942" s="577" t="n"/>
      <c r="G3942" s="582" t="n"/>
      <c r="H3942" s="583" t="n"/>
      <c r="I3942" s="510" t="n"/>
    </row>
    <row r="3943" ht="19.95" customFormat="1" customHeight="1" s="511">
      <c r="A3943" s="277" t="n"/>
      <c r="B3943" s="285" t="n"/>
      <c r="C3943" s="579" t="n"/>
      <c r="D3943" s="580" t="n"/>
      <c r="E3943" s="581" t="n"/>
      <c r="F3943" s="577" t="n"/>
      <c r="G3943" s="582" t="n"/>
      <c r="H3943" s="583" t="n"/>
      <c r="I3943" s="510" t="n"/>
    </row>
    <row r="3944" ht="19.95" customFormat="1" customHeight="1" s="511">
      <c r="A3944" s="277" t="n"/>
      <c r="B3944" s="285" t="n"/>
      <c r="C3944" s="579" t="n"/>
      <c r="D3944" s="580" t="n"/>
      <c r="E3944" s="581" t="n"/>
      <c r="F3944" s="577" t="n"/>
      <c r="G3944" s="582" t="n"/>
      <c r="H3944" s="583" t="n"/>
      <c r="I3944" s="510" t="n"/>
    </row>
    <row r="3945" ht="19.95" customFormat="1" customHeight="1" s="511">
      <c r="A3945" s="277" t="n"/>
      <c r="B3945" s="285" t="n"/>
      <c r="C3945" s="579" t="n"/>
      <c r="D3945" s="580" t="n"/>
      <c r="E3945" s="581" t="n"/>
      <c r="F3945" s="577" t="n"/>
      <c r="G3945" s="582" t="n"/>
      <c r="H3945" s="583" t="n"/>
      <c r="I3945" s="510" t="n"/>
    </row>
    <row r="3946" ht="19.95" customFormat="1" customHeight="1" s="511">
      <c r="A3946" s="277" t="n"/>
      <c r="B3946" s="285" t="n"/>
      <c r="C3946" s="579" t="n"/>
      <c r="D3946" s="580" t="n"/>
      <c r="E3946" s="581" t="n"/>
      <c r="F3946" s="577" t="n"/>
      <c r="G3946" s="582" t="n"/>
      <c r="H3946" s="583" t="n"/>
      <c r="I3946" s="510" t="n"/>
    </row>
    <row r="3947" ht="19.95" customFormat="1" customHeight="1" s="511">
      <c r="A3947" s="277" t="n"/>
      <c r="B3947" s="285" t="n"/>
      <c r="C3947" s="579" t="n"/>
      <c r="D3947" s="580" t="n"/>
      <c r="E3947" s="581" t="n"/>
      <c r="F3947" s="577" t="n"/>
      <c r="G3947" s="582" t="n"/>
      <c r="H3947" s="583" t="n"/>
      <c r="I3947" s="510" t="n"/>
    </row>
    <row r="3948" ht="19.95" customFormat="1" customHeight="1" s="511">
      <c r="A3948" s="277" t="n"/>
      <c r="B3948" s="285" t="n"/>
      <c r="C3948" s="579" t="n"/>
      <c r="D3948" s="580" t="n"/>
      <c r="E3948" s="581" t="n"/>
      <c r="F3948" s="577" t="n"/>
      <c r="G3948" s="582" t="n"/>
      <c r="H3948" s="583" t="n"/>
      <c r="I3948" s="510" t="n"/>
    </row>
    <row r="3949" ht="19.95" customFormat="1" customHeight="1" s="511">
      <c r="A3949" s="277" t="n"/>
      <c r="B3949" s="285" t="n"/>
      <c r="C3949" s="579" t="n"/>
      <c r="D3949" s="580" t="n"/>
      <c r="E3949" s="581" t="n"/>
      <c r="F3949" s="577" t="n"/>
      <c r="G3949" s="582" t="n"/>
      <c r="H3949" s="583" t="n"/>
      <c r="I3949" s="510" t="n"/>
    </row>
    <row r="3950" ht="19.95" customFormat="1" customHeight="1" s="511">
      <c r="A3950" s="277" t="n"/>
      <c r="B3950" s="285" t="n"/>
      <c r="C3950" s="579" t="n"/>
      <c r="D3950" s="580" t="n"/>
      <c r="E3950" s="581" t="n"/>
      <c r="F3950" s="577" t="n"/>
      <c r="G3950" s="582" t="n"/>
      <c r="H3950" s="583" t="n"/>
      <c r="I3950" s="510" t="n"/>
    </row>
    <row r="3951" ht="19.95" customFormat="1" customHeight="1" s="511">
      <c r="A3951" s="277" t="n"/>
      <c r="B3951" s="285" t="n"/>
      <c r="C3951" s="579" t="n"/>
      <c r="D3951" s="580" t="n"/>
      <c r="E3951" s="581" t="n"/>
      <c r="F3951" s="577" t="n"/>
      <c r="G3951" s="582" t="n"/>
      <c r="H3951" s="583" t="n"/>
      <c r="I3951" s="510" t="n"/>
    </row>
    <row r="3952" ht="19.95" customFormat="1" customHeight="1" s="511">
      <c r="A3952" s="277" t="n"/>
      <c r="B3952" s="285" t="n"/>
      <c r="C3952" s="579" t="n"/>
      <c r="D3952" s="580" t="n"/>
      <c r="E3952" s="581" t="n"/>
      <c r="F3952" s="577" t="n"/>
      <c r="G3952" s="582" t="n"/>
      <c r="H3952" s="583" t="n"/>
      <c r="I3952" s="510" t="n"/>
    </row>
    <row r="3953" ht="19.95" customFormat="1" customHeight="1" s="511">
      <c r="A3953" s="277" t="n"/>
      <c r="B3953" s="285" t="n"/>
      <c r="C3953" s="579" t="n"/>
      <c r="D3953" s="580" t="n"/>
      <c r="E3953" s="581" t="n"/>
      <c r="F3953" s="577" t="n"/>
      <c r="G3953" s="582" t="n"/>
      <c r="H3953" s="583" t="n"/>
      <c r="I3953" s="510" t="n"/>
    </row>
    <row r="3954" ht="19.95" customFormat="1" customHeight="1" s="511">
      <c r="A3954" s="277" t="n"/>
      <c r="B3954" s="285" t="n"/>
      <c r="C3954" s="579" t="n"/>
      <c r="D3954" s="580" t="n"/>
      <c r="E3954" s="581" t="n"/>
      <c r="F3954" s="577" t="n"/>
      <c r="G3954" s="582" t="n"/>
      <c r="H3954" s="583" t="n"/>
      <c r="I3954" s="510" t="n"/>
    </row>
    <row r="3955" ht="19.95" customFormat="1" customHeight="1" s="511">
      <c r="A3955" s="277" t="n"/>
      <c r="B3955" s="285" t="n"/>
      <c r="C3955" s="579" t="n"/>
      <c r="D3955" s="580" t="n"/>
      <c r="E3955" s="581" t="n"/>
      <c r="F3955" s="577" t="n"/>
      <c r="G3955" s="582" t="n"/>
      <c r="H3955" s="583" t="n"/>
      <c r="I3955" s="510" t="n"/>
    </row>
    <row r="3956" ht="19.95" customFormat="1" customHeight="1" s="511">
      <c r="A3956" s="277" t="n"/>
      <c r="B3956" s="285" t="n"/>
      <c r="C3956" s="579" t="n"/>
      <c r="D3956" s="580" t="n"/>
      <c r="E3956" s="581" t="n"/>
      <c r="F3956" s="577" t="n"/>
      <c r="G3956" s="582" t="n"/>
      <c r="H3956" s="583" t="n"/>
      <c r="I3956" s="510" t="n"/>
    </row>
    <row r="3957" ht="19.95" customFormat="1" customHeight="1" s="511">
      <c r="A3957" s="277" t="n"/>
      <c r="B3957" s="285" t="n"/>
      <c r="C3957" s="579" t="n"/>
      <c r="D3957" s="580" t="n"/>
      <c r="E3957" s="581" t="n"/>
      <c r="F3957" s="577" t="n"/>
      <c r="G3957" s="582" t="n"/>
      <c r="H3957" s="583" t="n"/>
      <c r="I3957" s="510" t="n"/>
    </row>
    <row r="3958" ht="19.95" customFormat="1" customHeight="1" s="511">
      <c r="A3958" s="277" t="n"/>
      <c r="B3958" s="285" t="n"/>
      <c r="C3958" s="579" t="n"/>
      <c r="D3958" s="580" t="n"/>
      <c r="E3958" s="581" t="n"/>
      <c r="F3958" s="577" t="n"/>
      <c r="G3958" s="582" t="n"/>
      <c r="H3958" s="583" t="n"/>
      <c r="I3958" s="510" t="n"/>
    </row>
    <row r="3959" ht="19.95" customFormat="1" customHeight="1" s="511">
      <c r="A3959" s="277" t="n"/>
      <c r="B3959" s="285" t="n"/>
      <c r="C3959" s="579" t="n"/>
      <c r="D3959" s="580" t="n"/>
      <c r="E3959" s="581" t="n"/>
      <c r="F3959" s="577" t="n"/>
      <c r="G3959" s="582" t="n"/>
      <c r="H3959" s="583" t="n"/>
      <c r="I3959" s="510" t="n"/>
    </row>
    <row r="3960" ht="19.95" customFormat="1" customHeight="1" s="511">
      <c r="A3960" s="277" t="n"/>
      <c r="B3960" s="285" t="n"/>
      <c r="C3960" s="579" t="n"/>
      <c r="D3960" s="580" t="n"/>
      <c r="E3960" s="581" t="n"/>
      <c r="F3960" s="577" t="n"/>
      <c r="G3960" s="582" t="n"/>
      <c r="H3960" s="583" t="n"/>
      <c r="I3960" s="510" t="n"/>
    </row>
    <row r="3961" ht="19.95" customFormat="1" customHeight="1" s="511">
      <c r="A3961" s="277" t="n"/>
      <c r="B3961" s="285" t="n"/>
      <c r="C3961" s="579" t="n"/>
      <c r="D3961" s="580" t="n"/>
      <c r="E3961" s="581" t="n"/>
      <c r="F3961" s="577" t="n"/>
      <c r="G3961" s="582" t="n"/>
      <c r="H3961" s="583" t="n"/>
      <c r="I3961" s="510" t="n"/>
    </row>
    <row r="3962" ht="19.95" customFormat="1" customHeight="1" s="511">
      <c r="A3962" s="277" t="n"/>
      <c r="B3962" s="285" t="n"/>
      <c r="C3962" s="579" t="n"/>
      <c r="D3962" s="580" t="n"/>
      <c r="E3962" s="581" t="n"/>
      <c r="F3962" s="577" t="n"/>
      <c r="G3962" s="582" t="n"/>
      <c r="H3962" s="583" t="n"/>
      <c r="I3962" s="510" t="n"/>
    </row>
    <row r="3963" ht="19.95" customFormat="1" customHeight="1" s="511">
      <c r="A3963" s="277" t="n"/>
      <c r="B3963" s="285" t="n"/>
      <c r="C3963" s="579" t="n"/>
      <c r="D3963" s="580" t="n"/>
      <c r="E3963" s="581" t="n"/>
      <c r="F3963" s="577" t="n"/>
      <c r="G3963" s="582" t="n"/>
      <c r="H3963" s="583" t="n"/>
      <c r="I3963" s="510" t="n"/>
    </row>
    <row r="3964" ht="19.95" customFormat="1" customHeight="1" s="511">
      <c r="A3964" s="277" t="n"/>
      <c r="B3964" s="285" t="n"/>
      <c r="C3964" s="579" t="n"/>
      <c r="D3964" s="580" t="n"/>
      <c r="E3964" s="581" t="n"/>
      <c r="F3964" s="577" t="n"/>
      <c r="G3964" s="582" t="n"/>
      <c r="H3964" s="583" t="n"/>
      <c r="I3964" s="510" t="n"/>
    </row>
    <row r="3965" ht="19.95" customFormat="1" customHeight="1" s="511">
      <c r="A3965" s="277" t="n"/>
      <c r="B3965" s="285" t="n"/>
      <c r="C3965" s="579" t="n"/>
      <c r="D3965" s="580" t="n"/>
      <c r="E3965" s="581" t="n"/>
      <c r="F3965" s="577" t="n"/>
      <c r="G3965" s="582" t="n"/>
      <c r="H3965" s="583" t="n"/>
      <c r="I3965" s="510" t="n"/>
    </row>
    <row r="3966" ht="19.95" customFormat="1" customHeight="1" s="511">
      <c r="A3966" s="277" t="n"/>
      <c r="B3966" s="285" t="n"/>
      <c r="C3966" s="579" t="n"/>
      <c r="D3966" s="580" t="n"/>
      <c r="E3966" s="581" t="n"/>
      <c r="F3966" s="577" t="n"/>
      <c r="G3966" s="582" t="n"/>
      <c r="H3966" s="583" t="n"/>
      <c r="I3966" s="510" t="n"/>
    </row>
    <row r="3967" ht="19.95" customFormat="1" customHeight="1" s="511">
      <c r="A3967" s="277" t="n"/>
      <c r="B3967" s="285" t="n"/>
      <c r="C3967" s="579" t="n"/>
      <c r="D3967" s="580" t="n"/>
      <c r="E3967" s="581" t="n"/>
      <c r="F3967" s="577" t="n"/>
      <c r="G3967" s="582" t="n"/>
      <c r="H3967" s="583" t="n"/>
      <c r="I3967" s="510" t="n"/>
    </row>
    <row r="3968" ht="19.95" customFormat="1" customHeight="1" s="511">
      <c r="A3968" s="277" t="n"/>
      <c r="B3968" s="285" t="n"/>
      <c r="C3968" s="579" t="n"/>
      <c r="D3968" s="580" t="n"/>
      <c r="E3968" s="581" t="n"/>
      <c r="F3968" s="577" t="n"/>
      <c r="G3968" s="582" t="n"/>
      <c r="H3968" s="583" t="n"/>
      <c r="I3968" s="510" t="n"/>
    </row>
    <row r="3969" ht="19.95" customFormat="1" customHeight="1" s="511">
      <c r="A3969" s="277" t="n"/>
      <c r="B3969" s="285" t="n"/>
      <c r="C3969" s="579" t="n"/>
      <c r="D3969" s="580" t="n"/>
      <c r="E3969" s="581" t="n"/>
      <c r="F3969" s="577" t="n"/>
      <c r="G3969" s="582" t="n"/>
      <c r="H3969" s="583" t="n"/>
      <c r="I3969" s="510" t="n"/>
    </row>
    <row r="3970" ht="19.95" customFormat="1" customHeight="1" s="511">
      <c r="A3970" s="277" t="n"/>
      <c r="B3970" s="285" t="n"/>
      <c r="C3970" s="579" t="n"/>
      <c r="D3970" s="580" t="n"/>
      <c r="E3970" s="581" t="n"/>
      <c r="F3970" s="577" t="n"/>
      <c r="G3970" s="582" t="n"/>
      <c r="H3970" s="583" t="n"/>
      <c r="I3970" s="510" t="n"/>
    </row>
    <row r="3971" ht="19.95" customFormat="1" customHeight="1" s="511">
      <c r="A3971" s="277" t="n"/>
      <c r="B3971" s="285" t="n"/>
      <c r="C3971" s="579" t="n"/>
      <c r="D3971" s="580" t="n"/>
      <c r="E3971" s="581" t="n"/>
      <c r="F3971" s="577" t="n"/>
      <c r="G3971" s="582" t="n"/>
      <c r="H3971" s="583" t="n"/>
      <c r="I3971" s="510" t="n"/>
    </row>
    <row r="3972" ht="19.95" customFormat="1" customHeight="1" s="511">
      <c r="A3972" s="277" t="n"/>
      <c r="B3972" s="285" t="n"/>
      <c r="C3972" s="579" t="n"/>
      <c r="D3972" s="580" t="n"/>
      <c r="E3972" s="581" t="n"/>
      <c r="F3972" s="577" t="n"/>
      <c r="G3972" s="582" t="n"/>
      <c r="H3972" s="583" t="n"/>
      <c r="I3972" s="510" t="n"/>
    </row>
    <row r="3973" ht="19.95" customFormat="1" customHeight="1" s="511">
      <c r="A3973" s="277" t="n"/>
      <c r="B3973" s="285" t="n"/>
      <c r="C3973" s="579" t="n"/>
      <c r="D3973" s="580" t="n"/>
      <c r="E3973" s="581" t="n"/>
      <c r="F3973" s="577" t="n"/>
      <c r="G3973" s="582" t="n"/>
      <c r="H3973" s="583" t="n"/>
      <c r="I3973" s="510" t="n"/>
    </row>
    <row r="3974" ht="19.95" customFormat="1" customHeight="1" s="511">
      <c r="A3974" s="277" t="n"/>
      <c r="B3974" s="285" t="n"/>
      <c r="C3974" s="579" t="n"/>
      <c r="D3974" s="580" t="n"/>
      <c r="E3974" s="581" t="n"/>
      <c r="F3974" s="577" t="n"/>
      <c r="G3974" s="582" t="n"/>
      <c r="H3974" s="583" t="n"/>
      <c r="I3974" s="510" t="n"/>
    </row>
    <row r="3975" ht="19.95" customFormat="1" customHeight="1" s="511">
      <c r="A3975" s="277" t="n"/>
      <c r="B3975" s="285" t="n"/>
      <c r="C3975" s="579" t="n"/>
      <c r="D3975" s="580" t="n"/>
      <c r="E3975" s="581" t="n"/>
      <c r="F3975" s="577" t="n"/>
      <c r="G3975" s="582" t="n"/>
      <c r="H3975" s="583" t="n"/>
      <c r="I3975" s="510" t="n"/>
    </row>
    <row r="3976" ht="19.95" customFormat="1" customHeight="1" s="511">
      <c r="A3976" s="277" t="n"/>
      <c r="B3976" s="285" t="n"/>
      <c r="C3976" s="579" t="n"/>
      <c r="D3976" s="580" t="n"/>
      <c r="E3976" s="581" t="n"/>
      <c r="F3976" s="577" t="n"/>
      <c r="G3976" s="582" t="n"/>
      <c r="H3976" s="583" t="n"/>
      <c r="I3976" s="510" t="n"/>
    </row>
    <row r="3977" ht="19.95" customFormat="1" customHeight="1" s="511">
      <c r="A3977" s="277" t="n"/>
      <c r="B3977" s="285" t="n"/>
      <c r="C3977" s="579" t="n"/>
      <c r="D3977" s="580" t="n"/>
      <c r="E3977" s="581" t="n"/>
      <c r="F3977" s="577" t="n"/>
      <c r="G3977" s="582" t="n"/>
      <c r="H3977" s="583" t="n"/>
      <c r="I3977" s="510" t="n"/>
    </row>
    <row r="3978" ht="19.95" customFormat="1" customHeight="1" s="511">
      <c r="A3978" s="277" t="n"/>
      <c r="B3978" s="285" t="n"/>
      <c r="C3978" s="579" t="n"/>
      <c r="D3978" s="580" t="n"/>
      <c r="E3978" s="581" t="n"/>
      <c r="F3978" s="577" t="n"/>
      <c r="G3978" s="582" t="n"/>
      <c r="H3978" s="583" t="n"/>
      <c r="I3978" s="510" t="n"/>
    </row>
    <row r="3979" ht="19.95" customFormat="1" customHeight="1" s="511">
      <c r="A3979" s="277" t="n"/>
      <c r="B3979" s="285" t="n"/>
      <c r="C3979" s="579" t="n"/>
      <c r="D3979" s="580" t="n"/>
      <c r="E3979" s="581" t="n"/>
      <c r="F3979" s="577" t="n"/>
      <c r="G3979" s="582" t="n"/>
      <c r="H3979" s="583" t="n"/>
      <c r="I3979" s="510" t="n"/>
    </row>
    <row r="3980" ht="19.95" customFormat="1" customHeight="1" s="511">
      <c r="A3980" s="277" t="n"/>
      <c r="B3980" s="285" t="n"/>
      <c r="C3980" s="579" t="n"/>
      <c r="D3980" s="580" t="n"/>
      <c r="E3980" s="581" t="n"/>
      <c r="F3980" s="577" t="n"/>
      <c r="G3980" s="582" t="n"/>
      <c r="H3980" s="583" t="n"/>
      <c r="I3980" s="510" t="n"/>
    </row>
    <row r="3981" ht="19.95" customFormat="1" customHeight="1" s="511">
      <c r="A3981" s="277" t="n"/>
      <c r="B3981" s="285" t="n"/>
      <c r="C3981" s="579" t="n"/>
      <c r="D3981" s="580" t="n"/>
      <c r="E3981" s="581" t="n"/>
      <c r="F3981" s="577" t="n"/>
      <c r="G3981" s="582" t="n"/>
      <c r="H3981" s="583" t="n"/>
      <c r="I3981" s="510" t="n"/>
    </row>
    <row r="3982" ht="19.95" customFormat="1" customHeight="1" s="511">
      <c r="A3982" s="277" t="n"/>
      <c r="B3982" s="285" t="n"/>
      <c r="C3982" s="579" t="n"/>
      <c r="D3982" s="580" t="n"/>
      <c r="E3982" s="581" t="n"/>
      <c r="F3982" s="577" t="n"/>
      <c r="G3982" s="582" t="n"/>
      <c r="H3982" s="583" t="n"/>
      <c r="I3982" s="510" t="n"/>
    </row>
    <row r="3983" ht="19.95" customFormat="1" customHeight="1" s="511">
      <c r="A3983" s="277" t="n"/>
      <c r="B3983" s="285" t="n"/>
      <c r="C3983" s="579" t="n"/>
      <c r="D3983" s="580" t="n"/>
      <c r="E3983" s="581" t="n"/>
      <c r="F3983" s="577" t="n"/>
      <c r="G3983" s="582" t="n"/>
      <c r="H3983" s="583" t="n"/>
      <c r="I3983" s="510" t="n"/>
    </row>
    <row r="3984" ht="19.95" customFormat="1" customHeight="1" s="511">
      <c r="A3984" s="277" t="n"/>
      <c r="B3984" s="285" t="n"/>
      <c r="C3984" s="579" t="n"/>
      <c r="D3984" s="580" t="n"/>
      <c r="E3984" s="581" t="n"/>
      <c r="F3984" s="577" t="n"/>
      <c r="G3984" s="582" t="n"/>
      <c r="H3984" s="583" t="n"/>
      <c r="I3984" s="510" t="n"/>
    </row>
    <row r="3985" ht="19.95" customFormat="1" customHeight="1" s="511">
      <c r="A3985" s="277" t="n"/>
      <c r="B3985" s="285" t="n"/>
      <c r="C3985" s="579" t="n"/>
      <c r="D3985" s="580" t="n"/>
      <c r="E3985" s="581" t="n"/>
      <c r="F3985" s="577" t="n"/>
      <c r="G3985" s="582" t="n"/>
      <c r="H3985" s="583" t="n"/>
      <c r="I3985" s="510" t="n"/>
    </row>
    <row r="3986" ht="19.95" customFormat="1" customHeight="1" s="511">
      <c r="A3986" s="277" t="n"/>
      <c r="B3986" s="285" t="n"/>
      <c r="C3986" s="579" t="n"/>
      <c r="D3986" s="580" t="n"/>
      <c r="E3986" s="581" t="n"/>
      <c r="F3986" s="577" t="n"/>
      <c r="G3986" s="582" t="n"/>
      <c r="H3986" s="583" t="n"/>
      <c r="I3986" s="510" t="n"/>
    </row>
    <row r="3987" ht="19.95" customFormat="1" customHeight="1" s="511">
      <c r="A3987" s="277" t="n"/>
      <c r="B3987" s="285" t="n"/>
      <c r="C3987" s="579" t="n"/>
      <c r="D3987" s="580" t="n"/>
      <c r="E3987" s="581" t="n"/>
      <c r="F3987" s="577" t="n"/>
      <c r="G3987" s="582" t="n"/>
      <c r="H3987" s="583" t="n"/>
      <c r="I3987" s="510" t="n"/>
    </row>
    <row r="3988" ht="19.95" customFormat="1" customHeight="1" s="511">
      <c r="A3988" s="277" t="n"/>
      <c r="B3988" s="285" t="n"/>
      <c r="C3988" s="579" t="n"/>
      <c r="D3988" s="580" t="n"/>
      <c r="E3988" s="581" t="n"/>
      <c r="F3988" s="577" t="n"/>
      <c r="G3988" s="582" t="n"/>
      <c r="H3988" s="583" t="n"/>
      <c r="I3988" s="510" t="n"/>
    </row>
    <row r="3989" ht="19.95" customFormat="1" customHeight="1" s="511">
      <c r="A3989" s="277" t="n"/>
      <c r="B3989" s="285" t="n"/>
      <c r="C3989" s="579" t="n"/>
      <c r="D3989" s="580" t="n"/>
      <c r="E3989" s="581" t="n"/>
      <c r="F3989" s="577" t="n"/>
      <c r="G3989" s="582" t="n"/>
      <c r="H3989" s="583" t="n"/>
      <c r="I3989" s="510" t="n"/>
    </row>
    <row r="3990" ht="19.95" customFormat="1" customHeight="1" s="511">
      <c r="A3990" s="277" t="n"/>
      <c r="B3990" s="285" t="n"/>
      <c r="C3990" s="579" t="n"/>
      <c r="D3990" s="580" t="n"/>
      <c r="E3990" s="581" t="n"/>
      <c r="F3990" s="577" t="n"/>
      <c r="G3990" s="582" t="n"/>
      <c r="H3990" s="583" t="n"/>
      <c r="I3990" s="510" t="n"/>
    </row>
    <row r="3991" ht="19.95" customFormat="1" customHeight="1" s="511">
      <c r="A3991" s="277" t="n"/>
      <c r="B3991" s="285" t="n"/>
      <c r="C3991" s="579" t="n"/>
      <c r="D3991" s="580" t="n"/>
      <c r="E3991" s="581" t="n"/>
      <c r="F3991" s="577" t="n"/>
      <c r="G3991" s="582" t="n"/>
      <c r="H3991" s="583" t="n"/>
      <c r="I3991" s="510" t="n"/>
    </row>
    <row r="3992" ht="19.95" customFormat="1" customHeight="1" s="511">
      <c r="A3992" s="277" t="n"/>
      <c r="B3992" s="285" t="n"/>
      <c r="C3992" s="579" t="n"/>
      <c r="D3992" s="580" t="n"/>
      <c r="E3992" s="581" t="n"/>
      <c r="F3992" s="577" t="n"/>
      <c r="G3992" s="582" t="n"/>
      <c r="H3992" s="583" t="n"/>
      <c r="I3992" s="510" t="n"/>
    </row>
    <row r="3993" ht="19.95" customFormat="1" customHeight="1" s="511">
      <c r="A3993" s="277" t="n"/>
      <c r="B3993" s="285" t="n"/>
      <c r="C3993" s="579" t="n"/>
      <c r="D3993" s="580" t="n"/>
      <c r="E3993" s="581" t="n"/>
      <c r="F3993" s="577" t="n"/>
      <c r="G3993" s="582" t="n"/>
      <c r="H3993" s="583" t="n"/>
      <c r="I3993" s="510" t="n"/>
    </row>
    <row r="3994" ht="19.95" customFormat="1" customHeight="1" s="511">
      <c r="A3994" s="277" t="n"/>
      <c r="B3994" s="285" t="n"/>
      <c r="C3994" s="579" t="n"/>
      <c r="D3994" s="580" t="n"/>
      <c r="E3994" s="581" t="n"/>
      <c r="F3994" s="577" t="n"/>
      <c r="G3994" s="582" t="n"/>
      <c r="H3994" s="583" t="n"/>
      <c r="I3994" s="510" t="n"/>
    </row>
    <row r="3995" ht="19.95" customFormat="1" customHeight="1" s="511">
      <c r="A3995" s="277" t="n"/>
      <c r="B3995" s="285" t="n"/>
      <c r="C3995" s="579" t="n"/>
      <c r="D3995" s="580" t="n"/>
      <c r="E3995" s="581" t="n"/>
      <c r="F3995" s="577" t="n"/>
      <c r="G3995" s="582" t="n"/>
      <c r="H3995" s="583" t="n"/>
      <c r="I3995" s="510" t="n"/>
    </row>
    <row r="3996" ht="19.95" customFormat="1" customHeight="1" s="511">
      <c r="A3996" s="277" t="n"/>
      <c r="B3996" s="285" t="n"/>
      <c r="C3996" s="579" t="n"/>
      <c r="D3996" s="580" t="n"/>
      <c r="E3996" s="581" t="n"/>
      <c r="F3996" s="577" t="n"/>
      <c r="G3996" s="582" t="n"/>
      <c r="H3996" s="583" t="n"/>
      <c r="I3996" s="510" t="n"/>
    </row>
    <row r="3997" ht="19.95" customFormat="1" customHeight="1" s="511">
      <c r="A3997" s="277" t="n"/>
      <c r="B3997" s="285" t="n"/>
      <c r="C3997" s="579" t="n"/>
      <c r="D3997" s="580" t="n"/>
      <c r="E3997" s="581" t="n"/>
      <c r="F3997" s="577" t="n"/>
      <c r="G3997" s="582" t="n"/>
      <c r="H3997" s="583" t="n"/>
      <c r="I3997" s="510" t="n"/>
    </row>
    <row r="3998" ht="19.95" customFormat="1" customHeight="1" s="511">
      <c r="A3998" s="277" t="n"/>
      <c r="B3998" s="285" t="n"/>
      <c r="C3998" s="579" t="n"/>
      <c r="D3998" s="580" t="n"/>
      <c r="E3998" s="581" t="n"/>
      <c r="F3998" s="577" t="n"/>
      <c r="G3998" s="582" t="n"/>
      <c r="H3998" s="583" t="n"/>
      <c r="I3998" s="510" t="n"/>
    </row>
    <row r="3999" ht="19.95" customFormat="1" customHeight="1" s="511">
      <c r="A3999" s="277" t="n"/>
      <c r="B3999" s="285" t="n"/>
      <c r="C3999" s="579" t="n"/>
      <c r="D3999" s="580" t="n"/>
      <c r="E3999" s="581" t="n"/>
      <c r="F3999" s="577" t="n"/>
      <c r="G3999" s="582" t="n"/>
      <c r="H3999" s="583" t="n"/>
      <c r="I3999" s="510" t="n"/>
    </row>
    <row r="4000" ht="19.95" customFormat="1" customHeight="1" s="511">
      <c r="A4000" s="277" t="n"/>
      <c r="B4000" s="285" t="n"/>
      <c r="C4000" s="579" t="n"/>
      <c r="D4000" s="580" t="n"/>
      <c r="E4000" s="581" t="n"/>
      <c r="F4000" s="577" t="n"/>
      <c r="G4000" s="582" t="n"/>
      <c r="H4000" s="583" t="n"/>
      <c r="I4000" s="510" t="n"/>
    </row>
    <row r="4001" ht="19.95" customFormat="1" customHeight="1" s="511">
      <c r="A4001" s="277" t="n"/>
      <c r="B4001" s="285" t="n"/>
      <c r="C4001" s="579" t="n"/>
      <c r="D4001" s="580" t="n"/>
      <c r="E4001" s="581" t="n"/>
      <c r="F4001" s="577" t="n"/>
      <c r="G4001" s="582" t="n"/>
      <c r="H4001" s="583" t="n"/>
      <c r="I4001" s="510" t="n"/>
    </row>
    <row r="4002" ht="19.95" customFormat="1" customHeight="1" s="511">
      <c r="A4002" s="277" t="n"/>
      <c r="B4002" s="285" t="n"/>
      <c r="C4002" s="579" t="n"/>
      <c r="D4002" s="580" t="n"/>
      <c r="E4002" s="581" t="n"/>
      <c r="F4002" s="577" t="n"/>
      <c r="G4002" s="582" t="n"/>
      <c r="H4002" s="583" t="n"/>
      <c r="I4002" s="510" t="n"/>
    </row>
    <row r="4003" ht="19.95" customFormat="1" customHeight="1" s="511">
      <c r="A4003" s="277" t="n"/>
      <c r="B4003" s="285" t="n"/>
      <c r="C4003" s="579" t="n"/>
      <c r="D4003" s="580" t="n"/>
      <c r="E4003" s="581" t="n"/>
      <c r="F4003" s="577" t="n"/>
      <c r="G4003" s="582" t="n"/>
      <c r="H4003" s="583" t="n"/>
      <c r="I4003" s="510" t="n"/>
    </row>
    <row r="4004" ht="19.95" customFormat="1" customHeight="1" s="511">
      <c r="A4004" s="277" t="n"/>
      <c r="B4004" s="285" t="n"/>
      <c r="C4004" s="579" t="n"/>
      <c r="D4004" s="580" t="n"/>
      <c r="E4004" s="581" t="n"/>
      <c r="F4004" s="577" t="n"/>
      <c r="G4004" s="582" t="n"/>
      <c r="H4004" s="583" t="n"/>
      <c r="I4004" s="510" t="n"/>
    </row>
    <row r="4005" ht="19.95" customFormat="1" customHeight="1" s="511">
      <c r="A4005" s="277" t="n"/>
      <c r="B4005" s="285" t="n"/>
      <c r="C4005" s="579" t="n"/>
      <c r="D4005" s="580" t="n"/>
      <c r="E4005" s="581" t="n"/>
      <c r="F4005" s="577" t="n"/>
      <c r="G4005" s="582" t="n"/>
      <c r="H4005" s="583" t="n"/>
      <c r="I4005" s="510" t="n"/>
    </row>
    <row r="4006" ht="19.95" customFormat="1" customHeight="1" s="511">
      <c r="A4006" s="277" t="n"/>
      <c r="B4006" s="285" t="n"/>
      <c r="C4006" s="579" t="n"/>
      <c r="D4006" s="580" t="n"/>
      <c r="E4006" s="581" t="n"/>
      <c r="F4006" s="577" t="n"/>
      <c r="G4006" s="582" t="n"/>
      <c r="H4006" s="583" t="n"/>
      <c r="I4006" s="510" t="n"/>
    </row>
    <row r="4007" ht="19.95" customFormat="1" customHeight="1" s="511">
      <c r="A4007" s="277" t="n"/>
      <c r="B4007" s="285" t="n"/>
      <c r="C4007" s="579" t="n"/>
      <c r="D4007" s="580" t="n"/>
      <c r="E4007" s="581" t="n"/>
      <c r="F4007" s="577" t="n"/>
      <c r="G4007" s="582" t="n"/>
      <c r="H4007" s="583" t="n"/>
      <c r="I4007" s="510" t="n"/>
    </row>
    <row r="4008" ht="19.95" customFormat="1" customHeight="1" s="511">
      <c r="A4008" s="277" t="n"/>
      <c r="B4008" s="285" t="n"/>
      <c r="C4008" s="579" t="n"/>
      <c r="D4008" s="580" t="n"/>
      <c r="E4008" s="581" t="n"/>
      <c r="F4008" s="577" t="n"/>
      <c r="G4008" s="582" t="n"/>
      <c r="H4008" s="583" t="n"/>
      <c r="I4008" s="510" t="n"/>
    </row>
    <row r="4009" ht="19.95" customFormat="1" customHeight="1" s="511">
      <c r="A4009" s="277" t="n"/>
      <c r="B4009" s="285" t="n"/>
      <c r="C4009" s="579" t="n"/>
      <c r="D4009" s="580" t="n"/>
      <c r="E4009" s="581" t="n"/>
      <c r="F4009" s="577" t="n"/>
      <c r="G4009" s="582" t="n"/>
      <c r="H4009" s="583" t="n"/>
      <c r="I4009" s="510" t="n"/>
    </row>
    <row r="4010" ht="19.95" customFormat="1" customHeight="1" s="511">
      <c r="A4010" s="277" t="n"/>
      <c r="B4010" s="285" t="n"/>
      <c r="C4010" s="579" t="n"/>
      <c r="D4010" s="580" t="n"/>
      <c r="E4010" s="581" t="n"/>
      <c r="F4010" s="577" t="n"/>
      <c r="G4010" s="582" t="n"/>
      <c r="H4010" s="583" t="n"/>
      <c r="I4010" s="510" t="n"/>
    </row>
    <row r="4011" ht="19.95" customFormat="1" customHeight="1" s="511">
      <c r="A4011" s="277" t="n"/>
      <c r="B4011" s="285" t="n"/>
      <c r="C4011" s="579" t="n"/>
      <c r="D4011" s="580" t="n"/>
      <c r="E4011" s="581" t="n"/>
      <c r="F4011" s="577" t="n"/>
      <c r="G4011" s="582" t="n"/>
      <c r="H4011" s="583" t="n"/>
      <c r="I4011" s="510" t="n"/>
    </row>
    <row r="4012" ht="19.95" customFormat="1" customHeight="1" s="511">
      <c r="A4012" s="277" t="n"/>
      <c r="B4012" s="285" t="n"/>
      <c r="C4012" s="579" t="n"/>
      <c r="D4012" s="580" t="n"/>
      <c r="E4012" s="581" t="n"/>
      <c r="F4012" s="577" t="n"/>
      <c r="G4012" s="582" t="n"/>
      <c r="H4012" s="583" t="n"/>
      <c r="I4012" s="510" t="n"/>
    </row>
    <row r="4013" ht="19.95" customFormat="1" customHeight="1" s="511">
      <c r="A4013" s="277" t="n"/>
      <c r="B4013" s="285" t="n"/>
      <c r="C4013" s="579" t="n"/>
      <c r="D4013" s="580" t="n"/>
      <c r="E4013" s="581" t="n"/>
      <c r="F4013" s="577" t="n"/>
      <c r="G4013" s="582" t="n"/>
      <c r="H4013" s="583" t="n"/>
      <c r="I4013" s="510" t="n"/>
    </row>
    <row r="4014" ht="19.95" customFormat="1" customHeight="1" s="511">
      <c r="A4014" s="277" t="n"/>
      <c r="B4014" s="285" t="n"/>
      <c r="C4014" s="579" t="n"/>
      <c r="D4014" s="580" t="n"/>
      <c r="E4014" s="581" t="n"/>
      <c r="F4014" s="577" t="n"/>
      <c r="G4014" s="582" t="n"/>
      <c r="H4014" s="583" t="n"/>
      <c r="I4014" s="510" t="n"/>
    </row>
    <row r="4015" ht="19.95" customFormat="1" customHeight="1" s="511">
      <c r="A4015" s="277" t="n"/>
      <c r="B4015" s="285" t="n"/>
      <c r="C4015" s="579" t="n"/>
      <c r="D4015" s="580" t="n"/>
      <c r="E4015" s="581" t="n"/>
      <c r="F4015" s="577" t="n"/>
      <c r="G4015" s="582" t="n"/>
      <c r="H4015" s="583" t="n"/>
      <c r="I4015" s="510" t="n"/>
    </row>
    <row r="4016" ht="19.95" customFormat="1" customHeight="1" s="511">
      <c r="A4016" s="277" t="n"/>
      <c r="B4016" s="285" t="n"/>
      <c r="C4016" s="579" t="n"/>
      <c r="D4016" s="580" t="n"/>
      <c r="E4016" s="581" t="n"/>
      <c r="F4016" s="577" t="n"/>
      <c r="G4016" s="582" t="n"/>
      <c r="H4016" s="583" t="n"/>
      <c r="I4016" s="510" t="n"/>
    </row>
    <row r="4017" ht="19.95" customFormat="1" customHeight="1" s="511">
      <c r="A4017" s="277" t="n"/>
      <c r="B4017" s="285" t="n"/>
      <c r="C4017" s="579" t="n"/>
      <c r="D4017" s="580" t="n"/>
      <c r="E4017" s="581" t="n"/>
      <c r="F4017" s="577" t="n"/>
      <c r="G4017" s="582" t="n"/>
      <c r="H4017" s="583" t="n"/>
      <c r="I4017" s="510" t="n"/>
    </row>
    <row r="4018" ht="19.95" customFormat="1" customHeight="1" s="511">
      <c r="A4018" s="277" t="n"/>
      <c r="B4018" s="285" t="n"/>
      <c r="C4018" s="579" t="n"/>
      <c r="D4018" s="580" t="n"/>
      <c r="E4018" s="581" t="n"/>
      <c r="F4018" s="577" t="n"/>
      <c r="G4018" s="582" t="n"/>
      <c r="H4018" s="583" t="n"/>
      <c r="I4018" s="510" t="n"/>
    </row>
    <row r="4019" ht="19.95" customFormat="1" customHeight="1" s="511">
      <c r="A4019" s="277" t="n"/>
      <c r="B4019" s="285" t="n"/>
      <c r="C4019" s="579" t="n"/>
      <c r="D4019" s="580" t="n"/>
      <c r="E4019" s="581" t="n"/>
      <c r="F4019" s="577" t="n"/>
      <c r="G4019" s="582" t="n"/>
      <c r="H4019" s="583" t="n"/>
      <c r="I4019" s="510" t="n"/>
    </row>
    <row r="4020" ht="19.95" customFormat="1" customHeight="1" s="511">
      <c r="A4020" s="277" t="n"/>
      <c r="B4020" s="285" t="n"/>
      <c r="C4020" s="579" t="n"/>
      <c r="D4020" s="580" t="n"/>
      <c r="E4020" s="581" t="n"/>
      <c r="F4020" s="577" t="n"/>
      <c r="G4020" s="582" t="n"/>
      <c r="H4020" s="583" t="n"/>
      <c r="I4020" s="510" t="n"/>
    </row>
    <row r="4021" ht="19.95" customFormat="1" customHeight="1" s="511">
      <c r="A4021" s="277" t="n"/>
      <c r="B4021" s="285" t="n"/>
      <c r="C4021" s="579" t="n"/>
      <c r="D4021" s="580" t="n"/>
      <c r="E4021" s="581" t="n"/>
      <c r="F4021" s="577" t="n"/>
      <c r="G4021" s="582" t="n"/>
      <c r="H4021" s="583" t="n"/>
      <c r="I4021" s="510" t="n"/>
    </row>
    <row r="4022" ht="19.95" customFormat="1" customHeight="1" s="511">
      <c r="A4022" s="277" t="n"/>
      <c r="B4022" s="285" t="n"/>
      <c r="C4022" s="579" t="n"/>
      <c r="D4022" s="580" t="n"/>
      <c r="E4022" s="581" t="n"/>
      <c r="F4022" s="577" t="n"/>
      <c r="G4022" s="582" t="n"/>
      <c r="H4022" s="583" t="n"/>
      <c r="I4022" s="510" t="n"/>
    </row>
    <row r="4023" ht="19.95" customFormat="1" customHeight="1" s="511">
      <c r="A4023" s="277" t="n"/>
      <c r="B4023" s="285" t="n"/>
      <c r="C4023" s="579" t="n"/>
      <c r="D4023" s="580" t="n"/>
      <c r="E4023" s="581" t="n"/>
      <c r="F4023" s="577" t="n"/>
      <c r="G4023" s="582" t="n"/>
      <c r="H4023" s="583" t="n"/>
      <c r="I4023" s="510" t="n"/>
    </row>
    <row r="4024" ht="19.95" customFormat="1" customHeight="1" s="511">
      <c r="A4024" s="277" t="n"/>
      <c r="B4024" s="285" t="n"/>
      <c r="C4024" s="579" t="n"/>
      <c r="D4024" s="580" t="n"/>
      <c r="E4024" s="581" t="n"/>
      <c r="F4024" s="577" t="n"/>
      <c r="G4024" s="582" t="n"/>
      <c r="H4024" s="583" t="n"/>
      <c r="I4024" s="510" t="n"/>
    </row>
    <row r="4025" ht="19.95" customFormat="1" customHeight="1" s="511">
      <c r="A4025" s="277" t="n"/>
      <c r="B4025" s="285" t="n"/>
      <c r="C4025" s="579" t="n"/>
      <c r="D4025" s="580" t="n"/>
      <c r="E4025" s="581" t="n"/>
      <c r="F4025" s="577" t="n"/>
      <c r="G4025" s="582" t="n"/>
      <c r="H4025" s="583" t="n"/>
      <c r="I4025" s="510" t="n"/>
    </row>
    <row r="4026" ht="19.95" customFormat="1" customHeight="1" s="511">
      <c r="A4026" s="277" t="n"/>
      <c r="B4026" s="285" t="n"/>
      <c r="C4026" s="579" t="n"/>
      <c r="D4026" s="580" t="n"/>
      <c r="E4026" s="581" t="n"/>
      <c r="F4026" s="577" t="n"/>
      <c r="G4026" s="582" t="n"/>
      <c r="H4026" s="583" t="n"/>
      <c r="I4026" s="510" t="n"/>
    </row>
    <row r="4027" ht="19.95" customFormat="1" customHeight="1" s="511">
      <c r="A4027" s="277" t="n"/>
      <c r="B4027" s="285" t="n"/>
      <c r="C4027" s="579" t="n"/>
      <c r="D4027" s="580" t="n"/>
      <c r="E4027" s="581" t="n"/>
      <c r="F4027" s="577" t="n"/>
      <c r="G4027" s="582" t="n"/>
      <c r="H4027" s="583" t="n"/>
      <c r="I4027" s="510" t="n"/>
    </row>
    <row r="4028" ht="19.95" customFormat="1" customHeight="1" s="511">
      <c r="A4028" s="277" t="n"/>
      <c r="B4028" s="285" t="n"/>
      <c r="C4028" s="579" t="n"/>
      <c r="D4028" s="580" t="n"/>
      <c r="E4028" s="581" t="n"/>
      <c r="F4028" s="577" t="n"/>
      <c r="G4028" s="582" t="n"/>
      <c r="H4028" s="583" t="n"/>
      <c r="I4028" s="510" t="n"/>
    </row>
    <row r="4029" ht="19.95" customFormat="1" customHeight="1" s="511">
      <c r="A4029" s="277" t="n"/>
      <c r="B4029" s="285" t="n"/>
      <c r="C4029" s="579" t="n"/>
      <c r="D4029" s="580" t="n"/>
      <c r="E4029" s="581" t="n"/>
      <c r="F4029" s="577" t="n"/>
      <c r="G4029" s="582" t="n"/>
      <c r="H4029" s="583" t="n"/>
      <c r="I4029" s="510" t="n"/>
    </row>
    <row r="4030" ht="19.95" customFormat="1" customHeight="1" s="511">
      <c r="A4030" s="277" t="n"/>
      <c r="B4030" s="285" t="n"/>
      <c r="C4030" s="579" t="n"/>
      <c r="D4030" s="580" t="n"/>
      <c r="E4030" s="581" t="n"/>
      <c r="F4030" s="577" t="n"/>
      <c r="G4030" s="582" t="n"/>
      <c r="H4030" s="583" t="n"/>
      <c r="I4030" s="510" t="n"/>
    </row>
    <row r="4031" ht="19.95" customFormat="1" customHeight="1" s="511">
      <c r="A4031" s="277" t="n"/>
      <c r="B4031" s="285" t="n"/>
      <c r="C4031" s="579" t="n"/>
      <c r="D4031" s="580" t="n"/>
      <c r="E4031" s="581" t="n"/>
      <c r="F4031" s="577" t="n"/>
      <c r="G4031" s="582" t="n"/>
      <c r="H4031" s="583" t="n"/>
      <c r="I4031" s="510" t="n"/>
    </row>
    <row r="4032" ht="19.95" customFormat="1" customHeight="1" s="511">
      <c r="A4032" s="277" t="n"/>
      <c r="B4032" s="285" t="n"/>
      <c r="C4032" s="579" t="n"/>
      <c r="D4032" s="580" t="n"/>
      <c r="E4032" s="581" t="n"/>
      <c r="F4032" s="577" t="n"/>
      <c r="G4032" s="582" t="n"/>
      <c r="H4032" s="583" t="n"/>
      <c r="I4032" s="510" t="n"/>
    </row>
    <row r="4033" ht="19.95" customFormat="1" customHeight="1" s="511">
      <c r="A4033" s="277" t="n"/>
      <c r="B4033" s="285" t="n"/>
      <c r="C4033" s="579" t="n"/>
      <c r="D4033" s="580" t="n"/>
      <c r="E4033" s="581" t="n"/>
      <c r="F4033" s="577" t="n"/>
      <c r="G4033" s="582" t="n"/>
      <c r="H4033" s="583" t="n"/>
      <c r="I4033" s="510" t="n"/>
    </row>
    <row r="4034" ht="19.95" customFormat="1" customHeight="1" s="511">
      <c r="A4034" s="277" t="n"/>
      <c r="B4034" s="285" t="n"/>
      <c r="C4034" s="579" t="n"/>
      <c r="D4034" s="580" t="n"/>
      <c r="E4034" s="581" t="n"/>
      <c r="F4034" s="577" t="n"/>
      <c r="G4034" s="582" t="n"/>
      <c r="H4034" s="583" t="n"/>
      <c r="I4034" s="510" t="n"/>
    </row>
    <row r="4035" ht="19.95" customFormat="1" customHeight="1" s="511">
      <c r="A4035" s="277" t="n"/>
      <c r="B4035" s="285" t="n"/>
      <c r="C4035" s="579" t="n"/>
      <c r="D4035" s="580" t="n"/>
      <c r="E4035" s="581" t="n"/>
      <c r="F4035" s="577" t="n"/>
      <c r="G4035" s="582" t="n"/>
      <c r="H4035" s="583" t="n"/>
      <c r="I4035" s="510" t="n"/>
    </row>
    <row r="4036" ht="19.95" customFormat="1" customHeight="1" s="511">
      <c r="A4036" s="277" t="n"/>
      <c r="B4036" s="285" t="n"/>
      <c r="C4036" s="579" t="n"/>
      <c r="D4036" s="580" t="n"/>
      <c r="E4036" s="581" t="n"/>
      <c r="F4036" s="577" t="n"/>
      <c r="G4036" s="582" t="n"/>
      <c r="H4036" s="583" t="n"/>
      <c r="I4036" s="510" t="n"/>
    </row>
    <row r="4037" ht="19.95" customFormat="1" customHeight="1" s="511">
      <c r="A4037" s="277" t="n"/>
      <c r="B4037" s="285" t="n"/>
      <c r="C4037" s="579" t="n"/>
      <c r="D4037" s="580" t="n"/>
      <c r="E4037" s="581" t="n"/>
      <c r="F4037" s="577" t="n"/>
      <c r="G4037" s="582" t="n"/>
      <c r="H4037" s="583" t="n"/>
      <c r="I4037" s="510" t="n"/>
    </row>
    <row r="4038" ht="19.95" customFormat="1" customHeight="1" s="511">
      <c r="A4038" s="277" t="n"/>
      <c r="B4038" s="285" t="n"/>
      <c r="C4038" s="579" t="n"/>
      <c r="D4038" s="580" t="n"/>
      <c r="E4038" s="581" t="n"/>
      <c r="F4038" s="577" t="n"/>
      <c r="G4038" s="582" t="n"/>
      <c r="H4038" s="583" t="n"/>
      <c r="I4038" s="510" t="n"/>
    </row>
    <row r="4039" ht="19.95" customFormat="1" customHeight="1" s="511">
      <c r="A4039" s="277" t="n"/>
      <c r="B4039" s="285" t="n"/>
      <c r="C4039" s="579" t="n"/>
      <c r="D4039" s="580" t="n"/>
      <c r="E4039" s="581" t="n"/>
      <c r="F4039" s="577" t="n"/>
      <c r="G4039" s="582" t="n"/>
      <c r="H4039" s="583" t="n"/>
      <c r="I4039" s="510" t="n"/>
    </row>
    <row r="4040" ht="19.95" customFormat="1" customHeight="1" s="511">
      <c r="A4040" s="277" t="n"/>
      <c r="B4040" s="285" t="n"/>
      <c r="C4040" s="579" t="n"/>
      <c r="D4040" s="580" t="n"/>
      <c r="E4040" s="581" t="n"/>
      <c r="F4040" s="577" t="n"/>
      <c r="G4040" s="582" t="n"/>
      <c r="H4040" s="583" t="n"/>
      <c r="I4040" s="510" t="n"/>
    </row>
    <row r="4041" ht="19.95" customFormat="1" customHeight="1" s="511">
      <c r="A4041" s="277" t="n"/>
      <c r="B4041" s="285" t="n"/>
      <c r="C4041" s="579" t="n"/>
      <c r="D4041" s="580" t="n"/>
      <c r="E4041" s="581" t="n"/>
      <c r="F4041" s="577" t="n"/>
      <c r="G4041" s="582" t="n"/>
      <c r="H4041" s="583" t="n"/>
      <c r="I4041" s="510" t="n"/>
    </row>
    <row r="4042" ht="19.95" customFormat="1" customHeight="1" s="511">
      <c r="A4042" s="277" t="n"/>
      <c r="B4042" s="285" t="n"/>
      <c r="C4042" s="579" t="n"/>
      <c r="D4042" s="580" t="n"/>
      <c r="E4042" s="581" t="n"/>
      <c r="F4042" s="577" t="n"/>
      <c r="G4042" s="582" t="n"/>
      <c r="H4042" s="583" t="n"/>
      <c r="I4042" s="510" t="n"/>
    </row>
    <row r="4043" ht="19.95" customFormat="1" customHeight="1" s="511">
      <c r="A4043" s="277" t="n"/>
      <c r="B4043" s="285" t="n"/>
      <c r="C4043" s="579" t="n"/>
      <c r="D4043" s="580" t="n"/>
      <c r="E4043" s="581" t="n"/>
      <c r="F4043" s="577" t="n"/>
      <c r="G4043" s="582" t="n"/>
      <c r="H4043" s="583" t="n"/>
      <c r="I4043" s="510" t="n"/>
    </row>
    <row r="4044" ht="19.95" customFormat="1" customHeight="1" s="511">
      <c r="A4044" s="277" t="n"/>
      <c r="B4044" s="285" t="n"/>
      <c r="C4044" s="579" t="n"/>
      <c r="D4044" s="580" t="n"/>
      <c r="E4044" s="581" t="n"/>
      <c r="F4044" s="577" t="n"/>
      <c r="G4044" s="582" t="n"/>
      <c r="H4044" s="583" t="n"/>
      <c r="I4044" s="510" t="n"/>
    </row>
    <row r="4045" ht="19.95" customFormat="1" customHeight="1" s="511">
      <c r="A4045" s="277" t="n"/>
      <c r="B4045" s="285" t="n"/>
      <c r="C4045" s="579" t="n"/>
      <c r="D4045" s="580" t="n"/>
      <c r="E4045" s="581" t="n"/>
      <c r="F4045" s="577" t="n"/>
      <c r="G4045" s="582" t="n"/>
      <c r="H4045" s="583" t="n"/>
      <c r="I4045" s="510" t="n"/>
    </row>
    <row r="4046" ht="19.95" customFormat="1" customHeight="1" s="511">
      <c r="A4046" s="277" t="n"/>
      <c r="B4046" s="285" t="n"/>
      <c r="C4046" s="579" t="n"/>
      <c r="D4046" s="580" t="n"/>
      <c r="E4046" s="581" t="n"/>
      <c r="F4046" s="577" t="n"/>
      <c r="G4046" s="582" t="n"/>
      <c r="H4046" s="583" t="n"/>
      <c r="I4046" s="510" t="n"/>
    </row>
    <row r="4047" ht="19.95" customFormat="1" customHeight="1" s="511">
      <c r="A4047" s="277" t="n"/>
      <c r="B4047" s="285" t="n"/>
      <c r="C4047" s="579" t="n"/>
      <c r="D4047" s="580" t="n"/>
      <c r="E4047" s="581" t="n"/>
      <c r="F4047" s="577" t="n"/>
      <c r="G4047" s="582" t="n"/>
      <c r="H4047" s="583" t="n"/>
      <c r="I4047" s="510" t="n"/>
    </row>
    <row r="4048" ht="19.95" customFormat="1" customHeight="1" s="511">
      <c r="A4048" s="277" t="n"/>
      <c r="B4048" s="285" t="n"/>
      <c r="C4048" s="579" t="n"/>
      <c r="D4048" s="580" t="n"/>
      <c r="E4048" s="581" t="n"/>
      <c r="F4048" s="577" t="n"/>
      <c r="G4048" s="582" t="n"/>
      <c r="H4048" s="583" t="n"/>
      <c r="I4048" s="510" t="n"/>
    </row>
    <row r="4049" ht="19.95" customFormat="1" customHeight="1" s="511">
      <c r="A4049" s="277" t="n"/>
      <c r="B4049" s="285" t="n"/>
      <c r="C4049" s="579" t="n"/>
      <c r="D4049" s="580" t="n"/>
      <c r="E4049" s="581" t="n"/>
      <c r="F4049" s="577" t="n"/>
      <c r="G4049" s="582" t="n"/>
      <c r="H4049" s="583" t="n"/>
      <c r="I4049" s="510" t="n"/>
    </row>
    <row r="4050" ht="19.95" customFormat="1" customHeight="1" s="511">
      <c r="A4050" s="277" t="n"/>
      <c r="B4050" s="285" t="n"/>
      <c r="C4050" s="579" t="n"/>
      <c r="D4050" s="580" t="n"/>
      <c r="E4050" s="581" t="n"/>
      <c r="F4050" s="577" t="n"/>
      <c r="G4050" s="582" t="n"/>
      <c r="H4050" s="583" t="n"/>
      <c r="I4050" s="510" t="n"/>
    </row>
    <row r="4051" ht="19.95" customFormat="1" customHeight="1" s="511">
      <c r="A4051" s="277" t="n"/>
      <c r="B4051" s="285" t="n"/>
      <c r="C4051" s="579" t="n"/>
      <c r="D4051" s="580" t="n"/>
      <c r="E4051" s="581" t="n"/>
      <c r="F4051" s="577" t="n"/>
      <c r="G4051" s="582" t="n"/>
      <c r="H4051" s="583" t="n"/>
      <c r="I4051" s="510" t="n"/>
    </row>
    <row r="4052" ht="19.95" customFormat="1" customHeight="1" s="511">
      <c r="A4052" s="277" t="n"/>
      <c r="B4052" s="285" t="n"/>
      <c r="C4052" s="579" t="n"/>
      <c r="D4052" s="580" t="n"/>
      <c r="E4052" s="581" t="n"/>
      <c r="F4052" s="577" t="n"/>
      <c r="G4052" s="582" t="n"/>
      <c r="H4052" s="583" t="n"/>
      <c r="I4052" s="510" t="n"/>
    </row>
    <row r="4053" ht="19.95" customFormat="1" customHeight="1" s="511">
      <c r="A4053" s="277" t="n"/>
      <c r="B4053" s="285" t="n"/>
      <c r="C4053" s="579" t="n"/>
      <c r="D4053" s="580" t="n"/>
      <c r="E4053" s="581" t="n"/>
      <c r="F4053" s="577" t="n"/>
      <c r="G4053" s="582" t="n"/>
      <c r="H4053" s="583" t="n"/>
      <c r="I4053" s="510" t="n"/>
    </row>
    <row r="4054" ht="19.95" customFormat="1" customHeight="1" s="511">
      <c r="A4054" s="277" t="n"/>
      <c r="B4054" s="285" t="n"/>
      <c r="C4054" s="579" t="n"/>
      <c r="D4054" s="580" t="n"/>
      <c r="E4054" s="581" t="n"/>
      <c r="F4054" s="577" t="n"/>
      <c r="G4054" s="582" t="n"/>
      <c r="H4054" s="583" t="n"/>
      <c r="I4054" s="510" t="n"/>
    </row>
    <row r="4055" ht="19.95" customFormat="1" customHeight="1" s="511">
      <c r="A4055" s="277" t="n"/>
      <c r="B4055" s="285" t="n"/>
      <c r="C4055" s="579" t="n"/>
      <c r="D4055" s="580" t="n"/>
      <c r="E4055" s="581" t="n"/>
      <c r="F4055" s="577" t="n"/>
      <c r="G4055" s="582" t="n"/>
      <c r="H4055" s="583" t="n"/>
      <c r="I4055" s="510" t="n"/>
    </row>
    <row r="4056" ht="19.95" customFormat="1" customHeight="1" s="511">
      <c r="A4056" s="277" t="n"/>
      <c r="B4056" s="285" t="n"/>
      <c r="C4056" s="579" t="n"/>
      <c r="D4056" s="580" t="n"/>
      <c r="E4056" s="581" t="n"/>
      <c r="F4056" s="577" t="n"/>
      <c r="G4056" s="582" t="n"/>
      <c r="H4056" s="583" t="n"/>
      <c r="I4056" s="510" t="n"/>
    </row>
    <row r="4057" ht="19.95" customFormat="1" customHeight="1" s="511">
      <c r="A4057" s="277" t="n"/>
      <c r="B4057" s="285" t="n"/>
      <c r="C4057" s="579" t="n"/>
      <c r="D4057" s="580" t="n"/>
      <c r="E4057" s="581" t="n"/>
      <c r="F4057" s="577" t="n"/>
      <c r="G4057" s="582" t="n"/>
      <c r="H4057" s="583" t="n"/>
      <c r="I4057" s="510" t="n"/>
    </row>
    <row r="4058" ht="19.95" customFormat="1" customHeight="1" s="511">
      <c r="A4058" s="277" t="n"/>
      <c r="B4058" s="285" t="n"/>
      <c r="C4058" s="579" t="n"/>
      <c r="D4058" s="580" t="n"/>
      <c r="E4058" s="581" t="n"/>
      <c r="F4058" s="577" t="n"/>
      <c r="G4058" s="582" t="n"/>
      <c r="H4058" s="583" t="n"/>
      <c r="I4058" s="510" t="n"/>
    </row>
    <row r="4059" ht="19.95" customFormat="1" customHeight="1" s="511">
      <c r="A4059" s="277" t="n"/>
      <c r="B4059" s="285" t="n"/>
      <c r="C4059" s="579" t="n"/>
      <c r="D4059" s="580" t="n"/>
      <c r="E4059" s="581" t="n"/>
      <c r="F4059" s="577" t="n"/>
      <c r="G4059" s="582" t="n"/>
      <c r="H4059" s="583" t="n"/>
      <c r="I4059" s="510" t="n"/>
    </row>
    <row r="4060" ht="19.95" customFormat="1" customHeight="1" s="511">
      <c r="A4060" s="277" t="n"/>
      <c r="B4060" s="285" t="n"/>
      <c r="C4060" s="579" t="n"/>
      <c r="D4060" s="580" t="n"/>
      <c r="E4060" s="581" t="n"/>
      <c r="F4060" s="577" t="n"/>
      <c r="G4060" s="582" t="n"/>
      <c r="H4060" s="583" t="n"/>
      <c r="I4060" s="510" t="n"/>
    </row>
    <row r="4061" ht="19.95" customFormat="1" customHeight="1" s="511">
      <c r="A4061" s="277" t="n"/>
      <c r="B4061" s="285" t="n"/>
      <c r="C4061" s="579" t="n"/>
      <c r="D4061" s="580" t="n"/>
      <c r="E4061" s="581" t="n"/>
      <c r="F4061" s="577" t="n"/>
      <c r="G4061" s="582" t="n"/>
      <c r="H4061" s="583" t="n"/>
      <c r="I4061" s="510" t="n"/>
    </row>
    <row r="4062" ht="19.95" customFormat="1" customHeight="1" s="511">
      <c r="A4062" s="277" t="n"/>
      <c r="B4062" s="285" t="n"/>
      <c r="C4062" s="579" t="n"/>
      <c r="D4062" s="580" t="n"/>
      <c r="E4062" s="581" t="n"/>
      <c r="F4062" s="577" t="n"/>
      <c r="G4062" s="582" t="n"/>
      <c r="H4062" s="583" t="n"/>
      <c r="I4062" s="510" t="n"/>
    </row>
    <row r="4063" ht="19.95" customFormat="1" customHeight="1" s="511">
      <c r="A4063" s="277" t="n"/>
      <c r="B4063" s="285" t="n"/>
      <c r="C4063" s="579" t="n"/>
      <c r="D4063" s="580" t="n"/>
      <c r="E4063" s="581" t="n"/>
      <c r="F4063" s="577" t="n"/>
      <c r="G4063" s="582" t="n"/>
      <c r="H4063" s="583" t="n"/>
      <c r="I4063" s="510" t="n"/>
    </row>
    <row r="4064" ht="19.95" customFormat="1" customHeight="1" s="511">
      <c r="A4064" s="277" t="n"/>
      <c r="B4064" s="285" t="n"/>
      <c r="C4064" s="579" t="n"/>
      <c r="D4064" s="580" t="n"/>
      <c r="E4064" s="581" t="n"/>
      <c r="F4064" s="577" t="n"/>
      <c r="G4064" s="582" t="n"/>
      <c r="H4064" s="583" t="n"/>
      <c r="I4064" s="510" t="n"/>
    </row>
    <row r="4065" ht="19.95" customFormat="1" customHeight="1" s="511">
      <c r="A4065" s="277" t="n"/>
      <c r="B4065" s="285" t="n"/>
      <c r="C4065" s="579" t="n"/>
      <c r="D4065" s="580" t="n"/>
      <c r="E4065" s="581" t="n"/>
      <c r="F4065" s="577" t="n"/>
      <c r="G4065" s="582" t="n"/>
      <c r="H4065" s="583" t="n"/>
      <c r="I4065" s="510" t="n"/>
    </row>
    <row r="4066" ht="19.95" customFormat="1" customHeight="1" s="511">
      <c r="A4066" s="277" t="n"/>
      <c r="B4066" s="285" t="n"/>
      <c r="C4066" s="579" t="n"/>
      <c r="D4066" s="580" t="n"/>
      <c r="E4066" s="581" t="n"/>
      <c r="F4066" s="577" t="n"/>
      <c r="G4066" s="582" t="n"/>
      <c r="H4066" s="583" t="n"/>
      <c r="I4066" s="510" t="n"/>
    </row>
    <row r="4067" ht="19.95" customFormat="1" customHeight="1" s="511">
      <c r="A4067" s="277" t="n"/>
      <c r="B4067" s="285" t="n"/>
      <c r="C4067" s="579" t="n"/>
      <c r="D4067" s="580" t="n"/>
      <c r="E4067" s="581" t="n"/>
      <c r="F4067" s="577" t="n"/>
      <c r="G4067" s="582" t="n"/>
      <c r="H4067" s="583" t="n"/>
      <c r="I4067" s="510" t="n"/>
    </row>
    <row r="4068" ht="19.95" customFormat="1" customHeight="1" s="511">
      <c r="A4068" s="277" t="n"/>
      <c r="B4068" s="285" t="n"/>
      <c r="C4068" s="579" t="n"/>
      <c r="D4068" s="580" t="n"/>
      <c r="E4068" s="581" t="n"/>
      <c r="F4068" s="577" t="n"/>
      <c r="G4068" s="582" t="n"/>
      <c r="H4068" s="583" t="n"/>
      <c r="I4068" s="510" t="n"/>
    </row>
    <row r="4069" ht="19.95" customFormat="1" customHeight="1" s="511">
      <c r="A4069" s="277" t="n"/>
      <c r="B4069" s="285" t="n"/>
      <c r="C4069" s="579" t="n"/>
      <c r="D4069" s="580" t="n"/>
      <c r="E4069" s="581" t="n"/>
      <c r="F4069" s="577" t="n"/>
      <c r="G4069" s="582" t="n"/>
      <c r="H4069" s="583" t="n"/>
      <c r="I4069" s="510" t="n"/>
    </row>
    <row r="4070" ht="19.95" customFormat="1" customHeight="1" s="511">
      <c r="A4070" s="277" t="n"/>
      <c r="B4070" s="285" t="n"/>
      <c r="C4070" s="579" t="n"/>
      <c r="D4070" s="580" t="n"/>
      <c r="E4070" s="581" t="n"/>
      <c r="F4070" s="577" t="n"/>
      <c r="G4070" s="582" t="n"/>
      <c r="H4070" s="583" t="n"/>
      <c r="I4070" s="510" t="n"/>
    </row>
    <row r="4071" ht="19.95" customFormat="1" customHeight="1" s="511">
      <c r="A4071" s="277" t="n"/>
      <c r="B4071" s="285" t="n"/>
      <c r="C4071" s="579" t="n"/>
      <c r="D4071" s="580" t="n"/>
      <c r="E4071" s="581" t="n"/>
      <c r="F4071" s="577" t="n"/>
      <c r="G4071" s="582" t="n"/>
      <c r="H4071" s="583" t="n"/>
      <c r="I4071" s="510" t="n"/>
    </row>
    <row r="4072" ht="19.95" customFormat="1" customHeight="1" s="511">
      <c r="A4072" s="277" t="n"/>
      <c r="B4072" s="285" t="n"/>
      <c r="C4072" s="579" t="n"/>
      <c r="D4072" s="580" t="n"/>
      <c r="E4072" s="581" t="n"/>
      <c r="F4072" s="577" t="n"/>
      <c r="G4072" s="582" t="n"/>
      <c r="H4072" s="583" t="n"/>
      <c r="I4072" s="510" t="n"/>
    </row>
    <row r="4073" ht="19.95" customFormat="1" customHeight="1" s="511">
      <c r="A4073" s="277" t="n"/>
      <c r="B4073" s="285" t="n"/>
      <c r="C4073" s="579" t="n"/>
      <c r="D4073" s="580" t="n"/>
      <c r="E4073" s="581" t="n"/>
      <c r="F4073" s="577" t="n"/>
      <c r="G4073" s="582" t="n"/>
      <c r="H4073" s="583" t="n"/>
      <c r="I4073" s="510" t="n"/>
    </row>
    <row r="4074" ht="19.95" customFormat="1" customHeight="1" s="511">
      <c r="A4074" s="277" t="n"/>
      <c r="B4074" s="285" t="n"/>
      <c r="C4074" s="579" t="n"/>
      <c r="D4074" s="580" t="n"/>
      <c r="E4074" s="581" t="n"/>
      <c r="F4074" s="577" t="n"/>
      <c r="G4074" s="582" t="n"/>
      <c r="H4074" s="583" t="n"/>
      <c r="I4074" s="510" t="n"/>
    </row>
    <row r="4075" ht="19.95" customFormat="1" customHeight="1" s="511">
      <c r="A4075" s="277" t="n"/>
      <c r="B4075" s="285" t="n"/>
      <c r="C4075" s="579" t="n"/>
      <c r="D4075" s="580" t="n"/>
      <c r="E4075" s="581" t="n"/>
      <c r="F4075" s="577" t="n"/>
      <c r="G4075" s="582" t="n"/>
      <c r="H4075" s="583" t="n"/>
      <c r="I4075" s="510" t="n"/>
    </row>
    <row r="4076" ht="19.95" customFormat="1" customHeight="1" s="511">
      <c r="A4076" s="277" t="n"/>
      <c r="B4076" s="285" t="n"/>
      <c r="C4076" s="579" t="n"/>
      <c r="D4076" s="580" t="n"/>
      <c r="E4076" s="581" t="n"/>
      <c r="F4076" s="577" t="n"/>
      <c r="G4076" s="582" t="n"/>
      <c r="H4076" s="583" t="n"/>
      <c r="I4076" s="510" t="n"/>
    </row>
    <row r="4077" ht="19.95" customFormat="1" customHeight="1" s="511">
      <c r="A4077" s="277" t="n"/>
      <c r="B4077" s="285" t="n"/>
      <c r="C4077" s="579" t="n"/>
      <c r="D4077" s="580" t="n"/>
      <c r="E4077" s="581" t="n"/>
      <c r="F4077" s="577" t="n"/>
      <c r="G4077" s="582" t="n"/>
      <c r="H4077" s="583" t="n"/>
      <c r="I4077" s="510" t="n"/>
    </row>
    <row r="4078" ht="19.95" customFormat="1" customHeight="1" s="511">
      <c r="A4078" s="277" t="n"/>
      <c r="B4078" s="285" t="n"/>
      <c r="C4078" s="579" t="n"/>
      <c r="D4078" s="580" t="n"/>
      <c r="E4078" s="581" t="n"/>
      <c r="F4078" s="577" t="n"/>
      <c r="G4078" s="582" t="n"/>
      <c r="H4078" s="583" t="n"/>
      <c r="I4078" s="510" t="n"/>
    </row>
    <row r="4079" ht="19.95" customFormat="1" customHeight="1" s="511">
      <c r="A4079" s="277" t="n"/>
      <c r="B4079" s="285" t="n"/>
      <c r="C4079" s="579" t="n"/>
      <c r="D4079" s="580" t="n"/>
      <c r="E4079" s="581" t="n"/>
      <c r="F4079" s="577" t="n"/>
      <c r="G4079" s="582" t="n"/>
      <c r="H4079" s="583" t="n"/>
      <c r="I4079" s="510" t="n"/>
    </row>
    <row r="4080" ht="19.95" customFormat="1" customHeight="1" s="511">
      <c r="A4080" s="277" t="n"/>
      <c r="B4080" s="285" t="n"/>
      <c r="C4080" s="579" t="n"/>
      <c r="D4080" s="580" t="n"/>
      <c r="E4080" s="581" t="n"/>
      <c r="F4080" s="577" t="n"/>
      <c r="G4080" s="582" t="n"/>
      <c r="H4080" s="583" t="n"/>
      <c r="I4080" s="510" t="n"/>
    </row>
    <row r="4081" ht="19.95" customFormat="1" customHeight="1" s="511">
      <c r="A4081" s="277" t="n"/>
      <c r="B4081" s="285" t="n"/>
      <c r="C4081" s="579" t="n"/>
      <c r="D4081" s="580" t="n"/>
      <c r="E4081" s="581" t="n"/>
      <c r="F4081" s="577" t="n"/>
      <c r="G4081" s="582" t="n"/>
      <c r="H4081" s="583" t="n"/>
      <c r="I4081" s="510" t="n"/>
    </row>
    <row r="4082" ht="19.95" customFormat="1" customHeight="1" s="511">
      <c r="A4082" s="277" t="n"/>
      <c r="B4082" s="285" t="n"/>
      <c r="C4082" s="579" t="n"/>
      <c r="D4082" s="580" t="n"/>
      <c r="E4082" s="581" t="n"/>
      <c r="F4082" s="577" t="n"/>
      <c r="G4082" s="582" t="n"/>
      <c r="H4082" s="583" t="n"/>
      <c r="I4082" s="510" t="n"/>
    </row>
    <row r="4083" ht="19.95" customFormat="1" customHeight="1" s="511">
      <c r="A4083" s="277" t="n"/>
      <c r="B4083" s="285" t="n"/>
      <c r="C4083" s="579" t="n"/>
      <c r="D4083" s="580" t="n"/>
      <c r="E4083" s="581" t="n"/>
      <c r="F4083" s="577" t="n"/>
      <c r="G4083" s="582" t="n"/>
      <c r="H4083" s="583" t="n"/>
      <c r="I4083" s="510" t="n"/>
    </row>
    <row r="4084" ht="19.95" customFormat="1" customHeight="1" s="511">
      <c r="A4084" s="277" t="n"/>
      <c r="B4084" s="285" t="n"/>
      <c r="C4084" s="579" t="n"/>
      <c r="D4084" s="580" t="n"/>
      <c r="E4084" s="581" t="n"/>
      <c r="F4084" s="577" t="n"/>
      <c r="G4084" s="582" t="n"/>
      <c r="H4084" s="583" t="n"/>
      <c r="I4084" s="510" t="n"/>
    </row>
    <row r="4085" ht="19.95" customFormat="1" customHeight="1" s="511">
      <c r="A4085" s="277" t="n"/>
      <c r="B4085" s="285" t="n"/>
      <c r="C4085" s="579" t="n"/>
      <c r="D4085" s="580" t="n"/>
      <c r="E4085" s="581" t="n"/>
      <c r="F4085" s="577" t="n"/>
      <c r="G4085" s="582" t="n"/>
      <c r="H4085" s="583" t="n"/>
      <c r="I4085" s="510" t="n"/>
    </row>
    <row r="4086" ht="19.95" customFormat="1" customHeight="1" s="511">
      <c r="A4086" s="277" t="n"/>
      <c r="B4086" s="285" t="n"/>
      <c r="C4086" s="579" t="n"/>
      <c r="D4086" s="580" t="n"/>
      <c r="E4086" s="581" t="n"/>
      <c r="F4086" s="577" t="n"/>
      <c r="G4086" s="582" t="n"/>
      <c r="H4086" s="583" t="n"/>
      <c r="I4086" s="510" t="n"/>
    </row>
    <row r="4087" ht="19.95" customFormat="1" customHeight="1" s="511">
      <c r="A4087" s="277" t="n"/>
      <c r="B4087" s="285" t="n"/>
      <c r="C4087" s="579" t="n"/>
      <c r="D4087" s="580" t="n"/>
      <c r="E4087" s="581" t="n"/>
      <c r="F4087" s="577" t="n"/>
      <c r="G4087" s="582" t="n"/>
      <c r="H4087" s="583" t="n"/>
      <c r="I4087" s="510" t="n"/>
    </row>
    <row r="4088" ht="19.95" customFormat="1" customHeight="1" s="511">
      <c r="A4088" s="277" t="n"/>
      <c r="B4088" s="285" t="n"/>
      <c r="C4088" s="579" t="n"/>
      <c r="D4088" s="580" t="n"/>
      <c r="E4088" s="581" t="n"/>
      <c r="F4088" s="577" t="n"/>
      <c r="G4088" s="582" t="n"/>
      <c r="H4088" s="583" t="n"/>
      <c r="I4088" s="510" t="n"/>
    </row>
    <row r="4089" ht="19.95" customFormat="1" customHeight="1" s="511">
      <c r="A4089" s="277" t="n"/>
      <c r="B4089" s="285" t="n"/>
      <c r="C4089" s="579" t="n"/>
      <c r="D4089" s="580" t="n"/>
      <c r="E4089" s="581" t="n"/>
      <c r="F4089" s="577" t="n"/>
      <c r="G4089" s="582" t="n"/>
      <c r="H4089" s="583" t="n"/>
      <c r="I4089" s="510" t="n"/>
    </row>
    <row r="4090" ht="19.95" customFormat="1" customHeight="1" s="511">
      <c r="A4090" s="277" t="n"/>
      <c r="B4090" s="285" t="n"/>
      <c r="C4090" s="579" t="n"/>
      <c r="D4090" s="580" t="n"/>
      <c r="E4090" s="581" t="n"/>
      <c r="F4090" s="577" t="n"/>
      <c r="G4090" s="582" t="n"/>
      <c r="H4090" s="583" t="n"/>
      <c r="I4090" s="510" t="n"/>
    </row>
    <row r="4091" ht="19.95" customFormat="1" customHeight="1" s="511">
      <c r="A4091" s="277" t="n"/>
      <c r="B4091" s="285" t="n"/>
      <c r="C4091" s="579" t="n"/>
      <c r="D4091" s="580" t="n"/>
      <c r="E4091" s="581" t="n"/>
      <c r="F4091" s="577" t="n"/>
      <c r="G4091" s="582" t="n"/>
      <c r="H4091" s="583" t="n"/>
      <c r="I4091" s="510" t="n"/>
    </row>
    <row r="4092" ht="19.95" customFormat="1" customHeight="1" s="511">
      <c r="A4092" s="277" t="n"/>
      <c r="B4092" s="285" t="n"/>
      <c r="C4092" s="579" t="n"/>
      <c r="D4092" s="580" t="n"/>
      <c r="E4092" s="581" t="n"/>
      <c r="F4092" s="577" t="n"/>
      <c r="G4092" s="582" t="n"/>
      <c r="H4092" s="583" t="n"/>
      <c r="I4092" s="510" t="n"/>
    </row>
    <row r="4093" ht="19.95" customFormat="1" customHeight="1" s="511">
      <c r="A4093" s="277" t="n"/>
      <c r="B4093" s="285" t="n"/>
      <c r="C4093" s="579" t="n"/>
      <c r="D4093" s="580" t="n"/>
      <c r="E4093" s="581" t="n"/>
      <c r="F4093" s="577" t="n"/>
      <c r="G4093" s="582" t="n"/>
      <c r="H4093" s="583" t="n"/>
      <c r="I4093" s="510" t="n"/>
    </row>
    <row r="4094" ht="19.95" customFormat="1" customHeight="1" s="511">
      <c r="A4094" s="277" t="n"/>
      <c r="B4094" s="285" t="n"/>
      <c r="C4094" s="579" t="n"/>
      <c r="D4094" s="580" t="n"/>
      <c r="E4094" s="581" t="n"/>
      <c r="F4094" s="577" t="n"/>
      <c r="G4094" s="582" t="n"/>
      <c r="H4094" s="583" t="n"/>
      <c r="I4094" s="510" t="n"/>
    </row>
    <row r="4095" ht="19.95" customFormat="1" customHeight="1" s="511">
      <c r="A4095" s="277" t="n"/>
      <c r="B4095" s="285" t="n"/>
      <c r="C4095" s="579" t="n"/>
      <c r="D4095" s="580" t="n"/>
      <c r="E4095" s="581" t="n"/>
      <c r="F4095" s="577" t="n"/>
      <c r="G4095" s="582" t="n"/>
      <c r="H4095" s="583" t="n"/>
      <c r="I4095" s="510" t="n"/>
    </row>
    <row r="4096" ht="19.95" customFormat="1" customHeight="1" s="511">
      <c r="A4096" s="277" t="n"/>
      <c r="B4096" s="285" t="n"/>
      <c r="C4096" s="579" t="n"/>
      <c r="D4096" s="580" t="n"/>
      <c r="E4096" s="581" t="n"/>
      <c r="F4096" s="577" t="n"/>
      <c r="G4096" s="582" t="n"/>
      <c r="H4096" s="583" t="n"/>
      <c r="I4096" s="510" t="n"/>
    </row>
    <row r="4097" ht="19.95" customFormat="1" customHeight="1" s="511">
      <c r="A4097" s="277" t="n"/>
      <c r="B4097" s="285" t="n"/>
      <c r="C4097" s="579" t="n"/>
      <c r="D4097" s="580" t="n"/>
      <c r="E4097" s="581" t="n"/>
      <c r="F4097" s="577" t="n"/>
      <c r="G4097" s="582" t="n"/>
      <c r="H4097" s="583" t="n"/>
      <c r="I4097" s="510" t="n"/>
    </row>
    <row r="4098" ht="19.95" customFormat="1" customHeight="1" s="511">
      <c r="A4098" s="277" t="n"/>
      <c r="B4098" s="285" t="n"/>
      <c r="C4098" s="579" t="n"/>
      <c r="D4098" s="580" t="n"/>
      <c r="E4098" s="581" t="n"/>
      <c r="F4098" s="577" t="n"/>
      <c r="G4098" s="582" t="n"/>
      <c r="H4098" s="583" t="n"/>
      <c r="I4098" s="510" t="n"/>
    </row>
    <row r="4099" ht="19.95" customFormat="1" customHeight="1" s="511">
      <c r="A4099" s="277" t="n"/>
      <c r="B4099" s="285" t="n"/>
      <c r="C4099" s="579" t="n"/>
      <c r="D4099" s="580" t="n"/>
      <c r="E4099" s="581" t="n"/>
      <c r="F4099" s="577" t="n"/>
      <c r="G4099" s="582" t="n"/>
      <c r="H4099" s="583" t="n"/>
      <c r="I4099" s="510" t="n"/>
    </row>
    <row r="4100" ht="19.95" customFormat="1" customHeight="1" s="511">
      <c r="A4100" s="277" t="n"/>
      <c r="B4100" s="285" t="n"/>
      <c r="C4100" s="579" t="n"/>
      <c r="D4100" s="580" t="n"/>
      <c r="E4100" s="581" t="n"/>
      <c r="F4100" s="577" t="n"/>
      <c r="G4100" s="582" t="n"/>
      <c r="H4100" s="583" t="n"/>
      <c r="I4100" s="510" t="n"/>
    </row>
    <row r="4101" ht="19.95" customFormat="1" customHeight="1" s="511">
      <c r="A4101" s="277" t="n"/>
      <c r="B4101" s="285" t="n"/>
      <c r="C4101" s="579" t="n"/>
      <c r="D4101" s="580" t="n"/>
      <c r="E4101" s="581" t="n"/>
      <c r="F4101" s="577" t="n"/>
      <c r="G4101" s="582" t="n"/>
      <c r="H4101" s="583" t="n"/>
      <c r="I4101" s="510" t="n"/>
    </row>
    <row r="4102" ht="19.95" customFormat="1" customHeight="1" s="511">
      <c r="A4102" s="277" t="n"/>
      <c r="B4102" s="285" t="n"/>
      <c r="C4102" s="579" t="n"/>
      <c r="D4102" s="580" t="n"/>
      <c r="E4102" s="581" t="n"/>
      <c r="F4102" s="577" t="n"/>
      <c r="G4102" s="582" t="n"/>
      <c r="H4102" s="583" t="n"/>
      <c r="I4102" s="510" t="n"/>
    </row>
    <row r="4103" ht="19.95" customFormat="1" customHeight="1" s="511">
      <c r="A4103" s="277" t="n"/>
      <c r="B4103" s="285" t="n"/>
      <c r="C4103" s="579" t="n"/>
      <c r="D4103" s="580" t="n"/>
      <c r="E4103" s="581" t="n"/>
      <c r="F4103" s="577" t="n"/>
      <c r="G4103" s="582" t="n"/>
      <c r="H4103" s="583" t="n"/>
      <c r="I4103" s="510" t="n"/>
    </row>
    <row r="4104" ht="19.95" customFormat="1" customHeight="1" s="511">
      <c r="A4104" s="277" t="n"/>
      <c r="B4104" s="285" t="n"/>
      <c r="C4104" s="579" t="n"/>
      <c r="D4104" s="580" t="n"/>
      <c r="E4104" s="581" t="n"/>
      <c r="F4104" s="577" t="n"/>
      <c r="G4104" s="582" t="n"/>
      <c r="H4104" s="583" t="n"/>
      <c r="I4104" s="510" t="n"/>
    </row>
    <row r="4105" ht="19.95" customFormat="1" customHeight="1" s="511">
      <c r="A4105" s="277" t="n"/>
      <c r="B4105" s="285" t="n"/>
      <c r="C4105" s="579" t="n"/>
      <c r="D4105" s="580" t="n"/>
      <c r="E4105" s="581" t="n"/>
      <c r="F4105" s="577" t="n"/>
      <c r="G4105" s="582" t="n"/>
      <c r="H4105" s="583" t="n"/>
      <c r="I4105" s="510" t="n"/>
    </row>
    <row r="4106" ht="19.95" customFormat="1" customHeight="1" s="511">
      <c r="A4106" s="277" t="n"/>
      <c r="B4106" s="285" t="n"/>
      <c r="C4106" s="579" t="n"/>
      <c r="D4106" s="580" t="n"/>
      <c r="E4106" s="581" t="n"/>
      <c r="F4106" s="577" t="n"/>
      <c r="G4106" s="582" t="n"/>
      <c r="H4106" s="583" t="n"/>
      <c r="I4106" s="510" t="n"/>
    </row>
    <row r="4107" ht="19.95" customFormat="1" customHeight="1" s="511">
      <c r="A4107" s="277" t="n"/>
      <c r="B4107" s="285" t="n"/>
      <c r="C4107" s="579" t="n"/>
      <c r="D4107" s="580" t="n"/>
      <c r="E4107" s="581" t="n"/>
      <c r="F4107" s="577" t="n"/>
      <c r="G4107" s="582" t="n"/>
      <c r="H4107" s="583" t="n"/>
      <c r="I4107" s="510" t="n"/>
    </row>
    <row r="4108" ht="19.95" customFormat="1" customHeight="1" s="511">
      <c r="A4108" s="277" t="n"/>
      <c r="B4108" s="285" t="n"/>
      <c r="C4108" s="579" t="n"/>
      <c r="D4108" s="580" t="n"/>
      <c r="E4108" s="581" t="n"/>
      <c r="F4108" s="577" t="n"/>
      <c r="G4108" s="582" t="n"/>
      <c r="H4108" s="583" t="n"/>
      <c r="I4108" s="510" t="n"/>
    </row>
    <row r="4109" ht="19.95" customFormat="1" customHeight="1" s="511">
      <c r="A4109" s="277" t="n"/>
      <c r="B4109" s="285" t="n"/>
      <c r="C4109" s="579" t="n"/>
      <c r="D4109" s="580" t="n"/>
      <c r="E4109" s="581" t="n"/>
      <c r="F4109" s="577" t="n"/>
      <c r="G4109" s="582" t="n"/>
      <c r="H4109" s="583" t="n"/>
      <c r="I4109" s="510" t="n"/>
    </row>
    <row r="4110" ht="19.95" customFormat="1" customHeight="1" s="511">
      <c r="A4110" s="277" t="n"/>
      <c r="B4110" s="285" t="n"/>
      <c r="C4110" s="579" t="n"/>
      <c r="D4110" s="580" t="n"/>
      <c r="E4110" s="581" t="n"/>
      <c r="F4110" s="577" t="n"/>
      <c r="G4110" s="582" t="n"/>
      <c r="H4110" s="583" t="n"/>
      <c r="I4110" s="510" t="n"/>
    </row>
    <row r="4111" ht="19.95" customFormat="1" customHeight="1" s="511">
      <c r="A4111" s="277" t="n"/>
      <c r="B4111" s="285" t="n"/>
      <c r="C4111" s="579" t="n"/>
      <c r="D4111" s="580" t="n"/>
      <c r="E4111" s="581" t="n"/>
      <c r="F4111" s="577" t="n"/>
      <c r="G4111" s="582" t="n"/>
      <c r="H4111" s="583" t="n"/>
      <c r="I4111" s="510" t="n"/>
    </row>
    <row r="4112" ht="19.95" customFormat="1" customHeight="1" s="511">
      <c r="A4112" s="277" t="n"/>
      <c r="B4112" s="285" t="n"/>
      <c r="C4112" s="579" t="n"/>
      <c r="D4112" s="580" t="n"/>
      <c r="E4112" s="581" t="n"/>
      <c r="F4112" s="577" t="n"/>
      <c r="G4112" s="582" t="n"/>
      <c r="H4112" s="583" t="n"/>
      <c r="I4112" s="510" t="n"/>
    </row>
    <row r="4113" ht="19.95" customFormat="1" customHeight="1" s="511">
      <c r="A4113" s="277" t="n"/>
      <c r="B4113" s="285" t="n"/>
      <c r="C4113" s="579" t="n"/>
      <c r="D4113" s="580" t="n"/>
      <c r="E4113" s="581" t="n"/>
      <c r="F4113" s="577" t="n"/>
      <c r="G4113" s="582" t="n"/>
      <c r="H4113" s="583" t="n"/>
      <c r="I4113" s="510" t="n"/>
    </row>
    <row r="4114" ht="19.95" customFormat="1" customHeight="1" s="511">
      <c r="A4114" s="277" t="n"/>
      <c r="B4114" s="285" t="n"/>
      <c r="C4114" s="579" t="n"/>
      <c r="D4114" s="580" t="n"/>
      <c r="E4114" s="581" t="n"/>
      <c r="F4114" s="577" t="n"/>
      <c r="G4114" s="582" t="n"/>
      <c r="H4114" s="583" t="n"/>
      <c r="I4114" s="510" t="n"/>
    </row>
    <row r="4115" ht="19.95" customFormat="1" customHeight="1" s="511">
      <c r="A4115" s="277" t="n"/>
      <c r="B4115" s="285" t="n"/>
      <c r="C4115" s="579" t="n"/>
      <c r="D4115" s="580" t="n"/>
      <c r="E4115" s="581" t="n"/>
      <c r="F4115" s="577" t="n"/>
      <c r="G4115" s="582" t="n"/>
      <c r="H4115" s="583" t="n"/>
      <c r="I4115" s="510" t="n"/>
    </row>
    <row r="4116" ht="19.95" customFormat="1" customHeight="1" s="511">
      <c r="A4116" s="277" t="n"/>
      <c r="B4116" s="285" t="n"/>
      <c r="C4116" s="579" t="n"/>
      <c r="D4116" s="580" t="n"/>
      <c r="E4116" s="581" t="n"/>
      <c r="F4116" s="577" t="n"/>
      <c r="G4116" s="582" t="n"/>
      <c r="H4116" s="583" t="n"/>
      <c r="I4116" s="510" t="n"/>
    </row>
    <row r="4117" ht="19.95" customFormat="1" customHeight="1" s="511">
      <c r="A4117" s="277" t="n"/>
      <c r="B4117" s="285" t="n"/>
      <c r="C4117" s="579" t="n"/>
      <c r="D4117" s="580" t="n"/>
      <c r="E4117" s="581" t="n"/>
      <c r="F4117" s="577" t="n"/>
      <c r="G4117" s="582" t="n"/>
      <c r="H4117" s="583" t="n"/>
      <c r="I4117" s="510" t="n"/>
    </row>
    <row r="4118" ht="19.95" customFormat="1" customHeight="1" s="511">
      <c r="A4118" s="277" t="n"/>
      <c r="B4118" s="285" t="n"/>
      <c r="C4118" s="579" t="n"/>
      <c r="D4118" s="580" t="n"/>
      <c r="E4118" s="581" t="n"/>
      <c r="F4118" s="577" t="n"/>
      <c r="G4118" s="582" t="n"/>
      <c r="H4118" s="583" t="n"/>
      <c r="I4118" s="510" t="n"/>
    </row>
    <row r="4119" ht="19.95" customFormat="1" customHeight="1" s="511">
      <c r="A4119" s="277" t="n"/>
      <c r="B4119" s="285" t="n"/>
      <c r="C4119" s="579" t="n"/>
      <c r="D4119" s="580" t="n"/>
      <c r="E4119" s="581" t="n"/>
      <c r="F4119" s="577" t="n"/>
      <c r="G4119" s="582" t="n"/>
      <c r="H4119" s="583" t="n"/>
      <c r="I4119" s="510" t="n"/>
    </row>
    <row r="4120" ht="19.95" customFormat="1" customHeight="1" s="511">
      <c r="A4120" s="277" t="n"/>
      <c r="B4120" s="285" t="n"/>
      <c r="C4120" s="579" t="n"/>
      <c r="D4120" s="580" t="n"/>
      <c r="E4120" s="581" t="n"/>
      <c r="F4120" s="577" t="n"/>
      <c r="G4120" s="582" t="n"/>
      <c r="H4120" s="583" t="n"/>
      <c r="I4120" s="510" t="n"/>
    </row>
    <row r="4121" ht="19.95" customFormat="1" customHeight="1" s="511">
      <c r="A4121" s="277" t="n"/>
      <c r="B4121" s="285" t="n"/>
      <c r="C4121" s="579" t="n"/>
      <c r="D4121" s="580" t="n"/>
      <c r="E4121" s="581" t="n"/>
      <c r="F4121" s="577" t="n"/>
      <c r="G4121" s="582" t="n"/>
      <c r="H4121" s="583" t="n"/>
      <c r="I4121" s="510" t="n"/>
    </row>
    <row r="4122" ht="19.95" customFormat="1" customHeight="1" s="511">
      <c r="A4122" s="277" t="n"/>
      <c r="B4122" s="285" t="n"/>
      <c r="C4122" s="579" t="n"/>
      <c r="D4122" s="580" t="n"/>
      <c r="E4122" s="581" t="n"/>
      <c r="F4122" s="577" t="n"/>
      <c r="G4122" s="582" t="n"/>
      <c r="H4122" s="583" t="n"/>
      <c r="I4122" s="510" t="n"/>
    </row>
    <row r="4123" ht="19.95" customFormat="1" customHeight="1" s="511">
      <c r="A4123" s="277" t="n"/>
      <c r="B4123" s="285" t="n"/>
      <c r="C4123" s="579" t="n"/>
      <c r="D4123" s="580" t="n"/>
      <c r="E4123" s="581" t="n"/>
      <c r="F4123" s="577" t="n"/>
      <c r="G4123" s="582" t="n"/>
      <c r="H4123" s="583" t="n"/>
      <c r="I4123" s="510" t="n"/>
    </row>
    <row r="4124" ht="19.95" customFormat="1" customHeight="1" s="511">
      <c r="A4124" s="277" t="n"/>
      <c r="B4124" s="285" t="n"/>
      <c r="C4124" s="579" t="n"/>
      <c r="D4124" s="580" t="n"/>
      <c r="E4124" s="581" t="n"/>
      <c r="F4124" s="577" t="n"/>
      <c r="G4124" s="582" t="n"/>
      <c r="H4124" s="583" t="n"/>
      <c r="I4124" s="510" t="n"/>
    </row>
    <row r="4125" ht="19.95" customFormat="1" customHeight="1" s="511">
      <c r="A4125" s="277" t="n"/>
      <c r="B4125" s="285" t="n"/>
      <c r="C4125" s="579" t="n"/>
      <c r="D4125" s="580" t="n"/>
      <c r="E4125" s="581" t="n"/>
      <c r="F4125" s="577" t="n"/>
      <c r="G4125" s="582" t="n"/>
      <c r="H4125" s="583" t="n"/>
      <c r="I4125" s="510" t="n"/>
    </row>
    <row r="4126" ht="19.95" customFormat="1" customHeight="1" s="511">
      <c r="A4126" s="277" t="n"/>
      <c r="B4126" s="285" t="n"/>
      <c r="C4126" s="579" t="n"/>
      <c r="D4126" s="580" t="n"/>
      <c r="E4126" s="581" t="n"/>
      <c r="F4126" s="577" t="n"/>
      <c r="G4126" s="582" t="n"/>
      <c r="H4126" s="583" t="n"/>
      <c r="I4126" s="510" t="n"/>
    </row>
    <row r="4127" ht="19.95" customFormat="1" customHeight="1" s="511">
      <c r="A4127" s="277" t="n"/>
      <c r="B4127" s="285" t="n"/>
      <c r="C4127" s="579" t="n"/>
      <c r="D4127" s="580" t="n"/>
      <c r="E4127" s="581" t="n"/>
      <c r="F4127" s="577" t="n"/>
      <c r="G4127" s="582" t="n"/>
      <c r="H4127" s="583" t="n"/>
      <c r="I4127" s="510" t="n"/>
    </row>
    <row r="4128" ht="19.95" customFormat="1" customHeight="1" s="511">
      <c r="A4128" s="277" t="n"/>
      <c r="B4128" s="285" t="n"/>
      <c r="C4128" s="579" t="n"/>
      <c r="D4128" s="580" t="n"/>
      <c r="E4128" s="581" t="n"/>
      <c r="F4128" s="577" t="n"/>
      <c r="G4128" s="582" t="n"/>
      <c r="H4128" s="583" t="n"/>
      <c r="I4128" s="510" t="n"/>
    </row>
    <row r="4129" ht="19.95" customFormat="1" customHeight="1" s="511">
      <c r="A4129" s="277" t="n"/>
      <c r="B4129" s="285" t="n"/>
      <c r="C4129" s="579" t="n"/>
      <c r="D4129" s="580" t="n"/>
      <c r="E4129" s="581" t="n"/>
      <c r="F4129" s="577" t="n"/>
      <c r="G4129" s="582" t="n"/>
      <c r="H4129" s="583" t="n"/>
      <c r="I4129" s="510" t="n"/>
    </row>
    <row r="4130" ht="19.95" customFormat="1" customHeight="1" s="511">
      <c r="A4130" s="277" t="n"/>
      <c r="B4130" s="285" t="n"/>
      <c r="C4130" s="579" t="n"/>
      <c r="D4130" s="580" t="n"/>
      <c r="E4130" s="581" t="n"/>
      <c r="F4130" s="577" t="n"/>
      <c r="G4130" s="582" t="n"/>
      <c r="H4130" s="583" t="n"/>
      <c r="I4130" s="510" t="n"/>
    </row>
    <row r="4131" ht="19.95" customFormat="1" customHeight="1" s="511">
      <c r="A4131" s="277" t="n"/>
      <c r="B4131" s="285" t="n"/>
      <c r="C4131" s="579" t="n"/>
      <c r="D4131" s="580" t="n"/>
      <c r="E4131" s="581" t="n"/>
      <c r="F4131" s="577" t="n"/>
      <c r="G4131" s="582" t="n"/>
      <c r="H4131" s="583" t="n"/>
      <c r="I4131" s="510" t="n"/>
    </row>
    <row r="4132" ht="19.95" customFormat="1" customHeight="1" s="511">
      <c r="A4132" s="277" t="n"/>
      <c r="B4132" s="285" t="n"/>
      <c r="C4132" s="579" t="n"/>
      <c r="D4132" s="580" t="n"/>
      <c r="E4132" s="581" t="n"/>
      <c r="F4132" s="577" t="n"/>
      <c r="G4132" s="582" t="n"/>
      <c r="H4132" s="583" t="n"/>
      <c r="I4132" s="510" t="n"/>
    </row>
    <row r="4133" ht="19.95" customFormat="1" customHeight="1" s="511">
      <c r="A4133" s="277" t="n"/>
      <c r="B4133" s="285" t="n"/>
      <c r="C4133" s="579" t="n"/>
      <c r="D4133" s="580" t="n"/>
      <c r="E4133" s="581" t="n"/>
      <c r="F4133" s="577" t="n"/>
      <c r="G4133" s="582" t="n"/>
      <c r="H4133" s="583" t="n"/>
      <c r="I4133" s="510" t="n"/>
    </row>
    <row r="4134" ht="19.95" customFormat="1" customHeight="1" s="511">
      <c r="A4134" s="277" t="n"/>
      <c r="B4134" s="285" t="n"/>
      <c r="C4134" s="579" t="n"/>
      <c r="D4134" s="580" t="n"/>
      <c r="E4134" s="581" t="n"/>
      <c r="F4134" s="577" t="n"/>
      <c r="G4134" s="582" t="n"/>
      <c r="H4134" s="583" t="n"/>
      <c r="I4134" s="510" t="n"/>
    </row>
    <row r="4135" ht="19.95" customFormat="1" customHeight="1" s="511">
      <c r="A4135" s="277" t="n"/>
      <c r="B4135" s="285" t="n"/>
      <c r="C4135" s="579" t="n"/>
      <c r="D4135" s="580" t="n"/>
      <c r="E4135" s="581" t="n"/>
      <c r="F4135" s="577" t="n"/>
      <c r="G4135" s="582" t="n"/>
      <c r="H4135" s="583" t="n"/>
      <c r="I4135" s="510" t="n"/>
    </row>
    <row r="4136" ht="19.95" customFormat="1" customHeight="1" s="511">
      <c r="A4136" s="277" t="n"/>
      <c r="B4136" s="285" t="n"/>
      <c r="C4136" s="579" t="n"/>
      <c r="D4136" s="580" t="n"/>
      <c r="E4136" s="581" t="n"/>
      <c r="F4136" s="577" t="n"/>
      <c r="G4136" s="582" t="n"/>
      <c r="H4136" s="583" t="n"/>
      <c r="I4136" s="510" t="n"/>
    </row>
    <row r="4137" ht="19.95" customFormat="1" customHeight="1" s="511">
      <c r="A4137" s="277" t="n"/>
      <c r="B4137" s="285" t="n"/>
      <c r="C4137" s="579" t="n"/>
      <c r="D4137" s="580" t="n"/>
      <c r="E4137" s="581" t="n"/>
      <c r="F4137" s="577" t="n"/>
      <c r="G4137" s="582" t="n"/>
      <c r="H4137" s="583" t="n"/>
      <c r="I4137" s="510" t="n"/>
    </row>
    <row r="4138" ht="19.95" customFormat="1" customHeight="1" s="511">
      <c r="A4138" s="277" t="n"/>
      <c r="B4138" s="285" t="n"/>
      <c r="C4138" s="579" t="n"/>
      <c r="D4138" s="580" t="n"/>
      <c r="E4138" s="581" t="n"/>
      <c r="F4138" s="577" t="n"/>
      <c r="G4138" s="582" t="n"/>
      <c r="H4138" s="583" t="n"/>
      <c r="I4138" s="510" t="n"/>
    </row>
    <row r="4139" ht="19.95" customFormat="1" customHeight="1" s="511">
      <c r="A4139" s="277" t="n"/>
      <c r="B4139" s="285" t="n"/>
      <c r="C4139" s="579" t="n"/>
      <c r="D4139" s="580" t="n"/>
      <c r="E4139" s="581" t="n"/>
      <c r="F4139" s="577" t="n"/>
      <c r="G4139" s="582" t="n"/>
      <c r="H4139" s="583" t="n"/>
      <c r="I4139" s="510" t="n"/>
    </row>
    <row r="4140" ht="19.95" customFormat="1" customHeight="1" s="511">
      <c r="A4140" s="277" t="n"/>
      <c r="B4140" s="285" t="n"/>
      <c r="C4140" s="579" t="n"/>
      <c r="D4140" s="580" t="n"/>
      <c r="E4140" s="581" t="n"/>
      <c r="F4140" s="577" t="n"/>
      <c r="G4140" s="582" t="n"/>
      <c r="H4140" s="583" t="n"/>
      <c r="I4140" s="510" t="n"/>
    </row>
    <row r="4141" ht="19.95" customFormat="1" customHeight="1" s="511">
      <c r="A4141" s="277" t="n"/>
      <c r="B4141" s="285" t="n"/>
      <c r="C4141" s="579" t="n"/>
      <c r="D4141" s="580" t="n"/>
      <c r="E4141" s="581" t="n"/>
      <c r="F4141" s="577" t="n"/>
      <c r="G4141" s="582" t="n"/>
      <c r="H4141" s="583" t="n"/>
      <c r="I4141" s="510" t="n"/>
    </row>
    <row r="4142" ht="19.95" customFormat="1" customHeight="1" s="511">
      <c r="A4142" s="277" t="n"/>
      <c r="B4142" s="285" t="n"/>
      <c r="C4142" s="579" t="n"/>
      <c r="D4142" s="580" t="n"/>
      <c r="E4142" s="581" t="n"/>
      <c r="F4142" s="577" t="n"/>
      <c r="G4142" s="582" t="n"/>
      <c r="H4142" s="583" t="n"/>
      <c r="I4142" s="510" t="n"/>
    </row>
    <row r="4143" ht="19.95" customFormat="1" customHeight="1" s="511">
      <c r="A4143" s="277" t="n"/>
      <c r="B4143" s="285" t="n"/>
      <c r="C4143" s="579" t="n"/>
      <c r="D4143" s="580" t="n"/>
      <c r="E4143" s="581" t="n"/>
      <c r="F4143" s="577" t="n"/>
      <c r="G4143" s="582" t="n"/>
      <c r="H4143" s="583" t="n"/>
      <c r="I4143" s="510" t="n"/>
    </row>
    <row r="4144" ht="19.95" customFormat="1" customHeight="1" s="511">
      <c r="A4144" s="277" t="n"/>
      <c r="B4144" s="285" t="n"/>
      <c r="C4144" s="579" t="n"/>
      <c r="D4144" s="580" t="n"/>
      <c r="E4144" s="581" t="n"/>
      <c r="F4144" s="577" t="n"/>
      <c r="G4144" s="582" t="n"/>
      <c r="H4144" s="583" t="n"/>
      <c r="I4144" s="510" t="n"/>
    </row>
    <row r="4145" ht="19.95" customFormat="1" customHeight="1" s="511">
      <c r="A4145" s="277" t="n"/>
      <c r="B4145" s="285" t="n"/>
      <c r="C4145" s="579" t="n"/>
      <c r="D4145" s="580" t="n"/>
      <c r="E4145" s="581" t="n"/>
      <c r="F4145" s="577" t="n"/>
      <c r="G4145" s="582" t="n"/>
      <c r="H4145" s="583" t="n"/>
      <c r="I4145" s="510" t="n"/>
    </row>
    <row r="4146" ht="19.95" customFormat="1" customHeight="1" s="511">
      <c r="A4146" s="277" t="n"/>
      <c r="B4146" s="285" t="n"/>
      <c r="C4146" s="579" t="n"/>
      <c r="D4146" s="580" t="n"/>
      <c r="E4146" s="581" t="n"/>
      <c r="F4146" s="577" t="n"/>
      <c r="G4146" s="582" t="n"/>
      <c r="H4146" s="583" t="n"/>
      <c r="I4146" s="510" t="n"/>
    </row>
    <row r="4147" ht="19.95" customFormat="1" customHeight="1" s="511">
      <c r="A4147" s="277" t="n"/>
      <c r="B4147" s="285" t="n"/>
      <c r="C4147" s="579" t="n"/>
      <c r="D4147" s="580" t="n"/>
      <c r="E4147" s="581" t="n"/>
      <c r="F4147" s="577" t="n"/>
      <c r="G4147" s="582" t="n"/>
      <c r="H4147" s="583" t="n"/>
      <c r="I4147" s="510" t="n"/>
    </row>
    <row r="4148" ht="19.95" customFormat="1" customHeight="1" s="511">
      <c r="A4148" s="277" t="n"/>
      <c r="B4148" s="285" t="n"/>
      <c r="C4148" s="579" t="n"/>
      <c r="D4148" s="580" t="n"/>
      <c r="E4148" s="581" t="n"/>
      <c r="F4148" s="577" t="n"/>
      <c r="G4148" s="582" t="n"/>
      <c r="H4148" s="583" t="n"/>
      <c r="I4148" s="510" t="n"/>
    </row>
    <row r="4149" ht="19.95" customFormat="1" customHeight="1" s="511">
      <c r="A4149" s="277" t="n"/>
      <c r="B4149" s="285" t="n"/>
      <c r="C4149" s="579" t="n"/>
      <c r="D4149" s="580" t="n"/>
      <c r="E4149" s="581" t="n"/>
      <c r="F4149" s="577" t="n"/>
      <c r="G4149" s="582" t="n"/>
      <c r="H4149" s="583" t="n"/>
      <c r="I4149" s="510" t="n"/>
    </row>
    <row r="4150" ht="19.95" customFormat="1" customHeight="1" s="511">
      <c r="A4150" s="277" t="n"/>
      <c r="B4150" s="285" t="n"/>
      <c r="C4150" s="579" t="n"/>
      <c r="D4150" s="580" t="n"/>
      <c r="E4150" s="581" t="n"/>
      <c r="F4150" s="577" t="n"/>
      <c r="G4150" s="582" t="n"/>
      <c r="H4150" s="583" t="n"/>
      <c r="I4150" s="510" t="n"/>
    </row>
    <row r="4151" ht="19.95" customFormat="1" customHeight="1" s="511">
      <c r="A4151" s="277" t="n"/>
      <c r="B4151" s="285" t="n"/>
      <c r="C4151" s="579" t="n"/>
      <c r="D4151" s="580" t="n"/>
      <c r="E4151" s="581" t="n"/>
      <c r="F4151" s="577" t="n"/>
      <c r="G4151" s="582" t="n"/>
      <c r="H4151" s="583" t="n"/>
      <c r="I4151" s="510" t="n"/>
    </row>
    <row r="4152" ht="19.95" customFormat="1" customHeight="1" s="511">
      <c r="A4152" s="277" t="n"/>
      <c r="B4152" s="285" t="n"/>
      <c r="C4152" s="579" t="n"/>
      <c r="D4152" s="580" t="n"/>
      <c r="E4152" s="581" t="n"/>
      <c r="F4152" s="577" t="n"/>
      <c r="G4152" s="582" t="n"/>
      <c r="H4152" s="583" t="n"/>
      <c r="I4152" s="510" t="n"/>
    </row>
    <row r="4153" ht="19.95" customFormat="1" customHeight="1" s="511">
      <c r="A4153" s="277" t="n"/>
      <c r="B4153" s="285" t="n"/>
      <c r="C4153" s="579" t="n"/>
      <c r="D4153" s="580" t="n"/>
      <c r="E4153" s="581" t="n"/>
      <c r="F4153" s="577" t="n"/>
      <c r="G4153" s="582" t="n"/>
      <c r="H4153" s="583" t="n"/>
      <c r="I4153" s="510" t="n"/>
    </row>
    <row r="4154" ht="19.95" customFormat="1" customHeight="1" s="511">
      <c r="A4154" s="277" t="n"/>
      <c r="B4154" s="285" t="n"/>
      <c r="C4154" s="579" t="n"/>
      <c r="D4154" s="580" t="n"/>
      <c r="E4154" s="581" t="n"/>
      <c r="F4154" s="577" t="n"/>
      <c r="G4154" s="582" t="n"/>
      <c r="H4154" s="583" t="n"/>
      <c r="I4154" s="510" t="n"/>
    </row>
    <row r="4155" ht="19.95" customFormat="1" customHeight="1" s="511">
      <c r="A4155" s="277" t="n"/>
      <c r="B4155" s="285" t="n"/>
      <c r="C4155" s="579" t="n"/>
      <c r="D4155" s="580" t="n"/>
      <c r="E4155" s="581" t="n"/>
      <c r="F4155" s="577" t="n"/>
      <c r="G4155" s="582" t="n"/>
      <c r="H4155" s="583" t="n"/>
      <c r="I4155" s="510" t="n"/>
    </row>
    <row r="4156" ht="19.95" customFormat="1" customHeight="1" s="511">
      <c r="A4156" s="277" t="n"/>
      <c r="B4156" s="285" t="n"/>
      <c r="C4156" s="579" t="n"/>
      <c r="D4156" s="580" t="n"/>
      <c r="E4156" s="581" t="n"/>
      <c r="F4156" s="577" t="n"/>
      <c r="G4156" s="582" t="n"/>
      <c r="H4156" s="583" t="n"/>
      <c r="I4156" s="510" t="n"/>
    </row>
    <row r="4157" ht="19.95" customFormat="1" customHeight="1" s="511">
      <c r="A4157" s="277" t="n"/>
      <c r="B4157" s="285" t="n"/>
      <c r="C4157" s="579" t="n"/>
      <c r="D4157" s="580" t="n"/>
      <c r="E4157" s="581" t="n"/>
      <c r="F4157" s="577" t="n"/>
      <c r="G4157" s="582" t="n"/>
      <c r="H4157" s="583" t="n"/>
      <c r="I4157" s="510" t="n"/>
    </row>
    <row r="4158" ht="19.95" customFormat="1" customHeight="1" s="511">
      <c r="A4158" s="277" t="n"/>
      <c r="B4158" s="285" t="n"/>
      <c r="C4158" s="579" t="n"/>
      <c r="D4158" s="580" t="n"/>
      <c r="E4158" s="581" t="n"/>
      <c r="F4158" s="577" t="n"/>
      <c r="G4158" s="582" t="n"/>
      <c r="H4158" s="583" t="n"/>
      <c r="I4158" s="510" t="n"/>
    </row>
    <row r="4159" ht="19.95" customFormat="1" customHeight="1" s="511">
      <c r="A4159" s="277" t="n"/>
      <c r="B4159" s="285" t="n"/>
      <c r="C4159" s="579" t="n"/>
      <c r="D4159" s="580" t="n"/>
      <c r="E4159" s="581" t="n"/>
      <c r="F4159" s="577" t="n"/>
      <c r="G4159" s="582" t="n"/>
      <c r="H4159" s="583" t="n"/>
      <c r="I4159" s="510" t="n"/>
    </row>
    <row r="4160" ht="19.95" customFormat="1" customHeight="1" s="511">
      <c r="A4160" s="277" t="n"/>
      <c r="B4160" s="285" t="n"/>
      <c r="C4160" s="579" t="n"/>
      <c r="D4160" s="580" t="n"/>
      <c r="E4160" s="581" t="n"/>
      <c r="F4160" s="577" t="n"/>
      <c r="G4160" s="582" t="n"/>
      <c r="H4160" s="583" t="n"/>
      <c r="I4160" s="510" t="n"/>
    </row>
    <row r="4161" ht="19.95" customFormat="1" customHeight="1" s="511">
      <c r="A4161" s="277" t="n"/>
      <c r="B4161" s="285" t="n"/>
      <c r="C4161" s="579" t="n"/>
      <c r="D4161" s="580" t="n"/>
      <c r="E4161" s="581" t="n"/>
      <c r="F4161" s="577" t="n"/>
      <c r="G4161" s="582" t="n"/>
      <c r="H4161" s="583" t="n"/>
      <c r="I4161" s="510" t="n"/>
    </row>
    <row r="4162" ht="19.95" customFormat="1" customHeight="1" s="511">
      <c r="A4162" s="277" t="n"/>
      <c r="B4162" s="285" t="n"/>
      <c r="C4162" s="579" t="n"/>
      <c r="D4162" s="580" t="n"/>
      <c r="E4162" s="581" t="n"/>
      <c r="F4162" s="577" t="n"/>
      <c r="G4162" s="582" t="n"/>
      <c r="H4162" s="583" t="n"/>
      <c r="I4162" s="510" t="n"/>
    </row>
    <row r="4163" ht="19.95" customFormat="1" customHeight="1" s="511">
      <c r="A4163" s="277" t="n"/>
      <c r="B4163" s="285" t="n"/>
      <c r="C4163" s="579" t="n"/>
      <c r="D4163" s="580" t="n"/>
      <c r="E4163" s="581" t="n"/>
      <c r="F4163" s="577" t="n"/>
      <c r="G4163" s="582" t="n"/>
      <c r="H4163" s="583" t="n"/>
      <c r="I4163" s="510" t="n"/>
    </row>
    <row r="4164" ht="19.95" customFormat="1" customHeight="1" s="511">
      <c r="A4164" s="277" t="n"/>
      <c r="B4164" s="285" t="n"/>
      <c r="C4164" s="579" t="n"/>
      <c r="D4164" s="580" t="n"/>
      <c r="E4164" s="581" t="n"/>
      <c r="F4164" s="577" t="n"/>
      <c r="G4164" s="582" t="n"/>
      <c r="H4164" s="583" t="n"/>
      <c r="I4164" s="510" t="n"/>
    </row>
    <row r="4165" ht="19.95" customFormat="1" customHeight="1" s="511">
      <c r="A4165" s="277" t="n"/>
      <c r="B4165" s="285" t="n"/>
      <c r="C4165" s="579" t="n"/>
      <c r="D4165" s="580" t="n"/>
      <c r="E4165" s="581" t="n"/>
      <c r="F4165" s="577" t="n"/>
      <c r="G4165" s="582" t="n"/>
      <c r="H4165" s="583" t="n"/>
      <c r="I4165" s="510" t="n"/>
    </row>
    <row r="4166" ht="19.95" customFormat="1" customHeight="1" s="511">
      <c r="A4166" s="277" t="n"/>
      <c r="B4166" s="285" t="n"/>
      <c r="C4166" s="579" t="n"/>
      <c r="D4166" s="580" t="n"/>
      <c r="E4166" s="581" t="n"/>
      <c r="F4166" s="577" t="n"/>
      <c r="G4166" s="582" t="n"/>
      <c r="H4166" s="583" t="n"/>
      <c r="I4166" s="510" t="n"/>
    </row>
    <row r="4167" ht="19.95" customFormat="1" customHeight="1" s="511">
      <c r="A4167" s="277" t="n"/>
      <c r="B4167" s="285" t="n"/>
      <c r="C4167" s="579" t="n"/>
      <c r="D4167" s="580" t="n"/>
      <c r="E4167" s="581" t="n"/>
      <c r="F4167" s="577" t="n"/>
      <c r="G4167" s="582" t="n"/>
      <c r="H4167" s="583" t="n"/>
      <c r="I4167" s="510" t="n"/>
    </row>
    <row r="4168" ht="19.95" customFormat="1" customHeight="1" s="511">
      <c r="A4168" s="277" t="n"/>
      <c r="B4168" s="285" t="n"/>
      <c r="C4168" s="579" t="n"/>
      <c r="D4168" s="580" t="n"/>
      <c r="E4168" s="581" t="n"/>
      <c r="F4168" s="577" t="n"/>
      <c r="G4168" s="582" t="n"/>
      <c r="H4168" s="583" t="n"/>
      <c r="I4168" s="510" t="n"/>
    </row>
    <row r="4169" ht="19.95" customFormat="1" customHeight="1" s="511">
      <c r="A4169" s="277" t="n"/>
      <c r="B4169" s="285" t="n"/>
      <c r="C4169" s="579" t="n"/>
      <c r="D4169" s="580" t="n"/>
      <c r="E4169" s="581" t="n"/>
      <c r="F4169" s="577" t="n"/>
      <c r="G4169" s="582" t="n"/>
      <c r="H4169" s="583" t="n"/>
      <c r="I4169" s="510" t="n"/>
    </row>
    <row r="4170" ht="19.95" customFormat="1" customHeight="1" s="511">
      <c r="A4170" s="277" t="n"/>
      <c r="B4170" s="285" t="n"/>
      <c r="C4170" s="579" t="n"/>
      <c r="D4170" s="580" t="n"/>
      <c r="E4170" s="581" t="n"/>
      <c r="F4170" s="577" t="n"/>
      <c r="G4170" s="582" t="n"/>
      <c r="H4170" s="583" t="n"/>
      <c r="I4170" s="510" t="n"/>
    </row>
    <row r="4171" ht="19.95" customFormat="1" customHeight="1" s="511">
      <c r="A4171" s="277" t="n"/>
      <c r="B4171" s="285" t="n"/>
      <c r="C4171" s="579" t="n"/>
      <c r="D4171" s="580" t="n"/>
      <c r="E4171" s="581" t="n"/>
      <c r="F4171" s="577" t="n"/>
      <c r="G4171" s="582" t="n"/>
      <c r="H4171" s="583" t="n"/>
      <c r="I4171" s="510" t="n"/>
    </row>
    <row r="4172" ht="19.95" customFormat="1" customHeight="1" s="511">
      <c r="A4172" s="277" t="n"/>
      <c r="B4172" s="285" t="n"/>
      <c r="C4172" s="579" t="n"/>
      <c r="D4172" s="580" t="n"/>
      <c r="E4172" s="581" t="n"/>
      <c r="F4172" s="577" t="n"/>
      <c r="G4172" s="582" t="n"/>
      <c r="H4172" s="583" t="n"/>
      <c r="I4172" s="510" t="n"/>
    </row>
    <row r="4173" ht="19.95" customFormat="1" customHeight="1" s="511">
      <c r="A4173" s="277" t="n"/>
      <c r="B4173" s="285" t="n"/>
      <c r="C4173" s="579" t="n"/>
      <c r="D4173" s="580" t="n"/>
      <c r="E4173" s="581" t="n"/>
      <c r="F4173" s="577" t="n"/>
      <c r="G4173" s="582" t="n"/>
      <c r="H4173" s="583" t="n"/>
      <c r="I4173" s="510" t="n"/>
    </row>
    <row r="4174" ht="19.95" customFormat="1" customHeight="1" s="511">
      <c r="A4174" s="277" t="n"/>
      <c r="B4174" s="285" t="n"/>
      <c r="C4174" s="579" t="n"/>
      <c r="D4174" s="580" t="n"/>
      <c r="E4174" s="581" t="n"/>
      <c r="F4174" s="577" t="n"/>
      <c r="G4174" s="582" t="n"/>
      <c r="H4174" s="583" t="n"/>
      <c r="I4174" s="510" t="n"/>
    </row>
    <row r="4175" ht="19.95" customFormat="1" customHeight="1" s="511">
      <c r="A4175" s="277" t="n"/>
      <c r="B4175" s="285" t="n"/>
      <c r="C4175" s="579" t="n"/>
      <c r="D4175" s="580" t="n"/>
      <c r="E4175" s="581" t="n"/>
      <c r="F4175" s="577" t="n"/>
      <c r="G4175" s="582" t="n"/>
      <c r="H4175" s="583" t="n"/>
      <c r="I4175" s="510" t="n"/>
    </row>
    <row r="4176" ht="19.95" customFormat="1" customHeight="1" s="511">
      <c r="A4176" s="277" t="n"/>
      <c r="B4176" s="285" t="n"/>
      <c r="C4176" s="579" t="n"/>
      <c r="D4176" s="580" t="n"/>
      <c r="E4176" s="581" t="n"/>
      <c r="F4176" s="577" t="n"/>
      <c r="G4176" s="582" t="n"/>
      <c r="H4176" s="583" t="n"/>
      <c r="I4176" s="510" t="n"/>
    </row>
    <row r="4177" ht="19.95" customFormat="1" customHeight="1" s="511">
      <c r="A4177" s="277" t="n"/>
      <c r="B4177" s="285" t="n"/>
      <c r="C4177" s="579" t="n"/>
      <c r="D4177" s="580" t="n"/>
      <c r="E4177" s="581" t="n"/>
      <c r="F4177" s="577" t="n"/>
      <c r="G4177" s="582" t="n"/>
      <c r="H4177" s="583" t="n"/>
      <c r="I4177" s="510" t="n"/>
    </row>
    <row r="4178" ht="19.95" customFormat="1" customHeight="1" s="511">
      <c r="A4178" s="277" t="n"/>
      <c r="B4178" s="285" t="n"/>
      <c r="C4178" s="579" t="n"/>
      <c r="D4178" s="580" t="n"/>
      <c r="E4178" s="581" t="n"/>
      <c r="F4178" s="577" t="n"/>
      <c r="G4178" s="582" t="n"/>
      <c r="H4178" s="583" t="n"/>
      <c r="I4178" s="510" t="n"/>
    </row>
    <row r="4179" ht="19.95" customFormat="1" customHeight="1" s="511">
      <c r="A4179" s="277" t="n"/>
      <c r="B4179" s="285" t="n"/>
      <c r="C4179" s="579" t="n"/>
      <c r="D4179" s="580" t="n"/>
      <c r="E4179" s="581" t="n"/>
      <c r="F4179" s="577" t="n"/>
      <c r="G4179" s="582" t="n"/>
      <c r="H4179" s="583" t="n"/>
      <c r="I4179" s="510" t="n"/>
    </row>
    <row r="4180" ht="19.95" customFormat="1" customHeight="1" s="511">
      <c r="A4180" s="277" t="n"/>
      <c r="B4180" s="285" t="n"/>
      <c r="C4180" s="579" t="n"/>
      <c r="D4180" s="580" t="n"/>
      <c r="E4180" s="581" t="n"/>
      <c r="F4180" s="577" t="n"/>
      <c r="G4180" s="582" t="n"/>
      <c r="H4180" s="583" t="n"/>
      <c r="I4180" s="510" t="n"/>
    </row>
    <row r="4181" ht="19.95" customFormat="1" customHeight="1" s="511">
      <c r="A4181" s="277" t="n"/>
      <c r="B4181" s="285" t="n"/>
      <c r="C4181" s="579" t="n"/>
      <c r="D4181" s="580" t="n"/>
      <c r="E4181" s="581" t="n"/>
      <c r="F4181" s="577" t="n"/>
      <c r="G4181" s="582" t="n"/>
      <c r="H4181" s="583" t="n"/>
      <c r="I4181" s="510" t="n"/>
    </row>
    <row r="4182" ht="19.95" customFormat="1" customHeight="1" s="511">
      <c r="A4182" s="277" t="n"/>
      <c r="B4182" s="285" t="n"/>
      <c r="C4182" s="579" t="n"/>
      <c r="D4182" s="580" t="n"/>
      <c r="E4182" s="581" t="n"/>
      <c r="F4182" s="577" t="n"/>
      <c r="G4182" s="582" t="n"/>
      <c r="H4182" s="583" t="n"/>
      <c r="I4182" s="510" t="n"/>
    </row>
    <row r="4183" ht="19.95" customFormat="1" customHeight="1" s="511">
      <c r="A4183" s="277" t="n"/>
      <c r="B4183" s="285" t="n"/>
      <c r="C4183" s="579" t="n"/>
      <c r="D4183" s="580" t="n"/>
      <c r="E4183" s="581" t="n"/>
      <c r="F4183" s="577" t="n"/>
      <c r="G4183" s="582" t="n"/>
      <c r="H4183" s="583" t="n"/>
      <c r="I4183" s="510" t="n"/>
    </row>
    <row r="4184" ht="19.95" customFormat="1" customHeight="1" s="511">
      <c r="A4184" s="277" t="n"/>
      <c r="B4184" s="285" t="n"/>
      <c r="C4184" s="579" t="n"/>
      <c r="D4184" s="580" t="n"/>
      <c r="E4184" s="581" t="n"/>
      <c r="F4184" s="577" t="n"/>
      <c r="G4184" s="582" t="n"/>
      <c r="H4184" s="583" t="n"/>
      <c r="I4184" s="510" t="n"/>
    </row>
    <row r="4185" ht="19.95" customFormat="1" customHeight="1" s="511">
      <c r="A4185" s="277" t="n"/>
      <c r="B4185" s="285" t="n"/>
      <c r="C4185" s="579" t="n"/>
      <c r="D4185" s="580" t="n"/>
      <c r="E4185" s="581" t="n"/>
      <c r="F4185" s="577" t="n"/>
      <c r="G4185" s="582" t="n"/>
      <c r="H4185" s="583" t="n"/>
      <c r="I4185" s="510" t="n"/>
    </row>
    <row r="4186" ht="19.95" customFormat="1" customHeight="1" s="511">
      <c r="A4186" s="277" t="n"/>
      <c r="B4186" s="285" t="n"/>
      <c r="C4186" s="579" t="n"/>
      <c r="D4186" s="580" t="n"/>
      <c r="E4186" s="581" t="n"/>
      <c r="F4186" s="577" t="n"/>
      <c r="G4186" s="582" t="n"/>
      <c r="H4186" s="583" t="n"/>
      <c r="I4186" s="510" t="n"/>
    </row>
    <row r="4187" ht="19.95" customFormat="1" customHeight="1" s="511">
      <c r="A4187" s="277" t="n"/>
      <c r="B4187" s="285" t="n"/>
      <c r="C4187" s="579" t="n"/>
      <c r="D4187" s="580" t="n"/>
      <c r="E4187" s="581" t="n"/>
      <c r="F4187" s="577" t="n"/>
      <c r="G4187" s="582" t="n"/>
      <c r="H4187" s="583" t="n"/>
      <c r="I4187" s="510" t="n"/>
    </row>
    <row r="4188" ht="19.95" customFormat="1" customHeight="1" s="511">
      <c r="A4188" s="277" t="n"/>
      <c r="B4188" s="285" t="n"/>
      <c r="C4188" s="579" t="n"/>
      <c r="D4188" s="580" t="n"/>
      <c r="E4188" s="581" t="n"/>
      <c r="F4188" s="577" t="n"/>
      <c r="G4188" s="582" t="n"/>
      <c r="H4188" s="583" t="n"/>
      <c r="I4188" s="510" t="n"/>
    </row>
    <row r="4189" ht="19.95" customFormat="1" customHeight="1" s="511">
      <c r="A4189" s="277" t="n"/>
      <c r="B4189" s="285" t="n"/>
      <c r="C4189" s="579" t="n"/>
      <c r="D4189" s="580" t="n"/>
      <c r="E4189" s="581" t="n"/>
      <c r="F4189" s="577" t="n"/>
      <c r="G4189" s="582" t="n"/>
      <c r="H4189" s="583" t="n"/>
      <c r="I4189" s="510" t="n"/>
    </row>
    <row r="4190" ht="19.95" customFormat="1" customHeight="1" s="511">
      <c r="A4190" s="277" t="n"/>
      <c r="B4190" s="285" t="n"/>
      <c r="C4190" s="579" t="n"/>
      <c r="D4190" s="580" t="n"/>
      <c r="E4190" s="581" t="n"/>
      <c r="F4190" s="577" t="n"/>
      <c r="G4190" s="582" t="n"/>
      <c r="H4190" s="583" t="n"/>
      <c r="I4190" s="510" t="n"/>
    </row>
    <row r="4191" ht="19.95" customFormat="1" customHeight="1" s="511">
      <c r="A4191" s="277" t="n"/>
      <c r="B4191" s="285" t="n"/>
      <c r="C4191" s="579" t="n"/>
      <c r="D4191" s="580" t="n"/>
      <c r="E4191" s="581" t="n"/>
      <c r="F4191" s="577" t="n"/>
      <c r="G4191" s="582" t="n"/>
      <c r="H4191" s="583" t="n"/>
      <c r="I4191" s="510" t="n"/>
    </row>
    <row r="4192" ht="19.95" customFormat="1" customHeight="1" s="511">
      <c r="A4192" s="277" t="n"/>
      <c r="B4192" s="285" t="n"/>
      <c r="C4192" s="579" t="n"/>
      <c r="D4192" s="580" t="n"/>
      <c r="E4192" s="581" t="n"/>
      <c r="F4192" s="577" t="n"/>
      <c r="G4192" s="582" t="n"/>
      <c r="H4192" s="583" t="n"/>
      <c r="I4192" s="510" t="n"/>
    </row>
    <row r="4193" ht="19.95" customFormat="1" customHeight="1" s="511">
      <c r="A4193" s="277" t="n"/>
      <c r="B4193" s="285" t="n"/>
      <c r="C4193" s="579" t="n"/>
      <c r="D4193" s="580" t="n"/>
      <c r="E4193" s="581" t="n"/>
      <c r="F4193" s="577" t="n"/>
      <c r="G4193" s="582" t="n"/>
      <c r="H4193" s="583" t="n"/>
      <c r="I4193" s="510" t="n"/>
    </row>
    <row r="4194" ht="19.95" customFormat="1" customHeight="1" s="511">
      <c r="A4194" s="277" t="n"/>
      <c r="B4194" s="285" t="n"/>
      <c r="C4194" s="579" t="n"/>
      <c r="D4194" s="580" t="n"/>
      <c r="E4194" s="581" t="n"/>
      <c r="F4194" s="577" t="n"/>
      <c r="G4194" s="582" t="n"/>
      <c r="H4194" s="583" t="n"/>
      <c r="I4194" s="510" t="n"/>
    </row>
    <row r="4195" ht="19.95" customFormat="1" customHeight="1" s="511">
      <c r="A4195" s="277" t="n"/>
      <c r="B4195" s="285" t="n"/>
      <c r="C4195" s="579" t="n"/>
      <c r="D4195" s="580" t="n"/>
      <c r="E4195" s="581" t="n"/>
      <c r="F4195" s="577" t="n"/>
      <c r="G4195" s="582" t="n"/>
      <c r="H4195" s="583" t="n"/>
      <c r="I4195" s="510" t="n"/>
    </row>
    <row r="4196" ht="19.95" customFormat="1" customHeight="1" s="511">
      <c r="A4196" s="277" t="n"/>
      <c r="B4196" s="285" t="n"/>
      <c r="C4196" s="579" t="n"/>
      <c r="D4196" s="580" t="n"/>
      <c r="E4196" s="581" t="n"/>
      <c r="F4196" s="577" t="n"/>
      <c r="G4196" s="582" t="n"/>
      <c r="H4196" s="583" t="n"/>
      <c r="I4196" s="510" t="n"/>
    </row>
    <row r="4197" ht="19.95" customFormat="1" customHeight="1" s="511">
      <c r="A4197" s="277" t="n"/>
      <c r="B4197" s="285" t="n"/>
      <c r="C4197" s="579" t="n"/>
      <c r="D4197" s="580" t="n"/>
      <c r="E4197" s="581" t="n"/>
      <c r="F4197" s="577" t="n"/>
      <c r="G4197" s="582" t="n"/>
      <c r="H4197" s="583" t="n"/>
      <c r="I4197" s="510" t="n"/>
    </row>
    <row r="4198" ht="19.95" customFormat="1" customHeight="1" s="511">
      <c r="A4198" s="277" t="n"/>
      <c r="B4198" s="285" t="n"/>
      <c r="C4198" s="579" t="n"/>
      <c r="D4198" s="580" t="n"/>
      <c r="E4198" s="581" t="n"/>
      <c r="F4198" s="577" t="n"/>
      <c r="G4198" s="582" t="n"/>
      <c r="H4198" s="583" t="n"/>
      <c r="I4198" s="510" t="n"/>
    </row>
    <row r="4199" ht="19.95" customFormat="1" customHeight="1" s="511">
      <c r="A4199" s="277" t="n"/>
      <c r="B4199" s="285" t="n"/>
      <c r="C4199" s="579" t="n"/>
      <c r="D4199" s="580" t="n"/>
      <c r="E4199" s="581" t="n"/>
      <c r="F4199" s="577" t="n"/>
      <c r="G4199" s="582" t="n"/>
      <c r="H4199" s="583" t="n"/>
      <c r="I4199" s="510" t="n"/>
    </row>
    <row r="4200" ht="19.95" customFormat="1" customHeight="1" s="511">
      <c r="A4200" s="277" t="n"/>
      <c r="B4200" s="285" t="n"/>
      <c r="C4200" s="579" t="n"/>
      <c r="D4200" s="580" t="n"/>
      <c r="E4200" s="581" t="n"/>
      <c r="F4200" s="577" t="n"/>
      <c r="G4200" s="582" t="n"/>
      <c r="H4200" s="583" t="n"/>
      <c r="I4200" s="510" t="n"/>
    </row>
    <row r="4201" ht="19.95" customFormat="1" customHeight="1" s="511">
      <c r="A4201" s="277" t="n"/>
      <c r="B4201" s="285" t="n"/>
      <c r="C4201" s="579" t="n"/>
      <c r="D4201" s="580" t="n"/>
      <c r="E4201" s="581" t="n"/>
      <c r="F4201" s="577" t="n"/>
      <c r="G4201" s="582" t="n"/>
      <c r="H4201" s="583" t="n"/>
      <c r="I4201" s="510" t="n"/>
    </row>
    <row r="4202" ht="19.95" customFormat="1" customHeight="1" s="511">
      <c r="A4202" s="277" t="n"/>
      <c r="B4202" s="285" t="n"/>
      <c r="C4202" s="579" t="n"/>
      <c r="D4202" s="580" t="n"/>
      <c r="E4202" s="581" t="n"/>
      <c r="F4202" s="577" t="n"/>
      <c r="G4202" s="582" t="n"/>
      <c r="H4202" s="583" t="n"/>
      <c r="I4202" s="510" t="n"/>
    </row>
    <row r="4203" ht="19.95" customFormat="1" customHeight="1" s="511">
      <c r="A4203" s="277" t="n"/>
      <c r="B4203" s="285" t="n"/>
      <c r="C4203" s="579" t="n"/>
      <c r="D4203" s="580" t="n"/>
      <c r="E4203" s="581" t="n"/>
      <c r="F4203" s="577" t="n"/>
      <c r="G4203" s="582" t="n"/>
      <c r="H4203" s="583" t="n"/>
      <c r="I4203" s="510" t="n"/>
    </row>
    <row r="4204" ht="19.95" customFormat="1" customHeight="1" s="511">
      <c r="A4204" s="277" t="n"/>
      <c r="B4204" s="285" t="n"/>
      <c r="C4204" s="579" t="n"/>
      <c r="D4204" s="580" t="n"/>
      <c r="E4204" s="581" t="n"/>
      <c r="F4204" s="577" t="n"/>
      <c r="G4204" s="582" t="n"/>
      <c r="H4204" s="583" t="n"/>
      <c r="I4204" s="510" t="n"/>
    </row>
    <row r="4205" ht="19.95" customFormat="1" customHeight="1" s="511">
      <c r="A4205" s="277" t="n"/>
      <c r="B4205" s="285" t="n"/>
      <c r="C4205" s="579" t="n"/>
      <c r="D4205" s="580" t="n"/>
      <c r="E4205" s="581" t="n"/>
      <c r="F4205" s="577" t="n"/>
      <c r="G4205" s="582" t="n"/>
      <c r="H4205" s="583" t="n"/>
      <c r="I4205" s="510" t="n"/>
    </row>
    <row r="4206" ht="19.95" customFormat="1" customHeight="1" s="511">
      <c r="A4206" s="277" t="n"/>
      <c r="B4206" s="285" t="n"/>
      <c r="C4206" s="579" t="n"/>
      <c r="D4206" s="580" t="n"/>
      <c r="E4206" s="581" t="n"/>
      <c r="F4206" s="577" t="n"/>
      <c r="G4206" s="582" t="n"/>
      <c r="H4206" s="583" t="n"/>
      <c r="I4206" s="510" t="n"/>
    </row>
    <row r="4207" ht="19.95" customFormat="1" customHeight="1" s="511">
      <c r="A4207" s="277" t="n"/>
      <c r="B4207" s="285" t="n"/>
      <c r="C4207" s="579" t="n"/>
      <c r="D4207" s="580" t="n"/>
      <c r="E4207" s="581" t="n"/>
      <c r="F4207" s="577" t="n"/>
      <c r="G4207" s="582" t="n"/>
      <c r="H4207" s="583" t="n"/>
      <c r="I4207" s="510" t="n"/>
    </row>
    <row r="4208" ht="19.95" customFormat="1" customHeight="1" s="511">
      <c r="A4208" s="277" t="n"/>
      <c r="B4208" s="285" t="n"/>
      <c r="C4208" s="579" t="n"/>
      <c r="D4208" s="580" t="n"/>
      <c r="E4208" s="581" t="n"/>
      <c r="F4208" s="577" t="n"/>
      <c r="G4208" s="582" t="n"/>
      <c r="H4208" s="583" t="n"/>
      <c r="I4208" s="510" t="n"/>
    </row>
    <row r="4209" ht="19.95" customFormat="1" customHeight="1" s="511">
      <c r="A4209" s="277" t="n"/>
      <c r="B4209" s="285" t="n"/>
      <c r="C4209" s="579" t="n"/>
      <c r="D4209" s="580" t="n"/>
      <c r="E4209" s="581" t="n"/>
      <c r="F4209" s="577" t="n"/>
      <c r="G4209" s="582" t="n"/>
      <c r="H4209" s="583" t="n"/>
      <c r="I4209" s="510" t="n"/>
    </row>
    <row r="4210" ht="19.95" customFormat="1" customHeight="1" s="511">
      <c r="A4210" s="277" t="n"/>
      <c r="B4210" s="285" t="n"/>
      <c r="C4210" s="579" t="n"/>
      <c r="D4210" s="580" t="n"/>
      <c r="E4210" s="581" t="n"/>
      <c r="F4210" s="577" t="n"/>
      <c r="G4210" s="582" t="n"/>
      <c r="H4210" s="583" t="n"/>
      <c r="I4210" s="510" t="n"/>
    </row>
    <row r="4211" ht="19.95" customFormat="1" customHeight="1" s="511">
      <c r="A4211" s="277" t="n"/>
      <c r="B4211" s="285" t="n"/>
      <c r="C4211" s="579" t="n"/>
      <c r="D4211" s="580" t="n"/>
      <c r="E4211" s="581" t="n"/>
      <c r="F4211" s="577" t="n"/>
      <c r="G4211" s="582" t="n"/>
      <c r="H4211" s="583" t="n"/>
      <c r="I4211" s="510" t="n"/>
    </row>
    <row r="4212" ht="19.95" customFormat="1" customHeight="1" s="197">
      <c r="A4212" s="277" t="n"/>
      <c r="B4212" s="278" t="n"/>
      <c r="C4212" s="279" t="n"/>
      <c r="D4212" s="575" t="n"/>
      <c r="E4212" s="576" t="n"/>
      <c r="F4212" s="577" t="n"/>
      <c r="G4212" s="283" t="n"/>
      <c r="H4212" s="578" t="n"/>
      <c r="I4212" s="203" t="n"/>
    </row>
    <row r="4213" ht="25.2" customFormat="1" customHeight="1" s="197">
      <c r="A4213" s="479" t="inlineStr">
        <is>
          <t>សរុបអាករលើការនាំចូលជាបន្ទុករដ្ឋ</t>
        </is>
      </c>
      <c r="B4213" s="584" t="n"/>
      <c r="C4213" s="584" t="n"/>
      <c r="D4213" s="584" t="n"/>
      <c r="E4213" s="584" t="n"/>
      <c r="F4213" s="573" t="n"/>
      <c r="G4213" s="585">
        <f>SUM(G9:G4212)</f>
        <v/>
      </c>
      <c r="H4213" s="586" t="n"/>
    </row>
    <row r="4214" ht="31.8" customHeight="1" s="408">
      <c r="A4214" s="292" t="n"/>
      <c r="B4214" s="292" t="n"/>
      <c r="C4214" s="292" t="n"/>
      <c r="D4214" s="292" t="n"/>
      <c r="E4214" s="292" t="n"/>
      <c r="F4214" s="292" t="n"/>
      <c r="G4214" s="292" t="n"/>
      <c r="H4214" s="292" t="n"/>
    </row>
    <row r="4215" ht="45.6" customHeight="1" s="408">
      <c r="A4215" s="292" t="n"/>
      <c r="B4215" s="292" t="n"/>
      <c r="C4215" s="292" t="n"/>
      <c r="D4215" s="292" t="n"/>
      <c r="E4215" s="419" t="inlineStr">
        <is>
          <t>រាជធានីភ្នំពេញ.ថ្ងៃទី            ខែ          ឆ្នាំ២០២៤</t>
        </is>
      </c>
    </row>
    <row r="4216" ht="45.6" customHeight="1" s="408">
      <c r="A4216" s="292" t="n"/>
      <c r="B4216" s="292" t="n"/>
      <c r="C4216" s="292" t="n"/>
      <c r="D4216" s="292" t="n"/>
      <c r="E4216" s="420" t="inlineStr">
        <is>
          <t>មន្ត្រីសវនកម្ម</t>
        </is>
      </c>
    </row>
    <row r="4217" ht="31.8" customHeight="1" s="408">
      <c r="A4217" s="292" t="n"/>
      <c r="B4217" s="292" t="n"/>
      <c r="C4217" s="292" t="n"/>
      <c r="D4217" s="292" t="n"/>
      <c r="E4217" s="292" t="n"/>
      <c r="F4217" s="292" t="n"/>
      <c r="G4217" s="587" t="n"/>
      <c r="H4217" s="210" t="n"/>
    </row>
    <row r="4218" ht="31.8" customHeight="1" s="408">
      <c r="A4218" s="292" t="n"/>
      <c r="B4218" s="292" t="n"/>
      <c r="C4218" s="292" t="n"/>
      <c r="D4218" s="292" t="n"/>
      <c r="E4218" s="292" t="n"/>
      <c r="F4218" s="292" t="n"/>
      <c r="G4218" s="587" t="n"/>
      <c r="H4218" s="210" t="n"/>
    </row>
    <row r="4219">
      <c r="A4219" s="292" t="n"/>
      <c r="B4219" s="292" t="n"/>
      <c r="E4219" s="420">
        <f>'Company information'!C9</f>
        <v/>
      </c>
      <c r="H4219" s="588">
        <f>'Company information'!D9</f>
        <v/>
      </c>
    </row>
  </sheetData>
  <mergeCells count="13">
    <mergeCell ref="A3:H3"/>
    <mergeCell ref="C7:D7"/>
    <mergeCell ref="E4219:G4219"/>
    <mergeCell ref="E7:F7"/>
    <mergeCell ref="A2:H2"/>
    <mergeCell ref="E4216:H4216"/>
    <mergeCell ref="A4213:F4213"/>
    <mergeCell ref="A7:A8"/>
    <mergeCell ref="G7:G8"/>
    <mergeCell ref="B7:B8"/>
    <mergeCell ref="H7:H8"/>
    <mergeCell ref="A1:H1"/>
    <mergeCell ref="E4215:H4215"/>
  </mergeCells>
  <printOptions horizontalCentered="1"/>
  <pageMargins left="0.196850393700787" right="0.196850393700787" top="0.16" bottom="0.45" header="0.51" footer="0.196850393700787"/>
  <pageSetup orientation="portrait" paperSize="9" scale="72" fitToHeight="0" horizontalDpi="1200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23"/>
  <sheetViews>
    <sheetView view="pageBreakPreview" zoomScaleNormal="100" zoomScaleSheetLayoutView="100" workbookViewId="0">
      <pane ySplit="8" topLeftCell="A14" activePane="bottomLeft" state="frozen"/>
      <selection pane="bottomLeft" activeCell="A20" sqref="A20"/>
    </sheetView>
  </sheetViews>
  <sheetFormatPr baseColWidth="8" defaultColWidth="9.109375" defaultRowHeight="45.6"/>
  <cols>
    <col width="12.44140625" customWidth="1" style="271" min="1" max="1"/>
    <col width="32.88671875" customWidth="1" style="271" min="2" max="2"/>
    <col width="18.6640625" customWidth="1" style="271" min="3" max="3"/>
    <col width="11.109375" bestFit="1" customWidth="1" style="271" min="4" max="4"/>
    <col hidden="1" width="11.6640625" customWidth="1" style="271" min="5" max="5"/>
    <col hidden="1" width="13.44140625" customWidth="1" style="271" min="6" max="6"/>
    <col width="25.6640625" customWidth="1" style="271" min="7" max="7"/>
    <col width="42.44140625" bestFit="1" customWidth="1" style="271" min="8" max="8"/>
    <col width="17.33203125" customWidth="1" style="271" min="9" max="9"/>
    <col width="12.44140625" bestFit="1" customWidth="1" style="1" min="10" max="10"/>
    <col width="12.6640625" customWidth="1" style="1" min="11" max="11"/>
    <col width="9.109375" customWidth="1" style="1" min="12" max="16384"/>
  </cols>
  <sheetData>
    <row r="1" ht="27" customFormat="1" customHeight="1" s="293">
      <c r="A1" s="421" t="inlineStr">
        <is>
          <t>តារាងឧបសម្ព័ន្ធ II</t>
        </is>
      </c>
    </row>
    <row r="2" ht="23.4" customFormat="1" customHeight="1" s="293">
      <c r="A2" s="434" t="inlineStr">
        <is>
          <t>តារាងផ្ទៀងផ្ទាត់បញ្ជាក់អំពីអាករលើធាតុចូលដែលអាចស្នើសុំជាឥណទាន</t>
        </is>
      </c>
    </row>
    <row r="3" ht="28.95" customFormat="1" customHeight="1" s="293">
      <c r="A3" s="434" t="inlineStr">
        <is>
          <t>( ការនាំចូល ឬ អាករគិតជំនួស(Reverse Charge))</t>
        </is>
      </c>
    </row>
    <row r="4" ht="22.8" customFormat="1" customHeight="1" s="293">
      <c r="A4" s="294" t="inlineStr">
        <is>
          <t>ក្រុមហ៊ុន៖</t>
        </is>
      </c>
      <c r="B4" s="207">
        <f>'Company information'!C2</f>
        <v/>
      </c>
      <c r="D4" s="208" t="n"/>
      <c r="E4" s="209" t="n"/>
      <c r="F4" s="210" t="n"/>
      <c r="G4" s="568" t="inlineStr">
        <is>
          <t xml:space="preserve">សវនករពន្ធដារ៖ </t>
        </is>
      </c>
      <c r="H4" s="569">
        <f>'Company information'!C8</f>
        <v/>
      </c>
    </row>
    <row r="5" ht="22.8" customFormat="1" customHeight="1" s="293">
      <c r="A5" s="213" t="inlineStr">
        <is>
          <t>លេខ អតប៖</t>
        </is>
      </c>
      <c r="B5" s="207">
        <f>'Company information'!C4</f>
        <v/>
      </c>
      <c r="C5" s="205" t="n"/>
      <c r="D5" s="208" t="n"/>
      <c r="E5" s="209" t="n"/>
      <c r="F5" s="208" t="n"/>
      <c r="G5" s="205" t="n"/>
      <c r="H5" s="569">
        <f>'Company information'!D8</f>
        <v/>
      </c>
    </row>
    <row r="6" ht="22.8" customFormat="1" customHeight="1" s="293">
      <c r="A6" s="570">
        <f>'Company information'!H8</f>
        <v/>
      </c>
      <c r="B6" s="207" t="n"/>
      <c r="D6" s="208" t="n"/>
      <c r="E6" s="209" t="n"/>
      <c r="F6" s="210" t="n"/>
      <c r="G6" s="571" t="inlineStr">
        <is>
          <t>ទឹកប្រាក់ស្នើសុំបង្វិលសងចំនួន៖</t>
        </is>
      </c>
      <c r="H6" s="589">
        <f>'Company information'!H9</f>
        <v/>
      </c>
      <c r="I6" s="590" t="n"/>
    </row>
    <row r="7" ht="25.2" customFormat="1" customHeight="1" s="194">
      <c r="A7" s="427" t="inlineStr">
        <is>
          <t>ល.រ</t>
        </is>
      </c>
      <c r="B7" s="427" t="inlineStr">
        <is>
          <t>បរិយាយ</t>
        </is>
      </c>
      <c r="C7" s="427" t="inlineStr">
        <is>
          <t>ប្រតិវេទន៍គយនាំចូល/ វិក្កយបត្រ</t>
        </is>
      </c>
      <c r="D7" s="573" t="n"/>
      <c r="E7" s="427" t="inlineStr">
        <is>
          <t>បង្កាន់ដៃទទួលប្រាក់</t>
        </is>
      </c>
      <c r="F7" s="573" t="n"/>
      <c r="G7" s="427" t="inlineStr">
        <is>
          <t>ប្រាក់អាករ (រៀល)</t>
        </is>
      </c>
      <c r="H7" s="428" t="inlineStr">
        <is>
          <t>លទ្ធផលផ្ទៀងផ្ទាត់ជាមួយទិន្នន័យពីអគ្គនាយកដ្ឋានគយ/
ឬ អាករគិតជំនួស(Reverse Charge)</t>
        </is>
      </c>
      <c r="I7" s="429" t="inlineStr">
        <is>
          <t>ផ្សេងៗ</t>
        </is>
      </c>
    </row>
    <row r="8" ht="25.2" customFormat="1" customHeight="1" s="194">
      <c r="A8" s="574" t="n"/>
      <c r="B8" s="574" t="n"/>
      <c r="C8" s="427" t="inlineStr">
        <is>
          <t>លេខ</t>
        </is>
      </c>
      <c r="D8" s="427" t="inlineStr">
        <is>
          <t>ចុះថ្ងៃទី ខែ ឆ្នាំ</t>
        </is>
      </c>
      <c r="E8" s="427" t="inlineStr">
        <is>
          <t>លេខ</t>
        </is>
      </c>
      <c r="F8" s="427" t="inlineStr">
        <is>
          <t>ថ្ងៃ ខែ ឆ្នាំ</t>
        </is>
      </c>
      <c r="G8" s="574" t="n"/>
      <c r="H8" s="574" t="n"/>
      <c r="I8" s="574" t="n"/>
      <c r="J8" s="194" t="inlineStr">
        <is>
          <t>បានប្រកាស</t>
        </is>
      </c>
      <c r="K8" s="194" t="inlineStr">
        <is>
          <t>ខ្វះ</t>
        </is>
      </c>
    </row>
    <row r="9" ht="17.4" customFormat="1" customHeight="1" s="2">
      <c r="A9" s="262" t="n"/>
      <c r="B9" s="263" t="n"/>
      <c r="C9" s="264" t="n"/>
      <c r="D9" s="591" t="n"/>
      <c r="E9" s="592" t="n"/>
      <c r="F9" s="591" t="n"/>
      <c r="G9" s="593" t="n"/>
      <c r="H9" s="593" t="n"/>
      <c r="I9" s="593" t="n"/>
    </row>
    <row r="10" ht="24" customFormat="1" customHeight="1" s="2">
      <c r="A10" s="262" t="n"/>
      <c r="B10" s="385" t="n"/>
      <c r="C10" s="356" t="n"/>
      <c r="D10" s="591" t="n"/>
      <c r="E10" s="592" t="n"/>
      <c r="F10" s="591" t="n"/>
      <c r="G10" s="593" t="n"/>
      <c r="H10" s="593" t="n"/>
      <c r="I10" s="593" t="n"/>
      <c r="J10" s="594" t="n"/>
      <c r="K10" s="594" t="n"/>
    </row>
    <row r="11" ht="24" customFormat="1" customHeight="1" s="2">
      <c r="A11" s="262" t="n"/>
      <c r="B11" s="385" t="n"/>
      <c r="C11" s="356" t="n"/>
      <c r="D11" s="591" t="n"/>
      <c r="E11" s="592" t="n"/>
      <c r="F11" s="591" t="n"/>
      <c r="G11" s="593" t="n"/>
      <c r="H11" s="593" t="n"/>
      <c r="I11" s="593" t="n"/>
      <c r="J11" s="594" t="n"/>
      <c r="K11" s="594" t="n"/>
    </row>
    <row r="12" ht="24" customFormat="1" customHeight="1" s="2">
      <c r="A12" s="262" t="n"/>
      <c r="B12" s="385" t="n"/>
      <c r="C12" s="356" t="n"/>
      <c r="D12" s="591" t="n"/>
      <c r="E12" s="592" t="n"/>
      <c r="F12" s="591" t="n"/>
      <c r="G12" s="593" t="n"/>
      <c r="H12" s="593" t="n"/>
      <c r="I12" s="593" t="n"/>
      <c r="J12" s="594" t="n"/>
      <c r="K12" s="594" t="n"/>
    </row>
    <row r="13" ht="24" customFormat="1" customHeight="1" s="2">
      <c r="A13" s="262" t="n"/>
      <c r="B13" s="385" t="n"/>
      <c r="C13" s="356" t="n"/>
      <c r="D13" s="591" t="n"/>
      <c r="E13" s="592" t="n"/>
      <c r="F13" s="591" t="n"/>
      <c r="G13" s="593" t="n"/>
      <c r="H13" s="593" t="n"/>
      <c r="I13" s="593" t="n"/>
      <c r="J13" s="594" t="n"/>
      <c r="K13" s="594" t="n"/>
    </row>
    <row r="14" ht="24" customFormat="1" customHeight="1" s="2">
      <c r="A14" s="262" t="n"/>
      <c r="B14" s="385" t="n"/>
      <c r="C14" s="356" t="n"/>
      <c r="D14" s="591" t="n"/>
      <c r="E14" s="592" t="n"/>
      <c r="F14" s="591" t="n"/>
      <c r="G14" s="593" t="n"/>
      <c r="H14" s="593" t="n"/>
      <c r="I14" s="593" t="n"/>
      <c r="J14" s="594" t="n"/>
      <c r="K14" s="594" t="n"/>
    </row>
    <row r="15" ht="24" customFormat="1" customHeight="1" s="2">
      <c r="A15" s="262" t="n"/>
      <c r="B15" s="385" t="n"/>
      <c r="C15" s="356" t="n"/>
      <c r="D15" s="591" t="n"/>
      <c r="E15" s="592" t="n"/>
      <c r="F15" s="591" t="n"/>
      <c r="G15" s="593" t="n"/>
      <c r="H15" s="593" t="n"/>
      <c r="I15" s="593" t="n"/>
      <c r="J15" s="594" t="n"/>
      <c r="K15" s="594" t="n"/>
    </row>
    <row r="16" ht="24.6" customHeight="1" s="408">
      <c r="A16" s="269" t="n"/>
      <c r="B16" s="269" t="n"/>
      <c r="C16" s="269" t="n"/>
      <c r="D16" s="269" t="n"/>
      <c r="E16" s="269" t="n"/>
      <c r="F16" s="269" t="n"/>
      <c r="G16" s="269" t="n"/>
      <c r="H16" s="269" t="n"/>
      <c r="I16" s="269" t="n"/>
    </row>
    <row r="17" ht="30" customHeight="1" s="408">
      <c r="A17" s="435" t="inlineStr">
        <is>
          <t>សរុបអាករលើការនាំចូលជាមិនមែនបន្ទុករដ្ឋ</t>
        </is>
      </c>
      <c r="B17" s="584" t="n"/>
      <c r="C17" s="584" t="n"/>
      <c r="D17" s="584" t="n"/>
      <c r="E17" s="584" t="n"/>
      <c r="F17" s="573" t="n"/>
      <c r="G17" s="595">
        <f>SUM(G9:G16)</f>
        <v/>
      </c>
      <c r="H17" s="596" t="n"/>
      <c r="I17" s="596" t="n"/>
    </row>
    <row r="18" ht="18.75" customHeight="1" s="408"/>
    <row r="19" ht="31.5" customHeight="1" s="408">
      <c r="F19" s="292" t="n"/>
      <c r="G19" s="420" t="inlineStr">
        <is>
          <t>រាជធានីភ្នំពេញ.ថ្ងៃទី            ខែ          ឆ្នាំ២០២៥</t>
        </is>
      </c>
      <c r="I19" s="420" t="n"/>
    </row>
    <row r="20" ht="37.5" customHeight="1" s="408">
      <c r="F20" s="292" t="n"/>
      <c r="G20" s="420" t="inlineStr">
        <is>
          <t>មន្ត្រីសវនកម្ម</t>
        </is>
      </c>
      <c r="I20" s="420" t="n"/>
    </row>
    <row r="21">
      <c r="G21" s="587" t="n"/>
      <c r="H21" s="210" t="n"/>
      <c r="I21" s="210" t="n"/>
    </row>
    <row r="22" ht="19.5" customHeight="1" s="408">
      <c r="G22" s="587" t="n"/>
      <c r="H22" s="210" t="n"/>
      <c r="I22" s="210" t="n"/>
    </row>
    <row r="23">
      <c r="F23" s="292" t="n"/>
      <c r="G23" s="419">
        <f>'Company information'!C9</f>
        <v/>
      </c>
      <c r="H23" s="419">
        <f>'Company information'!D9</f>
        <v/>
      </c>
      <c r="I23" s="420" t="n"/>
    </row>
  </sheetData>
  <autoFilter ref="A9:K15"/>
  <mergeCells count="16">
    <mergeCell ref="G20:H20"/>
    <mergeCell ref="A2:I2"/>
    <mergeCell ref="C7:D7"/>
    <mergeCell ref="H6:I6"/>
    <mergeCell ref="E7:F7"/>
    <mergeCell ref="A1:I1"/>
    <mergeCell ref="G19:H19"/>
    <mergeCell ref="A7:A8"/>
    <mergeCell ref="H5:I5"/>
    <mergeCell ref="A17:F17"/>
    <mergeCell ref="A3:I3"/>
    <mergeCell ref="I7:I8"/>
    <mergeCell ref="H4:I4"/>
    <mergeCell ref="B7:B8"/>
    <mergeCell ref="H7:H8"/>
    <mergeCell ref="G7:G8"/>
  </mergeCells>
  <printOptions horizontalCentered="1"/>
  <pageMargins left="0.196850393700787" right="0.196850393700787" top="0.16" bottom="0.45" header="0.51" footer="0.196850393700787"/>
  <pageSetup orientation="portrait" paperSize="9" scale="63" fitToHeight="0" horizontalDpi="1200"/>
  <colBreaks count="1" manualBreakCount="1">
    <brk id="9" min="0" max="1048575" man="1"/>
  </colBreak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AO791"/>
  <sheetViews>
    <sheetView zoomScale="70" zoomScaleNormal="70" zoomScaleSheetLayoutView="70" workbookViewId="0">
      <pane xSplit="1" ySplit="9" topLeftCell="M34" activePane="bottomRight" state="frozen"/>
      <selection pane="topRight" activeCell="B1" sqref="B1"/>
      <selection pane="bottomLeft" activeCell="A10" sqref="A10"/>
      <selection pane="bottomRight" activeCell="S2" sqref="S2"/>
    </sheetView>
  </sheetViews>
  <sheetFormatPr baseColWidth="8" defaultColWidth="9.109375" defaultRowHeight="22.8"/>
  <cols>
    <col width="12.109375" customWidth="1" style="440" min="1" max="1"/>
    <col width="67.5546875" bestFit="1" customWidth="1" style="205" min="2" max="2"/>
    <col width="43" customWidth="1" style="205" min="3" max="3"/>
    <col width="23" bestFit="1" customWidth="1" style="440" min="4" max="4"/>
    <col width="20.44140625" customWidth="1" style="440" min="5" max="5"/>
    <col width="14" customWidth="1" style="205" min="6" max="6"/>
    <col hidden="1" width="20.109375" customWidth="1" style="205" min="7" max="7"/>
    <col hidden="1" width="20.109375" customWidth="1" style="597" min="8" max="8"/>
    <col width="18.6640625" customWidth="1" style="205" min="9" max="9"/>
    <col width="23.109375" bestFit="1" customWidth="1" style="205" min="10" max="10"/>
    <col width="13.88671875" customWidth="1" style="205" min="11" max="11"/>
    <col width="35.33203125" bestFit="1" customWidth="1" style="598" min="12" max="12"/>
    <col width="16.6640625" bestFit="1" customWidth="1" style="598" min="13" max="13"/>
    <col width="34.109375" customWidth="1" style="598" min="14" max="14"/>
    <col width="15" customWidth="1" style="205" min="15" max="15"/>
    <col width="32.5546875" customWidth="1" style="205" min="16" max="16"/>
    <col width="26.33203125" customWidth="1" style="205" min="17" max="17"/>
    <col width="18.33203125" bestFit="1" customWidth="1" style="205" min="18" max="18"/>
    <col width="13.33203125" customWidth="1" style="339" min="19" max="19"/>
    <col width="13.5546875" bestFit="1" customWidth="1" style="598" min="20" max="20"/>
    <col width="23.109375" bestFit="1" customWidth="1" style="598" min="21" max="21"/>
    <col width="47.88671875" customWidth="1" style="598" min="22" max="22"/>
    <col width="10.21875" customWidth="1" style="598" min="23" max="23"/>
    <col width="23.88671875" customWidth="1" style="598" min="24" max="24"/>
    <col width="16.33203125" customWidth="1" style="598" min="25" max="25"/>
    <col width="25.109375" customWidth="1" style="598" min="26" max="26"/>
    <col width="23.109375" customWidth="1" style="598" min="27" max="27"/>
    <col width="19" customWidth="1" style="598" min="28" max="28"/>
    <col width="18" customWidth="1" style="598" min="29" max="29"/>
    <col width="19" customWidth="1" style="598" min="30" max="30"/>
    <col width="15.88671875" customWidth="1" style="598" min="31" max="31"/>
    <col width="14.44140625" customWidth="1" style="205" min="32" max="32"/>
    <col width="9.109375" customWidth="1" style="205" min="33" max="16384"/>
  </cols>
  <sheetData>
    <row r="1" ht="24.6" customFormat="1" customHeight="1" s="333">
      <c r="A1" s="459" t="inlineStr">
        <is>
          <t>តារាងឧបសម្ព័ន្ធ III</t>
        </is>
      </c>
      <c r="M1" s="599" t="n"/>
      <c r="N1" s="599" t="n"/>
      <c r="T1" s="599" t="n"/>
      <c r="U1" s="599" t="n"/>
      <c r="V1" s="599" t="n"/>
      <c r="W1" s="599" t="n"/>
      <c r="X1" s="599" t="n"/>
      <c r="Y1" s="599" t="n"/>
      <c r="Z1" s="599" t="n"/>
      <c r="AA1" s="599" t="n"/>
      <c r="AB1" s="599" t="n"/>
      <c r="AC1" s="599" t="n"/>
      <c r="AD1" s="599" t="n"/>
      <c r="AE1" s="599" t="n"/>
    </row>
    <row r="2" ht="24.6" customFormat="1" customHeight="1" s="333">
      <c r="A2" s="459" t="inlineStr">
        <is>
          <t>តារាងផ្ទៀងផ្ទាត់បញ្ជាក់អំពីអាករលើធាតុចូលដែលអាចស្នើសុំជាឥណទាន</t>
        </is>
      </c>
      <c r="M2" s="599" t="n"/>
      <c r="N2" s="599" t="n"/>
      <c r="T2" s="599" t="n"/>
      <c r="U2" s="599" t="n"/>
      <c r="V2" s="599" t="n"/>
      <c r="W2" s="599" t="n"/>
      <c r="X2" s="599" t="n"/>
      <c r="Y2" s="599" t="n"/>
      <c r="Z2" s="599" t="n"/>
      <c r="AA2" s="599" t="n"/>
      <c r="AB2" s="599" t="n"/>
      <c r="AC2" s="599" t="n"/>
      <c r="AD2" s="599" t="n"/>
      <c r="AE2" s="599" t="n"/>
    </row>
    <row r="3" ht="24.6" customFormat="1" customHeight="1" s="333">
      <c r="A3" s="459" t="inlineStr">
        <is>
          <t>(ការទិញក្នុងស្រុក)</t>
        </is>
      </c>
      <c r="M3" s="599" t="n"/>
      <c r="N3" s="599" t="n"/>
      <c r="T3" s="599" t="n"/>
      <c r="U3" s="599" t="n"/>
      <c r="V3" s="599" t="n"/>
      <c r="W3" s="599" t="n"/>
      <c r="X3" s="599" t="n"/>
      <c r="Y3" s="599" t="n"/>
      <c r="Z3" s="599" t="n"/>
      <c r="AA3" s="599" t="n"/>
      <c r="AB3" s="599" t="n"/>
      <c r="AC3" s="599" t="n"/>
      <c r="AD3" s="599" t="n"/>
      <c r="AE3" s="599" t="n"/>
    </row>
    <row r="4" ht="24.6" customFormat="1" customHeight="1" s="333">
      <c r="A4" s="334" t="inlineStr">
        <is>
          <t>ក្រុមហ៊ុន៖</t>
        </is>
      </c>
      <c r="B4" s="322">
        <f>'Company information'!C2</f>
        <v/>
      </c>
      <c r="D4" s="323" t="n"/>
      <c r="E4" s="324" t="n"/>
      <c r="F4" s="320" t="n"/>
      <c r="H4" s="600" t="n"/>
      <c r="I4" s="601" t="inlineStr">
        <is>
          <t xml:space="preserve">សវនករពន្ធដារ៖ </t>
        </is>
      </c>
      <c r="K4" s="602">
        <f>'Company information'!C8</f>
        <v/>
      </c>
      <c r="L4" s="599" t="n"/>
      <c r="M4" s="599" t="n"/>
      <c r="N4" s="599" t="n"/>
      <c r="T4" s="599" t="n"/>
      <c r="U4" s="599" t="n"/>
      <c r="V4" s="599" t="n"/>
      <c r="W4" s="599" t="n"/>
      <c r="X4" s="599" t="n"/>
      <c r="Y4" s="599" t="n"/>
      <c r="Z4" s="599" t="n"/>
      <c r="AA4" s="599" t="n"/>
      <c r="AB4" s="599" t="n"/>
      <c r="AC4" s="599" t="n"/>
      <c r="AD4" s="599" t="n"/>
      <c r="AE4" s="599" t="n"/>
    </row>
    <row r="5" ht="24.6" customFormat="1" customHeight="1" s="333">
      <c r="A5" s="327" t="inlineStr">
        <is>
          <t>លេខ អតប៖</t>
        </is>
      </c>
      <c r="B5" s="322">
        <f>'Company information'!C4</f>
        <v/>
      </c>
      <c r="D5" s="323" t="n"/>
      <c r="E5" s="324" t="n"/>
      <c r="F5" s="323" t="n"/>
      <c r="G5" s="600" t="n"/>
      <c r="H5" s="600" t="n"/>
      <c r="K5" s="602">
        <f>'Company information'!D8</f>
        <v/>
      </c>
      <c r="L5" s="603" t="inlineStr">
        <is>
          <t>FOR REPORT</t>
        </is>
      </c>
      <c r="M5" s="604" t="n"/>
      <c r="N5" s="604" t="n"/>
      <c r="O5" s="604" t="n"/>
      <c r="P5" s="604" t="n"/>
      <c r="Q5" s="605" t="n"/>
      <c r="R5" s="439" t="inlineStr">
        <is>
          <t>សម្គាល់ផ្សេងៗ</t>
        </is>
      </c>
      <c r="S5" s="605" t="n"/>
      <c r="T5" s="606" t="inlineStr">
        <is>
          <t>បញ្ចូលទិន្នន័យ</t>
        </is>
      </c>
      <c r="U5" s="604" t="n"/>
      <c r="V5" s="604" t="n"/>
      <c r="W5" s="604" t="n"/>
      <c r="X5" s="604" t="n"/>
      <c r="Y5" s="604" t="n"/>
      <c r="Z5" s="604" t="n"/>
      <c r="AA5" s="604" t="n"/>
      <c r="AB5" s="604" t="n"/>
      <c r="AC5" s="604" t="n"/>
      <c r="AD5" s="604" t="n"/>
      <c r="AE5" s="604" t="n"/>
      <c r="AF5" s="604" t="n"/>
      <c r="AG5" s="604" t="n"/>
      <c r="AH5" s="604" t="n"/>
      <c r="AI5" s="604" t="n"/>
      <c r="AJ5" s="605" t="n"/>
    </row>
    <row r="6" ht="24.6" customFormat="1" customHeight="1" s="333">
      <c r="A6" s="607">
        <f>'Company information'!H8</f>
        <v/>
      </c>
      <c r="B6" s="322" t="n"/>
      <c r="D6" s="323" t="n"/>
      <c r="E6" s="324" t="n"/>
      <c r="F6" s="320" t="n"/>
      <c r="H6" s="600" t="n"/>
      <c r="I6" s="608" t="inlineStr">
        <is>
          <t>ទឹកប្រាក់ស្នើសុំបង្វិលសងចំនួន៖</t>
        </is>
      </c>
      <c r="J6" s="609">
        <f>'Company information'!H9</f>
        <v/>
      </c>
      <c r="K6" s="590" t="n"/>
      <c r="L6" s="610" t="n"/>
      <c r="M6" s="590" t="n"/>
      <c r="N6" s="590" t="n"/>
      <c r="O6" s="590" t="n"/>
      <c r="P6" s="590" t="n"/>
      <c r="Q6" s="611" t="n"/>
      <c r="R6" s="610" t="n"/>
      <c r="S6" s="611" t="n"/>
      <c r="T6" s="610" t="n"/>
      <c r="U6" s="590" t="n"/>
      <c r="V6" s="590" t="n"/>
      <c r="W6" s="590" t="n"/>
      <c r="X6" s="590" t="n"/>
      <c r="Y6" s="590" t="n"/>
      <c r="Z6" s="590" t="n"/>
      <c r="AA6" s="590" t="n"/>
      <c r="AB6" s="590" t="n"/>
      <c r="AC6" s="590" t="n"/>
      <c r="AD6" s="590" t="n"/>
      <c r="AE6" s="590" t="n"/>
      <c r="AF6" s="590" t="n"/>
      <c r="AG6" s="590" t="n"/>
      <c r="AH6" s="590" t="n"/>
      <c r="AI6" s="590" t="n"/>
      <c r="AJ6" s="611" t="n"/>
    </row>
    <row r="7" ht="25.2" customHeight="1" s="408" thickBot="1">
      <c r="A7" s="217" t="inlineStr">
        <is>
          <t>ល.រ</t>
        </is>
      </c>
      <c r="B7" s="217" t="inlineStr">
        <is>
          <t>បរិយាយ</t>
        </is>
      </c>
      <c r="C7" s="217" t="inlineStr">
        <is>
          <t>អ្នកផ្គត់ផ្គង់</t>
        </is>
      </c>
      <c r="D7" s="612" t="inlineStr">
        <is>
          <t>លេខ អតប</t>
        </is>
      </c>
      <c r="E7" s="217" t="inlineStr">
        <is>
          <t>វិក្កយបត្រ</t>
        </is>
      </c>
      <c r="F7" s="573" t="n"/>
      <c r="G7" s="217" t="inlineStr">
        <is>
          <t>ទឹកប្រាក់អាករ</t>
        </is>
      </c>
      <c r="H7" s="584" t="n"/>
      <c r="I7" s="573" t="n"/>
      <c r="J7" s="446" t="inlineStr">
        <is>
          <t>ស្ថានភាព</t>
        </is>
      </c>
      <c r="K7" s="612" t="inlineStr">
        <is>
          <t>ផ្សេង (សម្គាល់)</t>
        </is>
      </c>
      <c r="L7" s="613" t="n"/>
      <c r="O7" s="452" t="inlineStr">
        <is>
          <t>VAR INVOICE
T/F</t>
        </is>
      </c>
      <c r="P7" s="458" t="inlineStr">
        <is>
          <t>VAR. DATE
T/F</t>
        </is>
      </c>
      <c r="Q7" s="452" t="inlineStr">
        <is>
          <t>VAR. SUPPLIER &amp; PUCHASER</t>
        </is>
      </c>
      <c r="R7" s="614" t="inlineStr">
        <is>
          <t>តេស្តទឹកប្រាក់លម្អៀង</t>
        </is>
      </c>
      <c r="S7" s="446" t="inlineStr">
        <is>
          <t>សម្កាល់</t>
        </is>
      </c>
      <c r="T7" s="448" t="inlineStr">
        <is>
          <t xml:space="preserve">កាលបរិច្ឆេទ </t>
        </is>
      </c>
      <c r="U7" s="454" t="inlineStr">
        <is>
          <t xml:space="preserve">លេខវិក្កយបត្រ ឬប្រតិវេទគយ </t>
        </is>
      </c>
      <c r="V7" s="454" t="inlineStr">
        <is>
          <t>លេខលិខិតជូនដំណឹងឥណទាន</t>
        </is>
      </c>
      <c r="W7" s="454" t="inlineStr">
        <is>
          <t>អ្នកទិញ</t>
        </is>
      </c>
      <c r="X7" s="615" t="n"/>
      <c r="Y7" s="616" t="n"/>
      <c r="Z7" s="450" t="inlineStr">
        <is>
          <t>តម្លៃសរុបលើវិក្កយបត្រ</t>
        </is>
      </c>
      <c r="AA7" s="454" t="inlineStr">
        <is>
          <t>តម្លៃ​​មិន​រួមអតប និងមិនជាប់​អតប​</t>
        </is>
      </c>
      <c r="AB7" s="616" t="n"/>
      <c r="AC7" s="454" t="inlineStr">
        <is>
          <t>អាករលើតម្លៃបន្ថែមអត្រា ០%</t>
        </is>
      </c>
      <c r="AD7" s="454" t="inlineStr">
        <is>
          <t>អាករលើតម្លៃបន្ថែម</t>
        </is>
      </c>
      <c r="AE7" s="616" t="n"/>
      <c r="AF7" s="445" t="inlineStr">
        <is>
          <t>Under</t>
        </is>
      </c>
      <c r="AG7" s="444" t="n"/>
    </row>
    <row r="8" ht="25.2" customHeight="1" s="408" thickBot="1">
      <c r="A8" s="574" t="n"/>
      <c r="B8" s="574" t="n"/>
      <c r="C8" s="574" t="n"/>
      <c r="D8" s="574" t="n"/>
      <c r="E8" s="217" t="inlineStr">
        <is>
          <t>លេខ</t>
        </is>
      </c>
      <c r="F8" s="217" t="inlineStr">
        <is>
          <t>ថ្ងៃ ខែ ឆ្នាំ</t>
        </is>
      </c>
      <c r="G8" s="217" t="inlineStr">
        <is>
          <t>ជាដុល្លារអាមេរិក</t>
        </is>
      </c>
      <c r="H8" s="617" t="inlineStr">
        <is>
          <t>អត្រា</t>
        </is>
      </c>
      <c r="I8" s="617" t="inlineStr">
        <is>
          <t>ជារៀល</t>
        </is>
      </c>
      <c r="J8" s="618" t="n"/>
      <c r="K8" s="574" t="n"/>
      <c r="L8" s="610" t="n"/>
      <c r="O8" s="574" t="n"/>
      <c r="P8" s="618" t="n"/>
      <c r="Q8" s="574" t="n"/>
      <c r="R8" s="574" t="n"/>
      <c r="S8" s="618" t="n"/>
      <c r="T8" s="619" t="n"/>
      <c r="U8" s="619" t="n"/>
      <c r="V8" s="619" t="n"/>
      <c r="W8" s="369" t="inlineStr">
        <is>
          <t>ប្រភេទ</t>
        </is>
      </c>
      <c r="X8" s="369" t="inlineStr">
        <is>
          <t>លេខសម្គាល់ចុះបញ្ជីពន្ធដា TIN/BIN/TID</t>
        </is>
      </c>
      <c r="Y8" s="369" t="inlineStr">
        <is>
          <t>ឈ្មោះ</t>
        </is>
      </c>
      <c r="Z8" s="619" t="n"/>
      <c r="AA8" s="370" t="inlineStr">
        <is>
          <t>តម្លៃមិនរួមអតប</t>
        </is>
      </c>
      <c r="AB8" s="369" t="inlineStr">
        <is>
          <t>ការលក់មិនជាប់អតប</t>
        </is>
      </c>
      <c r="AC8" s="619" t="n"/>
      <c r="AD8" s="370" t="inlineStr">
        <is>
          <t>ការលក់ក្នុងស្រុក</t>
        </is>
      </c>
      <c r="AE8" s="369" t="inlineStr">
        <is>
          <t>អតបលើការនាំចេញ</t>
        </is>
      </c>
      <c r="AF8" s="618" t="n"/>
      <c r="AG8" s="618" t="n"/>
    </row>
    <row r="9" ht="25.2" customHeight="1" s="408">
      <c r="A9" s="219" t="n"/>
      <c r="B9" s="396" t="inlineStr">
        <is>
          <t>description</t>
        </is>
      </c>
      <c r="C9" s="396" t="inlineStr">
        <is>
          <t>supplier_name</t>
        </is>
      </c>
      <c r="D9" s="396" t="inlineStr">
        <is>
          <t>supplier_tin</t>
        </is>
      </c>
      <c r="E9" s="396" t="inlineStr">
        <is>
          <t>invoice_no</t>
        </is>
      </c>
      <c r="F9" s="396" t="inlineStr">
        <is>
          <t>date</t>
        </is>
      </c>
      <c r="G9" s="396" t="n"/>
      <c r="H9" s="620" t="n"/>
      <c r="I9" s="620" t="inlineStr">
        <is>
          <t>vat</t>
        </is>
      </c>
      <c r="J9" s="621" t="n"/>
      <c r="K9" s="622" t="n"/>
      <c r="L9" s="221" t="inlineStr">
        <is>
          <t>បានប្រកាស</t>
        </is>
      </c>
      <c r="M9" s="222" t="inlineStr">
        <is>
          <t>នៅខ្វះ</t>
        </is>
      </c>
      <c r="N9" s="222" t="n"/>
      <c r="O9" s="222" t="n"/>
      <c r="P9" s="222" t="n"/>
      <c r="Q9" s="222" t="n"/>
      <c r="R9" s="222" t="n"/>
      <c r="S9" s="222" t="n"/>
      <c r="T9" s="623" t="inlineStr">
        <is>
          <t>date</t>
        </is>
      </c>
      <c r="U9" s="623" t="inlineStr">
        <is>
          <t>vat_local_sale</t>
        </is>
      </c>
      <c r="V9" s="623" t="inlineStr">
        <is>
          <t>credit_notification_letter_number</t>
        </is>
      </c>
      <c r="W9" s="623" t="inlineStr">
        <is>
          <t>type</t>
        </is>
      </c>
      <c r="X9" s="623" t="inlineStr">
        <is>
          <t>tax_registration_id</t>
        </is>
      </c>
      <c r="Y9" s="623" t="inlineStr">
        <is>
          <t>buyer_name</t>
        </is>
      </c>
      <c r="Z9" s="623" t="inlineStr">
        <is>
          <t>total_invoice_amount</t>
        </is>
      </c>
      <c r="AA9" s="623" t="inlineStr">
        <is>
          <t>amount_exclude_vat</t>
        </is>
      </c>
      <c r="AB9" s="623" t="inlineStr">
        <is>
          <t>non_vat_sales</t>
        </is>
      </c>
      <c r="AC9" s="623" t="inlineStr">
        <is>
          <t>vat_zero_rate</t>
        </is>
      </c>
      <c r="AD9" s="623" t="inlineStr">
        <is>
          <t>vat_local_sale</t>
        </is>
      </c>
      <c r="AE9" s="623" t="inlineStr">
        <is>
          <t>vat_export</t>
        </is>
      </c>
      <c r="AF9" s="223" t="n"/>
    </row>
    <row r="10">
      <c r="A10" s="222" t="n">
        <v>1</v>
      </c>
      <c r="B10" s="389" t="inlineStr">
        <is>
          <t>Rental Building E G&amp; L</t>
        </is>
      </c>
      <c r="C10" s="389" t="inlineStr">
        <is>
          <t>JALIANKA INTERNATIONAL (CAMBODIA) CO., LTD.</t>
        </is>
      </c>
      <c r="D10" s="390" t="inlineStr">
        <is>
          <t>B105-901907504</t>
        </is>
      </c>
      <c r="E10" s="391" t="inlineStr">
        <is>
          <t>JILLANKA2401049</t>
        </is>
      </c>
      <c r="F10" s="392" t="n">
        <v>45596</v>
      </c>
      <c r="G10" s="393" t="n"/>
      <c r="H10" s="624" t="n"/>
      <c r="I10" s="624" t="n">
        <v>20811742</v>
      </c>
      <c r="J10" s="402" t="inlineStr">
        <is>
          <t>អនុញ្ញាត (បានប្រកាស)</t>
        </is>
      </c>
      <c r="K10" s="223" t="n"/>
      <c r="L10" s="403" t="inlineStr">
        <is>
          <t>=I10</t>
        </is>
      </c>
      <c r="M10" s="404" t="inlineStr">
        <is>
          <t>=I10-L10</t>
        </is>
      </c>
      <c r="N10" s="405" t="inlineStr">
        <is>
          <t>បានពិនិត្យវិក្កយបត្រ</t>
        </is>
      </c>
      <c r="O10" s="406" t="inlineStr">
        <is>
          <t>=U10=E10</t>
        </is>
      </c>
      <c r="P10" s="406" t="inlineStr">
        <is>
          <t>=MONTH(F10)-MONTH(T10)</t>
        </is>
      </c>
      <c r="Q10" s="406" t="inlineStr">
        <is>
          <t>=$B$5=X10</t>
        </is>
      </c>
      <c r="R10" s="406" t="inlineStr">
        <is>
          <t>=I10-AD10</t>
        </is>
      </c>
      <c r="S10" s="407" t="n"/>
      <c r="T10" s="398" t="n">
        <v>45596</v>
      </c>
      <c r="U10" s="399" t="inlineStr">
        <is>
          <t>JILLANKA2401049</t>
        </is>
      </c>
      <c r="V10" s="399" t="n">
        <v>0</v>
      </c>
      <c r="W10" s="399" t="inlineStr">
        <is>
          <t>បុគ្គលជាប់អាករ</t>
        </is>
      </c>
      <c r="X10" s="399" t="inlineStr">
        <is>
          <t>L001-901640009</t>
        </is>
      </c>
      <c r="Y10" s="399" t="inlineStr">
        <is>
          <t>ហូលីដេ ឌីហ្សាញ (ខេមបូឌា) ឯ.ក</t>
        </is>
      </c>
      <c r="Z10" s="400" t="n">
        <v>228929166</v>
      </c>
      <c r="AA10" s="400" t="n">
        <v>208117424</v>
      </c>
      <c r="AB10" s="399" t="n">
        <v>0</v>
      </c>
      <c r="AC10" s="399" t="inlineStr">
        <is>
          <t>-</t>
        </is>
      </c>
      <c r="AD10" s="400" t="n">
        <v>20811742</v>
      </c>
      <c r="AE10" s="399" t="n">
        <v>0</v>
      </c>
      <c r="AF10" s="625" t="n">
        <v>0</v>
      </c>
      <c r="AG10" s="205" t="n">
        <v>0</v>
      </c>
      <c r="AH10" s="205" t="n">
        <v>0</v>
      </c>
      <c r="AI10" s="205" t="n">
        <v>0</v>
      </c>
      <c r="AJ10" s="205" t="n">
        <v>0</v>
      </c>
      <c r="AK10" s="205" t="n">
        <v>0</v>
      </c>
      <c r="AL10" s="205" t="n">
        <v>0.01</v>
      </c>
      <c r="AM10" s="205" t="n">
        <v>0</v>
      </c>
      <c r="AN10" s="205" t="inlineStr">
        <is>
          <t>Rental Building E , G, L</t>
        </is>
      </c>
      <c r="AO10" s="205" t="inlineStr">
        <is>
          <t>បានប្រកាសនិងបង់ពន្ធ</t>
        </is>
      </c>
    </row>
    <row r="11">
      <c r="A11" s="222">
        <f>A10+1</f>
        <v/>
      </c>
      <c r="B11" s="389" t="inlineStr">
        <is>
          <t>Rental Building D &amp; F</t>
        </is>
      </c>
      <c r="C11" s="389" t="inlineStr">
        <is>
          <t>JALIANKA INTERNATIONAL (CAMBODIA) CO., LTD.</t>
        </is>
      </c>
      <c r="D11" s="390" t="inlineStr">
        <is>
          <t>B105-901907504</t>
        </is>
      </c>
      <c r="E11" s="391" t="inlineStr">
        <is>
          <t>JILLANKA2401047</t>
        </is>
      </c>
      <c r="F11" s="392" t="n">
        <v>45596</v>
      </c>
      <c r="G11" s="393" t="n"/>
      <c r="H11" s="624" t="n"/>
      <c r="I11" s="624" t="n">
        <v>13082860</v>
      </c>
      <c r="J11" s="402" t="inlineStr">
        <is>
          <t>អនុញ្ញាត (បានប្រកាស)</t>
        </is>
      </c>
      <c r="K11" s="223" t="n"/>
      <c r="L11" s="403" t="inlineStr">
        <is>
          <t>=I11</t>
        </is>
      </c>
      <c r="M11" s="404" t="inlineStr">
        <is>
          <t>=I11-L11</t>
        </is>
      </c>
      <c r="N11" s="405" t="inlineStr">
        <is>
          <t>បានពិនិត្យវិក្កយបត្រ</t>
        </is>
      </c>
      <c r="O11" s="406" t="inlineStr">
        <is>
          <t>=U11=E11</t>
        </is>
      </c>
      <c r="P11" s="406" t="inlineStr">
        <is>
          <t>=MONTH(F11)-MONTH(T11)</t>
        </is>
      </c>
      <c r="Q11" s="406" t="inlineStr">
        <is>
          <t>=$B$5=X11</t>
        </is>
      </c>
      <c r="R11" s="406" t="inlineStr">
        <is>
          <t>=I11-AD11</t>
        </is>
      </c>
      <c r="S11" s="407" t="n"/>
      <c r="T11" s="398" t="n">
        <v>45596</v>
      </c>
      <c r="U11" s="399" t="inlineStr">
        <is>
          <t>JILLANKA2401047</t>
        </is>
      </c>
      <c r="V11" s="399" t="n">
        <v>0</v>
      </c>
      <c r="W11" s="399" t="inlineStr">
        <is>
          <t>បុគ្គលជាប់អាករ</t>
        </is>
      </c>
      <c r="X11" s="399" t="inlineStr">
        <is>
          <t>L001-901640009</t>
        </is>
      </c>
      <c r="Y11" s="399" t="inlineStr">
        <is>
          <t>ហូលីដេ ឌីហ្សាញ (ខេមបូឌា) ឯ.ក</t>
        </is>
      </c>
      <c r="Z11" s="400" t="n">
        <v>143911460</v>
      </c>
      <c r="AA11" s="400" t="n">
        <v>130828600</v>
      </c>
      <c r="AB11" s="399" t="n">
        <v>0</v>
      </c>
      <c r="AC11" s="399" t="inlineStr">
        <is>
          <t>-</t>
        </is>
      </c>
      <c r="AD11" s="400" t="n">
        <v>13082860</v>
      </c>
      <c r="AE11" s="399" t="n">
        <v>0</v>
      </c>
      <c r="AF11" s="625" t="n">
        <v>0</v>
      </c>
      <c r="AG11" s="205" t="n">
        <v>0</v>
      </c>
      <c r="AH11" s="205" t="n">
        <v>0</v>
      </c>
      <c r="AI11" s="205" t="n">
        <v>0</v>
      </c>
      <c r="AJ11" s="205" t="n">
        <v>0</v>
      </c>
      <c r="AK11" s="205" t="n">
        <v>0</v>
      </c>
      <c r="AL11" s="205" t="n">
        <v>0.01</v>
      </c>
      <c r="AM11" s="205" t="n">
        <v>0</v>
      </c>
      <c r="AN11" s="205" t="inlineStr">
        <is>
          <t>Rental Building D , F</t>
        </is>
      </c>
      <c r="AO11" s="205" t="inlineStr">
        <is>
          <t>បានប្រកាសនិងបង់ពន្ធ</t>
        </is>
      </c>
    </row>
    <row r="12">
      <c r="A12" s="222">
        <f>A11+1</f>
        <v/>
      </c>
      <c r="B12" s="389" t="inlineStr">
        <is>
          <t>Rental Building D &amp; F</t>
        </is>
      </c>
      <c r="C12" s="389" t="inlineStr">
        <is>
          <t>JALIANKA INTERNATIONAL (CAMBODIA) CO., LTD.</t>
        </is>
      </c>
      <c r="D12" s="390" t="inlineStr">
        <is>
          <t>B105-901907504</t>
        </is>
      </c>
      <c r="E12" s="391" t="inlineStr">
        <is>
          <t>JILLANKA2401052</t>
        </is>
      </c>
      <c r="F12" s="392" t="n">
        <v>45626</v>
      </c>
      <c r="G12" s="393" t="n"/>
      <c r="H12" s="624" t="n"/>
      <c r="I12" s="624" t="n">
        <v>12970160</v>
      </c>
      <c r="J12" s="402" t="inlineStr">
        <is>
          <t>អនុញ្ញាត (បានប្រកាស)</t>
        </is>
      </c>
      <c r="K12" s="223" t="n"/>
      <c r="L12" s="403" t="inlineStr">
        <is>
          <t>=I12</t>
        </is>
      </c>
      <c r="M12" s="404" t="inlineStr">
        <is>
          <t>=I12-L12</t>
        </is>
      </c>
      <c r="N12" s="405" t="inlineStr">
        <is>
          <t>បានពិនិត្យវិក្កយបត្រ</t>
        </is>
      </c>
      <c r="O12" s="406" t="inlineStr">
        <is>
          <t>=U12=E12</t>
        </is>
      </c>
      <c r="P12" s="406" t="inlineStr">
        <is>
          <t>=MONTH(F12)-MONTH(T12)</t>
        </is>
      </c>
      <c r="Q12" s="406" t="inlineStr">
        <is>
          <t>=$B$5=X12</t>
        </is>
      </c>
      <c r="R12" s="406" t="inlineStr">
        <is>
          <t>=I12-AD12</t>
        </is>
      </c>
      <c r="S12" s="407" t="n"/>
      <c r="T12" s="398" t="n">
        <v>45626</v>
      </c>
      <c r="U12" s="399" t="inlineStr">
        <is>
          <t>JILLANKA2401052</t>
        </is>
      </c>
      <c r="V12" s="399" t="n">
        <v>0</v>
      </c>
      <c r="W12" s="399" t="inlineStr">
        <is>
          <t>បុគ្គលជាប់អាករ</t>
        </is>
      </c>
      <c r="X12" s="399" t="inlineStr">
        <is>
          <t>L001-901640009</t>
        </is>
      </c>
      <c r="Y12" s="399" t="inlineStr">
        <is>
          <t>ហូលីដេ ឌីហ្សាញ (ខេមបូឌា) ឯ.ក</t>
        </is>
      </c>
      <c r="Z12" s="400" t="n">
        <v>142671760</v>
      </c>
      <c r="AA12" s="400" t="n">
        <v>129701600</v>
      </c>
      <c r="AB12" s="399" t="n">
        <v>0</v>
      </c>
      <c r="AC12" s="399" t="inlineStr">
        <is>
          <t>-</t>
        </is>
      </c>
      <c r="AD12" s="400" t="n">
        <v>12970160</v>
      </c>
      <c r="AE12" s="399" t="n">
        <v>0</v>
      </c>
      <c r="AF12" s="625" t="n">
        <v>0</v>
      </c>
      <c r="AG12" s="205" t="n">
        <v>0</v>
      </c>
      <c r="AH12" s="205" t="n">
        <v>0</v>
      </c>
      <c r="AI12" s="205" t="n">
        <v>0</v>
      </c>
      <c r="AJ12" s="205" t="n">
        <v>0</v>
      </c>
      <c r="AK12" s="205" t="n">
        <v>0</v>
      </c>
      <c r="AL12" s="205" t="n">
        <v>0.01</v>
      </c>
      <c r="AM12" s="205" t="n">
        <v>0</v>
      </c>
      <c r="AN12" s="205" t="inlineStr">
        <is>
          <t>Rental Building D , F</t>
        </is>
      </c>
      <c r="AO12" s="205" t="inlineStr">
        <is>
          <t>បានប្រកាសនិងបង់ពន្ធ</t>
        </is>
      </c>
    </row>
    <row r="13">
      <c r="A13" s="222">
        <f>A12+1</f>
        <v/>
      </c>
      <c r="B13" s="389" t="inlineStr">
        <is>
          <t>Rental Building E G&amp; L</t>
        </is>
      </c>
      <c r="C13" s="389" t="inlineStr">
        <is>
          <t>JALIANKA INTERNATIONAL (CAMBODIA) CO., LTD.</t>
        </is>
      </c>
      <c r="D13" s="390" t="inlineStr">
        <is>
          <t>B105-901907504</t>
        </is>
      </c>
      <c r="E13" s="391" t="inlineStr">
        <is>
          <t>JILLANKA2401054</t>
        </is>
      </c>
      <c r="F13" s="392" t="n">
        <v>45626</v>
      </c>
      <c r="G13" s="393" t="n"/>
      <c r="H13" s="624" t="n"/>
      <c r="I13" s="624" t="n">
        <v>20632463</v>
      </c>
      <c r="J13" s="402" t="inlineStr">
        <is>
          <t>អនុញ្ញាត (បានប្រកាស)</t>
        </is>
      </c>
      <c r="K13" s="223" t="n"/>
      <c r="L13" s="403" t="inlineStr">
        <is>
          <t>=I13</t>
        </is>
      </c>
      <c r="M13" s="404" t="inlineStr">
        <is>
          <t>=I13-L13</t>
        </is>
      </c>
      <c r="N13" s="405" t="inlineStr">
        <is>
          <t>បានពិនិត្យវិក្កយបត្រ</t>
        </is>
      </c>
      <c r="O13" s="406" t="inlineStr">
        <is>
          <t>=U13=E13</t>
        </is>
      </c>
      <c r="P13" s="406" t="inlineStr">
        <is>
          <t>=MONTH(F13)-MONTH(T13)</t>
        </is>
      </c>
      <c r="Q13" s="406" t="inlineStr">
        <is>
          <t>=$B$5=X13</t>
        </is>
      </c>
      <c r="R13" s="406" t="inlineStr">
        <is>
          <t>=I13-AD13</t>
        </is>
      </c>
      <c r="S13" s="407" t="n"/>
      <c r="T13" s="398" t="n">
        <v>45626</v>
      </c>
      <c r="U13" s="399" t="inlineStr">
        <is>
          <t>JILLANKA2401054</t>
        </is>
      </c>
      <c r="V13" s="399" t="n">
        <v>0</v>
      </c>
      <c r="W13" s="399" t="inlineStr">
        <is>
          <t>បុគ្គលជាប់អាករ</t>
        </is>
      </c>
      <c r="X13" s="399" t="inlineStr">
        <is>
          <t>L001-901640009</t>
        </is>
      </c>
      <c r="Y13" s="399" t="inlineStr">
        <is>
          <t>ហូលីដេ ឌីហ្សាញ (ខេមបូឌា) ឯ.ក</t>
        </is>
      </c>
      <c r="Z13" s="400" t="n">
        <v>226957096</v>
      </c>
      <c r="AA13" s="400" t="n">
        <v>206324633</v>
      </c>
      <c r="AB13" s="399" t="n">
        <v>0</v>
      </c>
      <c r="AC13" s="399" t="inlineStr">
        <is>
          <t>-</t>
        </is>
      </c>
      <c r="AD13" s="400" t="n">
        <v>20632463</v>
      </c>
      <c r="AE13" s="399" t="n">
        <v>0</v>
      </c>
      <c r="AF13" s="625" t="n">
        <v>0</v>
      </c>
      <c r="AG13" s="205" t="n">
        <v>0</v>
      </c>
      <c r="AH13" s="205" t="n">
        <v>0</v>
      </c>
      <c r="AI13" s="205" t="n">
        <v>0</v>
      </c>
      <c r="AJ13" s="205" t="n">
        <v>0</v>
      </c>
      <c r="AK13" s="205" t="n">
        <v>0</v>
      </c>
      <c r="AL13" s="205" t="n">
        <v>0.01</v>
      </c>
      <c r="AM13" s="205" t="n">
        <v>0</v>
      </c>
      <c r="AN13" s="205" t="inlineStr">
        <is>
          <t>Rental Building E , G, L</t>
        </is>
      </c>
      <c r="AO13" s="205" t="inlineStr">
        <is>
          <t>បានប្រកាសនិងបង់ពន្ធ</t>
        </is>
      </c>
    </row>
    <row r="14">
      <c r="A14" s="222">
        <f>A13+1</f>
        <v/>
      </c>
      <c r="B14" s="389" t="inlineStr">
        <is>
          <t>Rental Building E G&amp; L</t>
        </is>
      </c>
      <c r="C14" s="389" t="inlineStr">
        <is>
          <t>JALIANKA INTERNATIONAL (CAMBODIA) CO., LTD.</t>
        </is>
      </c>
      <c r="D14" s="390" t="inlineStr">
        <is>
          <t>B105-901907504</t>
        </is>
      </c>
      <c r="E14" s="395" t="inlineStr">
        <is>
          <t>JILLANKA2401060</t>
        </is>
      </c>
      <c r="F14" s="392" t="n">
        <v>45657</v>
      </c>
      <c r="G14" s="393" t="n"/>
      <c r="H14" s="624" t="n"/>
      <c r="I14" s="624" t="n">
        <v>20617097</v>
      </c>
      <c r="J14" s="402" t="inlineStr">
        <is>
          <t>អនុញ្ញាត (បានប្រកាស)</t>
        </is>
      </c>
      <c r="K14" s="223" t="n"/>
      <c r="L14" s="403" t="inlineStr">
        <is>
          <t>=I14</t>
        </is>
      </c>
      <c r="M14" s="404" t="inlineStr">
        <is>
          <t>=I14-L14</t>
        </is>
      </c>
      <c r="N14" s="405" t="inlineStr">
        <is>
          <t>បានពិនិត្យវិក្កយបត្រ</t>
        </is>
      </c>
      <c r="O14" s="406" t="inlineStr">
        <is>
          <t>=U14=E14</t>
        </is>
      </c>
      <c r="P14" s="406" t="inlineStr">
        <is>
          <t>=MONTH(F14)-MONTH(T14)</t>
        </is>
      </c>
      <c r="Q14" s="406" t="inlineStr">
        <is>
          <t>=$B$5=X14</t>
        </is>
      </c>
      <c r="R14" s="406" t="inlineStr">
        <is>
          <t>=I14-AD14</t>
        </is>
      </c>
      <c r="S14" s="407" t="n"/>
      <c r="T14" s="398" t="n">
        <v>45657</v>
      </c>
      <c r="U14" s="399" t="inlineStr">
        <is>
          <t>JILLANKA2401060</t>
        </is>
      </c>
      <c r="V14" s="399" t="n">
        <v>0</v>
      </c>
      <c r="W14" s="399" t="inlineStr">
        <is>
          <t>បុគ្គលជាប់អាករ</t>
        </is>
      </c>
      <c r="X14" s="399" t="inlineStr">
        <is>
          <t>L001-901640009</t>
        </is>
      </c>
      <c r="Y14" s="399" t="inlineStr">
        <is>
          <t>ហូលីដេ ឌីហ្សាញ (ខេមបូឌា) ឯ.ក</t>
        </is>
      </c>
      <c r="Z14" s="400" t="n">
        <v>226788062</v>
      </c>
      <c r="AA14" s="400" t="n">
        <v>206170965</v>
      </c>
      <c r="AB14" s="399" t="n">
        <v>0</v>
      </c>
      <c r="AC14" s="399" t="inlineStr">
        <is>
          <t>-</t>
        </is>
      </c>
      <c r="AD14" s="400" t="n">
        <v>20617097</v>
      </c>
      <c r="AE14" s="399" t="n">
        <v>0</v>
      </c>
      <c r="AF14" s="625" t="n">
        <v>0</v>
      </c>
      <c r="AG14" s="205" t="n">
        <v>0</v>
      </c>
      <c r="AH14" s="205" t="n">
        <v>0</v>
      </c>
      <c r="AI14" s="205" t="n">
        <v>0</v>
      </c>
      <c r="AJ14" s="205" t="n">
        <v>0</v>
      </c>
      <c r="AK14" s="205" t="n">
        <v>0</v>
      </c>
      <c r="AL14" s="205" t="n">
        <v>0.01</v>
      </c>
      <c r="AM14" s="205" t="n">
        <v>0</v>
      </c>
      <c r="AN14" s="205" t="inlineStr">
        <is>
          <t>Rental Building E , G, L</t>
        </is>
      </c>
      <c r="AO14" s="205" t="inlineStr">
        <is>
          <t>បានប្រកាសនិងបង់ពន្ធ</t>
        </is>
      </c>
    </row>
    <row r="15">
      <c r="A15" s="222">
        <f>A14+1</f>
        <v/>
      </c>
      <c r="B15" s="389" t="inlineStr">
        <is>
          <t>Rental Building D &amp; F</t>
        </is>
      </c>
      <c r="C15" s="389" t="inlineStr">
        <is>
          <t>JALIANKA INTERNATIONAL (CAMBODIA) CO., LTD.</t>
        </is>
      </c>
      <c r="D15" s="390" t="inlineStr">
        <is>
          <t>B105-901907504</t>
        </is>
      </c>
      <c r="E15" s="395" t="inlineStr">
        <is>
          <t>JILLANKA2401058</t>
        </is>
      </c>
      <c r="F15" s="392" t="n">
        <v>45657</v>
      </c>
      <c r="G15" s="393" t="n"/>
      <c r="H15" s="624" t="n"/>
      <c r="I15" s="624" t="n">
        <v>12960500</v>
      </c>
      <c r="J15" s="402" t="inlineStr">
        <is>
          <t>អនុញ្ញាត (បានប្រកាស)</t>
        </is>
      </c>
      <c r="K15" s="223" t="n"/>
      <c r="L15" s="403" t="inlineStr">
        <is>
          <t>=I15</t>
        </is>
      </c>
      <c r="M15" s="404" t="inlineStr">
        <is>
          <t>=I15-L15</t>
        </is>
      </c>
      <c r="N15" s="405" t="inlineStr">
        <is>
          <t>បានពិនិត្យវិក្កយបត្រ</t>
        </is>
      </c>
      <c r="O15" s="406" t="inlineStr">
        <is>
          <t>=U15=E15</t>
        </is>
      </c>
      <c r="P15" s="406" t="inlineStr">
        <is>
          <t>=MONTH(F15)-MONTH(T15)</t>
        </is>
      </c>
      <c r="Q15" s="406" t="inlineStr">
        <is>
          <t>=$B$5=X15</t>
        </is>
      </c>
      <c r="R15" s="406" t="inlineStr">
        <is>
          <t>=I15-AD15</t>
        </is>
      </c>
      <c r="S15" s="407" t="n"/>
      <c r="T15" s="398" t="n">
        <v>45657</v>
      </c>
      <c r="U15" s="399" t="inlineStr">
        <is>
          <t>JILLANKA2401058</t>
        </is>
      </c>
      <c r="V15" s="399" t="n">
        <v>0</v>
      </c>
      <c r="W15" s="399" t="inlineStr">
        <is>
          <t>បុគ្គលជាប់អាករ</t>
        </is>
      </c>
      <c r="X15" s="399" t="inlineStr">
        <is>
          <t>L001-901640009</t>
        </is>
      </c>
      <c r="Y15" s="399" t="inlineStr">
        <is>
          <t>ហូលីដេ ឌីហ្សាញ (ខេមបូឌា) ឯ.ក</t>
        </is>
      </c>
      <c r="Z15" s="400" t="n">
        <v>142565500</v>
      </c>
      <c r="AA15" s="400" t="n">
        <v>129605000</v>
      </c>
      <c r="AB15" s="399" t="n">
        <v>0</v>
      </c>
      <c r="AC15" s="399" t="inlineStr">
        <is>
          <t>-</t>
        </is>
      </c>
      <c r="AD15" s="400" t="n">
        <v>12960500</v>
      </c>
      <c r="AE15" s="399" t="n">
        <v>0</v>
      </c>
      <c r="AF15" s="625" t="n">
        <v>0</v>
      </c>
      <c r="AG15" s="205" t="n">
        <v>0</v>
      </c>
      <c r="AH15" s="205" t="n">
        <v>0</v>
      </c>
      <c r="AI15" s="205" t="n">
        <v>0</v>
      </c>
      <c r="AJ15" s="205" t="n">
        <v>0</v>
      </c>
      <c r="AK15" s="205" t="n">
        <v>0</v>
      </c>
      <c r="AL15" s="205" t="n">
        <v>0.01</v>
      </c>
      <c r="AM15" s="205" t="n">
        <v>0</v>
      </c>
      <c r="AN15" s="205" t="inlineStr">
        <is>
          <t>Rental Building D , F</t>
        </is>
      </c>
      <c r="AO15" s="205" t="inlineStr">
        <is>
          <t>បានប្រកាសនិងបង់ពន្ធ</t>
        </is>
      </c>
    </row>
    <row r="16">
      <c r="A16" s="222">
        <f>A15+1</f>
        <v/>
      </c>
      <c r="B16" s="389" t="inlineStr">
        <is>
          <t>Terminal Handling</t>
        </is>
      </c>
      <c r="C16" s="389" t="inlineStr">
        <is>
          <t>EXPEDITORS CAMBODIA LTD.</t>
        </is>
      </c>
      <c r="D16" s="390" t="inlineStr">
        <is>
          <t>L001-100045898</t>
        </is>
      </c>
      <c r="E16" s="395" t="inlineStr">
        <is>
          <t>TI-0292395</t>
        </is>
      </c>
      <c r="F16" s="392" t="n">
        <v>45574</v>
      </c>
      <c r="G16" s="393" t="n"/>
      <c r="H16" s="624" t="n"/>
      <c r="I16" s="624" t="n">
        <v>522149</v>
      </c>
      <c r="J16" s="402" t="inlineStr">
        <is>
          <t>អនុញ្ញាត (បានប្រកាស)</t>
        </is>
      </c>
      <c r="K16" s="223" t="n"/>
      <c r="L16" s="403" t="inlineStr">
        <is>
          <t>=I16</t>
        </is>
      </c>
      <c r="M16" s="404" t="inlineStr">
        <is>
          <t>=I16-L16</t>
        </is>
      </c>
      <c r="N16" s="405" t="n"/>
      <c r="O16" s="406" t="inlineStr">
        <is>
          <t>=U16=E16</t>
        </is>
      </c>
      <c r="P16" s="406" t="inlineStr">
        <is>
          <t>=MONTH(F16)-MONTH(T16)</t>
        </is>
      </c>
      <c r="Q16" s="406" t="inlineStr">
        <is>
          <t>=$B$5=X16</t>
        </is>
      </c>
      <c r="R16" s="406" t="inlineStr">
        <is>
          <t>=I16-AD16</t>
        </is>
      </c>
      <c r="S16" s="407" t="n"/>
      <c r="T16" s="398" t="n">
        <v>45574</v>
      </c>
      <c r="U16" s="399" t="inlineStr">
        <is>
          <t>TI-0292395</t>
        </is>
      </c>
      <c r="V16" s="399" t="n">
        <v>0</v>
      </c>
      <c r="W16" s="399" t="inlineStr">
        <is>
          <t>បុគ្គលជាប់អាករ</t>
        </is>
      </c>
      <c r="X16" s="399" t="inlineStr">
        <is>
          <t>L001-901640009</t>
        </is>
      </c>
      <c r="Y16" s="399" t="inlineStr">
        <is>
          <t>ហូលីដេ ឌីហ្សាញ (ខេមបូឌា) ឯ.ក</t>
        </is>
      </c>
      <c r="Z16" s="400" t="n">
        <v>5743642</v>
      </c>
      <c r="AA16" s="400" t="n">
        <v>5221493</v>
      </c>
      <c r="AB16" s="399" t="n">
        <v>0</v>
      </c>
      <c r="AC16" s="399" t="inlineStr">
        <is>
          <t>-</t>
        </is>
      </c>
      <c r="AD16" s="400" t="n">
        <v>522149</v>
      </c>
      <c r="AE16" s="399" t="n">
        <v>0</v>
      </c>
      <c r="AF16" s="625" t="n">
        <v>0</v>
      </c>
      <c r="AG16" s="205" t="n">
        <v>0</v>
      </c>
      <c r="AH16" s="205" t="n">
        <v>0</v>
      </c>
      <c r="AI16" s="205" t="n">
        <v>0</v>
      </c>
      <c r="AJ16" s="205" t="n">
        <v>0</v>
      </c>
      <c r="AK16" s="205" t="n">
        <v>0</v>
      </c>
      <c r="AL16" s="205" t="n">
        <v>0.01</v>
      </c>
      <c r="AM16" s="205" t="n">
        <v>0</v>
      </c>
      <c r="AN16" s="205" t="inlineStr">
        <is>
          <t>Local Charge</t>
        </is>
      </c>
    </row>
    <row r="17">
      <c r="A17" s="222">
        <f>A16+1</f>
        <v/>
      </c>
      <c r="B17" s="389" t="inlineStr">
        <is>
          <t>BL Amendment</t>
        </is>
      </c>
      <c r="C17" s="389" t="inlineStr">
        <is>
          <t>EXPEDITORS CAMBODIA LTD.</t>
        </is>
      </c>
      <c r="D17" s="390" t="inlineStr">
        <is>
          <t>L001-100045898</t>
        </is>
      </c>
      <c r="E17" s="395" t="inlineStr">
        <is>
          <t>TI-0292567</t>
        </is>
      </c>
      <c r="F17" s="392" t="n">
        <v>45575</v>
      </c>
      <c r="G17" s="393" t="n"/>
      <c r="H17" s="624" t="n"/>
      <c r="I17" s="624" t="n">
        <v>24396</v>
      </c>
      <c r="J17" s="402" t="inlineStr">
        <is>
          <t>អនុញ្ញាត (បានប្រកាស)</t>
        </is>
      </c>
      <c r="K17" s="223" t="n"/>
      <c r="L17" s="403" t="inlineStr">
        <is>
          <t>=I17</t>
        </is>
      </c>
      <c r="M17" s="404" t="inlineStr">
        <is>
          <t>=I17-L17</t>
        </is>
      </c>
      <c r="N17" s="405" t="n"/>
      <c r="O17" s="406" t="inlineStr">
        <is>
          <t>=U17=E17</t>
        </is>
      </c>
      <c r="P17" s="406" t="inlineStr">
        <is>
          <t>=MONTH(F17)-MONTH(T17)</t>
        </is>
      </c>
      <c r="Q17" s="406" t="inlineStr">
        <is>
          <t>=$B$5=X17</t>
        </is>
      </c>
      <c r="R17" s="406" t="inlineStr">
        <is>
          <t>=I17-AD17</t>
        </is>
      </c>
      <c r="S17" s="407" t="n"/>
      <c r="T17" s="398" t="n">
        <v>45575</v>
      </c>
      <c r="U17" s="399" t="inlineStr">
        <is>
          <t>TI-0292567</t>
        </is>
      </c>
      <c r="V17" s="399" t="n">
        <v>0</v>
      </c>
      <c r="W17" s="399" t="inlineStr">
        <is>
          <t>បុគ្គលជាប់អាករ</t>
        </is>
      </c>
      <c r="X17" s="399" t="inlineStr">
        <is>
          <t>L001-901640009</t>
        </is>
      </c>
      <c r="Y17" s="399" t="inlineStr">
        <is>
          <t>ហូលីដេ ឌីហ្សាញ (ខេមបូឌា) ឯ.ក</t>
        </is>
      </c>
      <c r="Z17" s="400" t="n">
        <v>268356</v>
      </c>
      <c r="AA17" s="400" t="n">
        <v>243960</v>
      </c>
      <c r="AB17" s="399" t="n">
        <v>0</v>
      </c>
      <c r="AC17" s="399" t="inlineStr">
        <is>
          <t>-</t>
        </is>
      </c>
      <c r="AD17" s="400" t="n">
        <v>24396</v>
      </c>
      <c r="AE17" s="399" t="n">
        <v>0</v>
      </c>
      <c r="AF17" s="625" t="n">
        <v>0</v>
      </c>
      <c r="AG17" s="205" t="n">
        <v>0</v>
      </c>
      <c r="AH17" s="205" t="n">
        <v>0</v>
      </c>
      <c r="AI17" s="205" t="n">
        <v>0</v>
      </c>
      <c r="AJ17" s="205" t="n">
        <v>0</v>
      </c>
      <c r="AK17" s="205" t="n">
        <v>0</v>
      </c>
      <c r="AL17" s="205" t="n">
        <v>0.01</v>
      </c>
      <c r="AM17" s="205" t="n">
        <v>0</v>
      </c>
      <c r="AN17" s="205" t="inlineStr">
        <is>
          <t>Local Charge</t>
        </is>
      </c>
    </row>
    <row r="18">
      <c r="A18" s="222">
        <f>A17+1</f>
        <v/>
      </c>
      <c r="B18" s="389" t="inlineStr">
        <is>
          <t>Detention</t>
        </is>
      </c>
      <c r="C18" s="389" t="inlineStr">
        <is>
          <t>EXPEDITORS CAMBODIA LTD.</t>
        </is>
      </c>
      <c r="D18" s="390" t="inlineStr">
        <is>
          <t>L001-100045898</t>
        </is>
      </c>
      <c r="E18" s="395" t="inlineStr">
        <is>
          <t>TI-0292734</t>
        </is>
      </c>
      <c r="F18" s="392" t="n">
        <v>45579</v>
      </c>
      <c r="G18" s="393" t="n"/>
      <c r="H18" s="624" t="n"/>
      <c r="I18" s="624" t="n">
        <v>16248</v>
      </c>
      <c r="J18" s="402" t="inlineStr">
        <is>
          <t>អនុញ្ញាត (បានប្រកាស)</t>
        </is>
      </c>
      <c r="K18" s="223" t="n"/>
      <c r="L18" s="403" t="inlineStr">
        <is>
          <t>=I18</t>
        </is>
      </c>
      <c r="M18" s="404" t="inlineStr">
        <is>
          <t>=I18-L18</t>
        </is>
      </c>
      <c r="N18" s="405" t="n"/>
      <c r="O18" s="406" t="inlineStr">
        <is>
          <t>=U18=E18</t>
        </is>
      </c>
      <c r="P18" s="406" t="inlineStr">
        <is>
          <t>=MONTH(F18)-MONTH(T18)</t>
        </is>
      </c>
      <c r="Q18" s="406" t="inlineStr">
        <is>
          <t>=$B$5=X18</t>
        </is>
      </c>
      <c r="R18" s="406" t="inlineStr">
        <is>
          <t>=I18-AD18</t>
        </is>
      </c>
      <c r="S18" s="407" t="n"/>
      <c r="T18" s="398" t="n">
        <v>45579</v>
      </c>
      <c r="U18" s="399" t="inlineStr">
        <is>
          <t>TI-0292734</t>
        </is>
      </c>
      <c r="V18" s="399" t="n">
        <v>0</v>
      </c>
      <c r="W18" s="399" t="inlineStr">
        <is>
          <t>បុគ្គលជាប់អាករ</t>
        </is>
      </c>
      <c r="X18" s="399" t="inlineStr">
        <is>
          <t>L001-901640009</t>
        </is>
      </c>
      <c r="Y18" s="399" t="inlineStr">
        <is>
          <t>ហូលីដេ ឌីហ្សាញ (ខេមបូឌា) ឯ.ក</t>
        </is>
      </c>
      <c r="Z18" s="400" t="n">
        <v>178728</v>
      </c>
      <c r="AA18" s="400" t="n">
        <v>162480</v>
      </c>
      <c r="AB18" s="399" t="n">
        <v>0</v>
      </c>
      <c r="AC18" s="399" t="inlineStr">
        <is>
          <t>-</t>
        </is>
      </c>
      <c r="AD18" s="400" t="n">
        <v>16248</v>
      </c>
      <c r="AE18" s="399" t="n">
        <v>0</v>
      </c>
      <c r="AF18" s="625" t="n">
        <v>0</v>
      </c>
      <c r="AG18" s="205" t="n">
        <v>0</v>
      </c>
      <c r="AH18" s="205" t="n">
        <v>0</v>
      </c>
      <c r="AI18" s="205" t="n">
        <v>0</v>
      </c>
      <c r="AJ18" s="205" t="n">
        <v>0</v>
      </c>
      <c r="AK18" s="205" t="n">
        <v>0</v>
      </c>
      <c r="AL18" s="205" t="n">
        <v>0.01</v>
      </c>
      <c r="AM18" s="205" t="n">
        <v>0</v>
      </c>
      <c r="AN18" s="205" t="inlineStr">
        <is>
          <t>Local Charge</t>
        </is>
      </c>
    </row>
    <row r="19">
      <c r="A19" s="222">
        <f>A18+1</f>
        <v/>
      </c>
      <c r="B19" s="389" t="inlineStr">
        <is>
          <t>Detention</t>
        </is>
      </c>
      <c r="C19" s="389" t="inlineStr">
        <is>
          <t>EXPEDITORS CAMBODIA LTD.</t>
        </is>
      </c>
      <c r="D19" s="390" t="inlineStr">
        <is>
          <t>L001-100045898</t>
        </is>
      </c>
      <c r="E19" s="395" t="inlineStr">
        <is>
          <t>TI-0292731</t>
        </is>
      </c>
      <c r="F19" s="392" t="n">
        <v>45579</v>
      </c>
      <c r="G19" s="393" t="n"/>
      <c r="H19" s="624" t="n"/>
      <c r="I19" s="624" t="n">
        <v>40620</v>
      </c>
      <c r="J19" s="402" t="inlineStr">
        <is>
          <t>អនុញ្ញាត (បានប្រកាស)</t>
        </is>
      </c>
      <c r="K19" s="223" t="n"/>
      <c r="L19" s="403" t="inlineStr">
        <is>
          <t>=I19</t>
        </is>
      </c>
      <c r="M19" s="404" t="inlineStr">
        <is>
          <t>=I19-L19</t>
        </is>
      </c>
      <c r="N19" s="405" t="n"/>
      <c r="O19" s="406" t="inlineStr">
        <is>
          <t>=U19=E19</t>
        </is>
      </c>
      <c r="P19" s="406" t="inlineStr">
        <is>
          <t>=MONTH(F19)-MONTH(T19)</t>
        </is>
      </c>
      <c r="Q19" s="406" t="inlineStr">
        <is>
          <t>=$B$5=X19</t>
        </is>
      </c>
      <c r="R19" s="406" t="inlineStr">
        <is>
          <t>=I19-AD19</t>
        </is>
      </c>
      <c r="S19" s="407" t="n"/>
      <c r="T19" s="398" t="n">
        <v>45579</v>
      </c>
      <c r="U19" s="399" t="inlineStr">
        <is>
          <t>TI-0292731</t>
        </is>
      </c>
      <c r="V19" s="399" t="n">
        <v>0</v>
      </c>
      <c r="W19" s="399" t="inlineStr">
        <is>
          <t>បុគ្គលជាប់អាករ</t>
        </is>
      </c>
      <c r="X19" s="399" t="inlineStr">
        <is>
          <t>L001-901640009</t>
        </is>
      </c>
      <c r="Y19" s="399" t="inlineStr">
        <is>
          <t>ហូលីដេ ឌីហ្សាញ (ខេមបូឌា) ឯ.ក</t>
        </is>
      </c>
      <c r="Z19" s="400" t="n">
        <v>446820</v>
      </c>
      <c r="AA19" s="400" t="n">
        <v>406200</v>
      </c>
      <c r="AB19" s="399" t="n">
        <v>0</v>
      </c>
      <c r="AC19" s="399" t="inlineStr">
        <is>
          <t>-</t>
        </is>
      </c>
      <c r="AD19" s="400" t="n">
        <v>40620</v>
      </c>
      <c r="AE19" s="399" t="n">
        <v>0</v>
      </c>
      <c r="AF19" s="625" t="n">
        <v>0</v>
      </c>
      <c r="AG19" s="205" t="n">
        <v>0</v>
      </c>
      <c r="AH19" s="205" t="n">
        <v>0</v>
      </c>
      <c r="AI19" s="205" t="n">
        <v>0</v>
      </c>
      <c r="AJ19" s="205" t="n">
        <v>0</v>
      </c>
      <c r="AK19" s="205" t="n">
        <v>0</v>
      </c>
      <c r="AL19" s="205" t="n">
        <v>0.01</v>
      </c>
      <c r="AM19" s="205" t="n">
        <v>0</v>
      </c>
      <c r="AN19" s="205" t="inlineStr">
        <is>
          <t>Local Charge</t>
        </is>
      </c>
    </row>
    <row r="20">
      <c r="A20" s="222">
        <f>A19+1</f>
        <v/>
      </c>
      <c r="B20" s="389" t="inlineStr">
        <is>
          <t>Detention</t>
        </is>
      </c>
      <c r="C20" s="389" t="inlineStr">
        <is>
          <t>EXPEDITORS CAMBODIA LTD.</t>
        </is>
      </c>
      <c r="D20" s="390" t="inlineStr">
        <is>
          <t>L001-100045898</t>
        </is>
      </c>
      <c r="E20" s="395" t="inlineStr">
        <is>
          <t>TI-0292738</t>
        </is>
      </c>
      <c r="F20" s="392" t="n">
        <v>45579</v>
      </c>
      <c r="G20" s="393" t="n"/>
      <c r="H20" s="624" t="n"/>
      <c r="I20" s="624" t="n">
        <v>8124</v>
      </c>
      <c r="J20" s="402" t="inlineStr">
        <is>
          <t>អនុញ្ញាត (បានប្រកាស)</t>
        </is>
      </c>
      <c r="K20" s="223" t="n"/>
      <c r="L20" s="403" t="inlineStr">
        <is>
          <t>=I20</t>
        </is>
      </c>
      <c r="M20" s="404" t="inlineStr">
        <is>
          <t>=I20-L20</t>
        </is>
      </c>
      <c r="N20" s="405" t="n"/>
      <c r="O20" s="406" t="inlineStr">
        <is>
          <t>=U20=E20</t>
        </is>
      </c>
      <c r="P20" s="406" t="inlineStr">
        <is>
          <t>=MONTH(F20)-MONTH(T20)</t>
        </is>
      </c>
      <c r="Q20" s="406" t="inlineStr">
        <is>
          <t>=$B$5=X20</t>
        </is>
      </c>
      <c r="R20" s="406" t="inlineStr">
        <is>
          <t>=I20-AD20</t>
        </is>
      </c>
      <c r="S20" s="407" t="n"/>
      <c r="T20" s="398" t="n">
        <v>45579</v>
      </c>
      <c r="U20" s="399" t="inlineStr">
        <is>
          <t>TI-0292738</t>
        </is>
      </c>
      <c r="V20" s="399" t="n">
        <v>0</v>
      </c>
      <c r="W20" s="399" t="inlineStr">
        <is>
          <t>បុគ្គលជាប់អាករ</t>
        </is>
      </c>
      <c r="X20" s="399" t="inlineStr">
        <is>
          <t>L001-901640009</t>
        </is>
      </c>
      <c r="Y20" s="399" t="inlineStr">
        <is>
          <t>ហូលីដេ ឌីហ្សាញ (ខេមបូឌា) ឯ.ក</t>
        </is>
      </c>
      <c r="Z20" s="400" t="n">
        <v>89364</v>
      </c>
      <c r="AA20" s="400" t="n">
        <v>81240</v>
      </c>
      <c r="AB20" s="399" t="n">
        <v>0</v>
      </c>
      <c r="AC20" s="399" t="inlineStr">
        <is>
          <t>-</t>
        </is>
      </c>
      <c r="AD20" s="400" t="n">
        <v>8124</v>
      </c>
      <c r="AE20" s="399" t="n">
        <v>0</v>
      </c>
      <c r="AF20" s="625" t="n">
        <v>0</v>
      </c>
      <c r="AG20" s="205" t="n">
        <v>0</v>
      </c>
      <c r="AH20" s="205" t="n">
        <v>0</v>
      </c>
      <c r="AI20" s="205" t="n">
        <v>0</v>
      </c>
      <c r="AJ20" s="205" t="n">
        <v>0</v>
      </c>
      <c r="AK20" s="205" t="n">
        <v>0</v>
      </c>
      <c r="AL20" s="205" t="n">
        <v>0.01</v>
      </c>
      <c r="AM20" s="205" t="n">
        <v>0</v>
      </c>
      <c r="AN20" s="205" t="inlineStr">
        <is>
          <t>Local Charge</t>
        </is>
      </c>
    </row>
    <row r="21">
      <c r="A21" s="222">
        <f>A20+1</f>
        <v/>
      </c>
      <c r="B21" s="389" t="inlineStr">
        <is>
          <t>Detention</t>
        </is>
      </c>
      <c r="C21" s="389" t="inlineStr">
        <is>
          <t>EXPEDITORS CAMBODIA LTD.</t>
        </is>
      </c>
      <c r="D21" s="390" t="inlineStr">
        <is>
          <t>L001-100045898</t>
        </is>
      </c>
      <c r="E21" s="395" t="inlineStr">
        <is>
          <t>TI-0292732</t>
        </is>
      </c>
      <c r="F21" s="392" t="n">
        <v>45579</v>
      </c>
      <c r="G21" s="393" t="n"/>
      <c r="H21" s="624" t="n"/>
      <c r="I21" s="624" t="n">
        <v>16248</v>
      </c>
      <c r="J21" s="402" t="inlineStr">
        <is>
          <t>អនុញ្ញាត (បានប្រកាស)</t>
        </is>
      </c>
      <c r="K21" s="223" t="n"/>
      <c r="L21" s="403" t="inlineStr">
        <is>
          <t>=I21</t>
        </is>
      </c>
      <c r="M21" s="404" t="inlineStr">
        <is>
          <t>=I21-L21</t>
        </is>
      </c>
      <c r="N21" s="405" t="n"/>
      <c r="O21" s="406" t="inlineStr">
        <is>
          <t>=U21=E21</t>
        </is>
      </c>
      <c r="P21" s="406" t="inlineStr">
        <is>
          <t>=MONTH(F21)-MONTH(T21)</t>
        </is>
      </c>
      <c r="Q21" s="406" t="inlineStr">
        <is>
          <t>=$B$5=X21</t>
        </is>
      </c>
      <c r="R21" s="406" t="inlineStr">
        <is>
          <t>=I21-AD21</t>
        </is>
      </c>
      <c r="S21" s="407" t="n"/>
      <c r="T21" s="398" t="n">
        <v>45579</v>
      </c>
      <c r="U21" s="399" t="inlineStr">
        <is>
          <t>TI-0292732</t>
        </is>
      </c>
      <c r="V21" s="399" t="n">
        <v>0</v>
      </c>
      <c r="W21" s="399" t="inlineStr">
        <is>
          <t>បុគ្គលជាប់អាករ</t>
        </is>
      </c>
      <c r="X21" s="399" t="inlineStr">
        <is>
          <t>L001-901640009</t>
        </is>
      </c>
      <c r="Y21" s="399" t="inlineStr">
        <is>
          <t>ហូលីដេ ឌីហ្សាញ (ខេមបូឌា) ឯ.ក</t>
        </is>
      </c>
      <c r="Z21" s="400" t="n">
        <v>178728</v>
      </c>
      <c r="AA21" s="400" t="n">
        <v>162480</v>
      </c>
      <c r="AB21" s="399" t="n">
        <v>0</v>
      </c>
      <c r="AC21" s="399" t="inlineStr">
        <is>
          <t>-</t>
        </is>
      </c>
      <c r="AD21" s="400" t="n">
        <v>16248</v>
      </c>
      <c r="AE21" s="399" t="n">
        <v>0</v>
      </c>
      <c r="AF21" s="625" t="n">
        <v>0</v>
      </c>
      <c r="AG21" s="205" t="n">
        <v>0</v>
      </c>
      <c r="AH21" s="205" t="n">
        <v>0</v>
      </c>
      <c r="AI21" s="205" t="n">
        <v>0</v>
      </c>
      <c r="AJ21" s="205" t="n">
        <v>0</v>
      </c>
      <c r="AK21" s="205" t="n">
        <v>0</v>
      </c>
      <c r="AL21" s="205" t="n">
        <v>0.01</v>
      </c>
      <c r="AM21" s="205" t="n">
        <v>0</v>
      </c>
      <c r="AN21" s="205" t="inlineStr">
        <is>
          <t>Local Charge</t>
        </is>
      </c>
    </row>
    <row r="22">
      <c r="A22" s="222">
        <f>A21+1</f>
        <v/>
      </c>
      <c r="B22" s="389" t="inlineStr">
        <is>
          <t>Rental Building E G&amp; L</t>
        </is>
      </c>
      <c r="C22" s="389" t="inlineStr">
        <is>
          <t>JALIANKA INTERNATIONAL (CAMBODIA) CO., LTD.</t>
        </is>
      </c>
      <c r="D22" s="390" t="inlineStr">
        <is>
          <t>B105-901907504</t>
        </is>
      </c>
      <c r="E22" s="395" t="inlineStr">
        <is>
          <t>JILLANKA2501004</t>
        </is>
      </c>
      <c r="F22" s="392" t="n">
        <v>45688</v>
      </c>
      <c r="G22" s="393" t="n"/>
      <c r="H22" s="624" t="n"/>
      <c r="I22" s="624" t="n">
        <v>20611974</v>
      </c>
      <c r="J22" s="402" t="inlineStr">
        <is>
          <t>អនុញ្ញាត (បានប្រកាស)</t>
        </is>
      </c>
      <c r="K22" s="223" t="n"/>
      <c r="L22" s="403" t="inlineStr">
        <is>
          <t>=I22</t>
        </is>
      </c>
      <c r="M22" s="404" t="inlineStr">
        <is>
          <t>=I22-L22</t>
        </is>
      </c>
      <c r="N22" s="405" t="inlineStr">
        <is>
          <t>បានពិនិត្យវិក្កយបត្រ</t>
        </is>
      </c>
      <c r="O22" s="406" t="inlineStr">
        <is>
          <t>=U22=E22</t>
        </is>
      </c>
      <c r="P22" s="406" t="inlineStr">
        <is>
          <t>=MONTH(F22)-MONTH(T22)</t>
        </is>
      </c>
      <c r="Q22" s="406" t="inlineStr">
        <is>
          <t>=$B$5=X22</t>
        </is>
      </c>
      <c r="R22" s="406" t="inlineStr">
        <is>
          <t>=I22-AD22</t>
        </is>
      </c>
      <c r="S22" s="407" t="n"/>
      <c r="T22" s="398" t="n">
        <v>45688</v>
      </c>
      <c r="U22" s="399" t="inlineStr">
        <is>
          <t>JILLANKA2501004</t>
        </is>
      </c>
      <c r="V22" s="399" t="n">
        <v>0</v>
      </c>
      <c r="W22" s="399" t="inlineStr">
        <is>
          <t>បុគ្គលជាប់អាករ</t>
        </is>
      </c>
      <c r="X22" s="399" t="inlineStr">
        <is>
          <t>L001-901640009</t>
        </is>
      </c>
      <c r="Y22" s="399" t="inlineStr">
        <is>
          <t>ហូលីដេ ឌីហ្សាញ (ខេមបូឌា) ឯ.ក</t>
        </is>
      </c>
      <c r="Z22" s="400" t="n">
        <v>226731717</v>
      </c>
      <c r="AA22" s="400" t="n">
        <v>206119743</v>
      </c>
      <c r="AB22" s="399" t="n">
        <v>0</v>
      </c>
      <c r="AC22" s="399" t="inlineStr">
        <is>
          <t>-</t>
        </is>
      </c>
      <c r="AD22" s="400" t="n">
        <v>20611974</v>
      </c>
      <c r="AE22" s="399" t="n">
        <v>0</v>
      </c>
      <c r="AF22" s="625" t="n">
        <v>0</v>
      </c>
      <c r="AG22" s="205" t="n">
        <v>0</v>
      </c>
      <c r="AH22" s="205" t="n">
        <v>0</v>
      </c>
      <c r="AI22" s="205" t="n">
        <v>0</v>
      </c>
      <c r="AJ22" s="205" t="n">
        <v>0</v>
      </c>
      <c r="AK22" s="205" t="n">
        <v>0</v>
      </c>
      <c r="AL22" s="205" t="n">
        <v>0.01</v>
      </c>
      <c r="AM22" s="205" t="n">
        <v>0</v>
      </c>
      <c r="AN22" s="205" t="inlineStr">
        <is>
          <t>Rental Building E , G, L</t>
        </is>
      </c>
      <c r="AO22" s="205" t="inlineStr">
        <is>
          <t>បានប្រកាសនិងបង់ពន្ធ</t>
        </is>
      </c>
    </row>
    <row r="23">
      <c r="A23" s="222">
        <f>A22+1</f>
        <v/>
      </c>
      <c r="B23" s="389" t="inlineStr">
        <is>
          <t>CREDIT</t>
        </is>
      </c>
      <c r="C23" s="389" t="inlineStr">
        <is>
          <t>EXPEDITORS CAMBODIA LTD.</t>
        </is>
      </c>
      <c r="D23" s="390" t="inlineStr">
        <is>
          <t>L001-100045898</t>
        </is>
      </c>
      <c r="E23" s="395" t="inlineStr">
        <is>
          <t>TI-0292897</t>
        </is>
      </c>
      <c r="F23" s="392" t="n">
        <v>45581</v>
      </c>
      <c r="G23" s="393" t="n"/>
      <c r="H23" s="624" t="n"/>
      <c r="I23" s="624" t="n">
        <v>-72674</v>
      </c>
      <c r="J23" s="402" t="inlineStr">
        <is>
          <t>អនុញ្ញាត (បានប្រកាស)</t>
        </is>
      </c>
      <c r="K23" s="223" t="n"/>
      <c r="L23" s="403" t="inlineStr">
        <is>
          <t>=I23</t>
        </is>
      </c>
      <c r="M23" s="404" t="inlineStr">
        <is>
          <t>=I23-L23</t>
        </is>
      </c>
      <c r="N23" s="405" t="n"/>
      <c r="O23" s="406" t="inlineStr">
        <is>
          <t>=U23=E23</t>
        </is>
      </c>
      <c r="P23" s="406" t="inlineStr">
        <is>
          <t>=MONTH(F23)-MONTH(T23)</t>
        </is>
      </c>
      <c r="Q23" s="406" t="inlineStr">
        <is>
          <t>=$B$5=X23</t>
        </is>
      </c>
      <c r="R23" s="406" t="inlineStr">
        <is>
          <t>=I23-AD23</t>
        </is>
      </c>
      <c r="S23" s="407" t="n"/>
      <c r="T23" s="372" t="n"/>
      <c r="U23" s="371" t="n"/>
      <c r="V23" s="371" t="n"/>
      <c r="W23" s="371" t="n"/>
      <c r="X23" s="371" t="n"/>
      <c r="Y23" s="371" t="n"/>
      <c r="Z23" s="373" t="n"/>
      <c r="AA23" s="373" t="n"/>
      <c r="AB23" s="371" t="n"/>
      <c r="AC23" s="371" t="n"/>
      <c r="AD23" s="373" t="n"/>
      <c r="AE23" s="371" t="n"/>
      <c r="AF23" s="625" t="n"/>
    </row>
    <row r="24">
      <c r="A24" s="222">
        <f>A23+1</f>
        <v/>
      </c>
      <c r="B24" s="389" t="inlineStr">
        <is>
          <t>CREDIT</t>
        </is>
      </c>
      <c r="C24" s="389" t="inlineStr">
        <is>
          <t>EXPEDITORS CAMBODIA LTD.</t>
        </is>
      </c>
      <c r="D24" s="390" t="inlineStr">
        <is>
          <t>L001-100045898</t>
        </is>
      </c>
      <c r="E24" s="395" t="inlineStr">
        <is>
          <t>TI-0295955</t>
        </is>
      </c>
      <c r="F24" s="392" t="n">
        <v>45603</v>
      </c>
      <c r="G24" s="393" t="n"/>
      <c r="H24" s="624" t="n"/>
      <c r="I24" s="624" t="n">
        <v>-2032</v>
      </c>
      <c r="J24" s="402" t="inlineStr">
        <is>
          <t>អនុញ្ញាត (បានប្រកាស)</t>
        </is>
      </c>
      <c r="K24" s="223" t="n"/>
      <c r="L24" s="626">
        <f>I24</f>
        <v/>
      </c>
      <c r="M24" s="598">
        <f>I24-L24</f>
        <v/>
      </c>
      <c r="N24" s="223" t="n"/>
      <c r="O24" s="228">
        <f>U24=E24</f>
        <v/>
      </c>
      <c r="P24" s="228">
        <f>MONTH(F24)-MONTH(T24)</f>
        <v/>
      </c>
      <c r="Q24" s="228">
        <f>$B$5=X24</f>
        <v/>
      </c>
      <c r="R24" s="228">
        <f>I24-AD24</f>
        <v/>
      </c>
      <c r="S24" s="371" t="n"/>
      <c r="T24" s="372" t="n"/>
      <c r="U24" s="371" t="n"/>
      <c r="V24" s="371" t="n"/>
      <c r="W24" s="371" t="n"/>
      <c r="X24" s="371" t="n"/>
      <c r="Y24" s="371" t="n"/>
      <c r="Z24" s="373" t="n"/>
      <c r="AA24" s="373" t="n"/>
      <c r="AB24" s="371" t="n"/>
      <c r="AC24" s="371" t="n"/>
      <c r="AD24" s="373" t="n"/>
      <c r="AE24" s="371" t="n"/>
      <c r="AF24" s="625" t="n"/>
    </row>
    <row r="25">
      <c r="A25" s="222">
        <f>A24+1</f>
        <v/>
      </c>
      <c r="B25" s="224" t="inlineStr">
        <is>
          <t>Rental Building D &amp; F</t>
        </is>
      </c>
      <c r="C25" s="224" t="inlineStr">
        <is>
          <t>JALIANKA INTERNATIONAL (CAMBODIA) CO., LTD.</t>
        </is>
      </c>
      <c r="D25" s="225" t="inlineStr">
        <is>
          <t>B105-901907504</t>
        </is>
      </c>
      <c r="E25" s="359" t="inlineStr">
        <is>
          <t>JILLANKA2501002</t>
        </is>
      </c>
      <c r="F25" s="338" t="n">
        <v>45688</v>
      </c>
      <c r="G25" s="226" t="n"/>
      <c r="H25" s="627" t="n"/>
      <c r="I25" s="627" t="n">
        <v>12957280</v>
      </c>
      <c r="J25" s="223" t="inlineStr">
        <is>
          <t>អនុញ្ញាត (បានប្រកាស)</t>
        </is>
      </c>
      <c r="K25" s="223" t="n"/>
      <c r="L25" s="626">
        <f>I25</f>
        <v/>
      </c>
      <c r="M25" s="598">
        <f>I25-L25</f>
        <v/>
      </c>
      <c r="N25" s="223" t="inlineStr">
        <is>
          <t>បានពិនិត្យវិក្កយបត្រ</t>
        </is>
      </c>
      <c r="O25" s="228">
        <f>U25=E25</f>
        <v/>
      </c>
      <c r="P25" s="228">
        <f>MONTH(F25)-MONTH(T25)</f>
        <v/>
      </c>
      <c r="Q25" s="228">
        <f>$B$5=X25</f>
        <v/>
      </c>
      <c r="R25" s="228">
        <f>I25-AD25</f>
        <v/>
      </c>
      <c r="S25" s="371" t="n"/>
      <c r="T25" s="372" t="n">
        <v>45688</v>
      </c>
      <c r="U25" s="371" t="inlineStr">
        <is>
          <t>JILLANKA2501002</t>
        </is>
      </c>
      <c r="V25" s="371" t="n">
        <v>0</v>
      </c>
      <c r="W25" s="371" t="inlineStr">
        <is>
          <t>បុគ្គលជាប់អាករ</t>
        </is>
      </c>
      <c r="X25" s="371" t="inlineStr">
        <is>
          <t>L001-901640009</t>
        </is>
      </c>
      <c r="Y25" s="371" t="inlineStr">
        <is>
          <t>ហូលីដេ ឌីហ្សាញ (ខេមបូឌា) ឯ.ក</t>
        </is>
      </c>
      <c r="Z25" s="373" t="n">
        <v>142530080</v>
      </c>
      <c r="AA25" s="373" t="n">
        <v>129572800</v>
      </c>
      <c r="AB25" s="371" t="n">
        <v>0</v>
      </c>
      <c r="AC25" s="371" t="inlineStr">
        <is>
          <t>-</t>
        </is>
      </c>
      <c r="AD25" s="373" t="n">
        <v>12957280</v>
      </c>
      <c r="AE25" s="371" t="n">
        <v>0</v>
      </c>
      <c r="AF25" s="625" t="n">
        <v>0</v>
      </c>
      <c r="AG25" s="205" t="n">
        <v>0</v>
      </c>
      <c r="AH25" s="205" t="n">
        <v>0</v>
      </c>
      <c r="AI25" s="205" t="n">
        <v>0</v>
      </c>
      <c r="AJ25" s="205" t="n">
        <v>0</v>
      </c>
      <c r="AK25" s="205" t="n">
        <v>0</v>
      </c>
      <c r="AL25" s="205" t="n">
        <v>0.01</v>
      </c>
      <c r="AM25" s="205" t="n">
        <v>0</v>
      </c>
      <c r="AN25" s="205" t="inlineStr">
        <is>
          <t>Rental Building D , F</t>
        </is>
      </c>
      <c r="AO25" s="205" t="inlineStr">
        <is>
          <t>បានប្រកាសនិងបង់ពន្ធ</t>
        </is>
      </c>
    </row>
    <row r="26">
      <c r="A26" s="222">
        <f>A25+1</f>
        <v/>
      </c>
      <c r="B26" s="224" t="inlineStr">
        <is>
          <t>Rental Building E G&amp; L</t>
        </is>
      </c>
      <c r="C26" s="224" t="inlineStr">
        <is>
          <t>JALIANKA INTERNATIONAL (CAMBODIA) CO., LTD.</t>
        </is>
      </c>
      <c r="D26" s="225" t="inlineStr">
        <is>
          <t>B105-901907504</t>
        </is>
      </c>
      <c r="E26" s="359" t="inlineStr">
        <is>
          <t>JILLANKA2501008</t>
        </is>
      </c>
      <c r="F26" s="338" t="n">
        <v>45716</v>
      </c>
      <c r="G26" s="226" t="n"/>
      <c r="H26" s="627" t="n"/>
      <c r="I26" s="627" t="n">
        <v>20545385</v>
      </c>
      <c r="J26" s="223" t="inlineStr">
        <is>
          <t>អនុញ្ញាត (បានប្រកាស)</t>
        </is>
      </c>
      <c r="K26" s="223" t="n"/>
      <c r="L26" s="626">
        <f>I26</f>
        <v/>
      </c>
      <c r="M26" s="598">
        <f>I26-L26</f>
        <v/>
      </c>
      <c r="N26" s="223" t="inlineStr">
        <is>
          <t>បានពិនិត្យវិក្កយបត្រ</t>
        </is>
      </c>
      <c r="O26" s="228">
        <f>U26=E26</f>
        <v/>
      </c>
      <c r="P26" s="228">
        <f>MONTH(F26)-MONTH(T26)</f>
        <v/>
      </c>
      <c r="Q26" s="228">
        <f>$B$5=X26</f>
        <v/>
      </c>
      <c r="R26" s="228">
        <f>I26-AD26</f>
        <v/>
      </c>
      <c r="S26" s="371" t="n"/>
      <c r="T26" s="372" t="n">
        <v>45716</v>
      </c>
      <c r="U26" s="371" t="inlineStr">
        <is>
          <t>JILLANKA2501008</t>
        </is>
      </c>
      <c r="V26" s="371" t="n">
        <v>0</v>
      </c>
      <c r="W26" s="371" t="inlineStr">
        <is>
          <t>បុគ្គលជាប់អាករ</t>
        </is>
      </c>
      <c r="X26" s="371" t="inlineStr">
        <is>
          <t>L001-901640009</t>
        </is>
      </c>
      <c r="Y26" s="371" t="inlineStr">
        <is>
          <t>ហូលីដេ ឌីហ្សាញ (ខេមបូឌា) ឯ.ក</t>
        </is>
      </c>
      <c r="Z26" s="373" t="n">
        <v>225999233</v>
      </c>
      <c r="AA26" s="373" t="n">
        <v>205453848</v>
      </c>
      <c r="AB26" s="371" t="n">
        <v>0</v>
      </c>
      <c r="AC26" s="371" t="inlineStr">
        <is>
          <t>-</t>
        </is>
      </c>
      <c r="AD26" s="373" t="n">
        <v>20545385</v>
      </c>
      <c r="AE26" s="371" t="n">
        <v>0</v>
      </c>
      <c r="AF26" s="625" t="n">
        <v>0</v>
      </c>
      <c r="AG26" s="205" t="n">
        <v>0</v>
      </c>
      <c r="AH26" s="205" t="n">
        <v>0</v>
      </c>
      <c r="AI26" s="205" t="n">
        <v>0</v>
      </c>
      <c r="AJ26" s="205" t="n">
        <v>0</v>
      </c>
      <c r="AK26" s="205" t="n">
        <v>0</v>
      </c>
      <c r="AL26" s="205" t="n">
        <v>0.01</v>
      </c>
      <c r="AM26" s="205" t="n">
        <v>0</v>
      </c>
      <c r="AN26" s="205" t="inlineStr">
        <is>
          <t>Rental Building E , G, L</t>
        </is>
      </c>
      <c r="AO26" s="205" t="inlineStr">
        <is>
          <t>បានប្រកាសនិងបង់ពន្ធ</t>
        </is>
      </c>
    </row>
    <row r="27">
      <c r="A27" s="222">
        <f>A26+1</f>
        <v/>
      </c>
      <c r="B27" s="224" t="inlineStr">
        <is>
          <t>Rental Building D &amp; F</t>
        </is>
      </c>
      <c r="C27" s="224" t="inlineStr">
        <is>
          <t>JALIANKA INTERNATIONAL (CAMBODIA) CO., LTD.</t>
        </is>
      </c>
      <c r="D27" s="225" t="inlineStr">
        <is>
          <t>B105-901907504</t>
        </is>
      </c>
      <c r="E27" s="359" t="inlineStr">
        <is>
          <t>JILLANKA2501007</t>
        </is>
      </c>
      <c r="F27" s="338" t="n">
        <v>45716</v>
      </c>
      <c r="G27" s="226" t="n"/>
      <c r="H27" s="627" t="n"/>
      <c r="I27" s="627" t="n">
        <v>12915420</v>
      </c>
      <c r="J27" s="223" t="inlineStr">
        <is>
          <t>អនុញ្ញាត (បានប្រកាស)</t>
        </is>
      </c>
      <c r="K27" s="223" t="n"/>
      <c r="L27" s="626">
        <f>I27</f>
        <v/>
      </c>
      <c r="M27" s="598">
        <f>I27-L27</f>
        <v/>
      </c>
      <c r="N27" s="223" t="inlineStr">
        <is>
          <t>បានពិនិត្យវិក្កយបត្រ</t>
        </is>
      </c>
      <c r="O27" s="228">
        <f>U27=E27</f>
        <v/>
      </c>
      <c r="P27" s="228">
        <f>MONTH(F27)-MONTH(T27)</f>
        <v/>
      </c>
      <c r="Q27" s="228">
        <f>$B$5=X27</f>
        <v/>
      </c>
      <c r="R27" s="228">
        <f>I27-AD27</f>
        <v/>
      </c>
      <c r="S27" s="371" t="n"/>
      <c r="T27" s="372" t="n">
        <v>45716</v>
      </c>
      <c r="U27" s="371" t="inlineStr">
        <is>
          <t>JILLANKA2501007</t>
        </is>
      </c>
      <c r="V27" s="371" t="n">
        <v>0</v>
      </c>
      <c r="W27" s="371" t="inlineStr">
        <is>
          <t>បុគ្គលជាប់អាករ</t>
        </is>
      </c>
      <c r="X27" s="371" t="inlineStr">
        <is>
          <t>L001-901640009</t>
        </is>
      </c>
      <c r="Y27" s="371" t="inlineStr">
        <is>
          <t>ហូលីដេ ឌីហ្សាញ (ខេមបូឌា) ឯ.ក</t>
        </is>
      </c>
      <c r="Z27" s="373" t="n">
        <v>142069620</v>
      </c>
      <c r="AA27" s="373" t="n">
        <v>129154200</v>
      </c>
      <c r="AB27" s="371" t="n">
        <v>0</v>
      </c>
      <c r="AC27" s="371" t="inlineStr">
        <is>
          <t>-</t>
        </is>
      </c>
      <c r="AD27" s="373" t="n">
        <v>12915420</v>
      </c>
      <c r="AE27" s="371" t="n">
        <v>0</v>
      </c>
      <c r="AF27" s="625" t="n">
        <v>0</v>
      </c>
      <c r="AG27" s="205" t="n">
        <v>0</v>
      </c>
      <c r="AH27" s="205" t="n">
        <v>0</v>
      </c>
      <c r="AI27" s="205" t="n">
        <v>0</v>
      </c>
      <c r="AJ27" s="205" t="n">
        <v>0</v>
      </c>
      <c r="AK27" s="205" t="n">
        <v>0</v>
      </c>
      <c r="AL27" s="205" t="n">
        <v>0.01</v>
      </c>
      <c r="AM27" s="205" t="n">
        <v>0</v>
      </c>
      <c r="AN27" s="205" t="inlineStr">
        <is>
          <t>Rental Building D , F</t>
        </is>
      </c>
      <c r="AO27" s="205" t="inlineStr">
        <is>
          <t>បានប្រកាសនិងបង់ពន្ធ</t>
        </is>
      </c>
    </row>
    <row r="28">
      <c r="A28" s="222">
        <f>A27+1</f>
        <v/>
      </c>
      <c r="B28" s="224" t="inlineStr">
        <is>
          <t>Detention Fee</t>
        </is>
      </c>
      <c r="C28" s="224" t="inlineStr">
        <is>
          <t>EXPEDITORS CAMBODIA LTD.</t>
        </is>
      </c>
      <c r="D28" s="225" t="inlineStr">
        <is>
          <t>L001-100045898</t>
        </is>
      </c>
      <c r="E28" s="359" t="inlineStr">
        <is>
          <t>TI-0298544</t>
        </is>
      </c>
      <c r="F28" s="338" t="n">
        <v>45625</v>
      </c>
      <c r="G28" s="226" t="n"/>
      <c r="H28" s="627" t="n"/>
      <c r="I28" s="627" t="n">
        <v>80560</v>
      </c>
      <c r="J28" s="223" t="inlineStr">
        <is>
          <t>អនុញ្ញាត (បានប្រកាស)</t>
        </is>
      </c>
      <c r="K28" s="223" t="n"/>
      <c r="L28" s="626">
        <f>I28</f>
        <v/>
      </c>
      <c r="M28" s="598">
        <f>I28-L28</f>
        <v/>
      </c>
      <c r="N28" s="223" t="n"/>
      <c r="O28" s="228">
        <f>U28=E28</f>
        <v/>
      </c>
      <c r="P28" s="228">
        <f>MONTH(F28)-MONTH(T28)</f>
        <v/>
      </c>
      <c r="Q28" s="228">
        <f>$B$5=X28</f>
        <v/>
      </c>
      <c r="R28" s="228">
        <f>I28-AD28</f>
        <v/>
      </c>
      <c r="S28" s="371" t="n"/>
      <c r="T28" s="372" t="n">
        <v>45625</v>
      </c>
      <c r="U28" s="371" t="inlineStr">
        <is>
          <t>TI-0298544</t>
        </is>
      </c>
      <c r="V28" s="371" t="n">
        <v>0</v>
      </c>
      <c r="W28" s="371" t="inlineStr">
        <is>
          <t>បុគ្គលជាប់អាករ</t>
        </is>
      </c>
      <c r="X28" s="371" t="inlineStr">
        <is>
          <t>L001-901640009</t>
        </is>
      </c>
      <c r="Y28" s="371" t="inlineStr">
        <is>
          <t>ហូលីដេ ឌីហ្សាញ (ខេមបូឌា) ឯ.ក</t>
        </is>
      </c>
      <c r="Z28" s="373" t="n">
        <v>886160</v>
      </c>
      <c r="AA28" s="373" t="n">
        <v>805600</v>
      </c>
      <c r="AB28" s="371" t="n">
        <v>0</v>
      </c>
      <c r="AC28" s="371" t="inlineStr">
        <is>
          <t>-</t>
        </is>
      </c>
      <c r="AD28" s="373" t="n">
        <v>80560</v>
      </c>
      <c r="AE28" s="371" t="n">
        <v>0</v>
      </c>
      <c r="AF28" s="625" t="n">
        <v>0</v>
      </c>
      <c r="AG28" s="205" t="n">
        <v>0</v>
      </c>
      <c r="AH28" s="205" t="n">
        <v>0</v>
      </c>
      <c r="AI28" s="205" t="n">
        <v>0</v>
      </c>
      <c r="AJ28" s="205" t="n">
        <v>0</v>
      </c>
      <c r="AK28" s="205" t="n">
        <v>0</v>
      </c>
      <c r="AL28" s="205" t="n">
        <v>0.01</v>
      </c>
      <c r="AM28" s="205" t="n">
        <v>0</v>
      </c>
      <c r="AN28" s="205" t="inlineStr">
        <is>
          <t>Local Charge</t>
        </is>
      </c>
    </row>
    <row r="29">
      <c r="A29" s="222">
        <f>A28+1</f>
        <v/>
      </c>
      <c r="B29" s="224" t="inlineStr">
        <is>
          <t>Detention Fee</t>
        </is>
      </c>
      <c r="C29" s="224" t="inlineStr">
        <is>
          <t>EXPEDITORS CAMBODIA LTD.</t>
        </is>
      </c>
      <c r="D29" s="225" t="inlineStr">
        <is>
          <t>L001-100045898</t>
        </is>
      </c>
      <c r="E29" s="359" t="inlineStr">
        <is>
          <t>TI-0298481</t>
        </is>
      </c>
      <c r="F29" s="338" t="n">
        <v>45623</v>
      </c>
      <c r="G29" s="226" t="n"/>
      <c r="H29" s="627" t="n"/>
      <c r="I29" s="627" t="n">
        <v>16096</v>
      </c>
      <c r="J29" s="223" t="inlineStr">
        <is>
          <t>អនុញ្ញាត (បានប្រកាស)</t>
        </is>
      </c>
      <c r="K29" s="223" t="n"/>
      <c r="L29" s="626">
        <f>I29</f>
        <v/>
      </c>
      <c r="M29" s="598">
        <f>I29-L29</f>
        <v/>
      </c>
      <c r="N29" s="223" t="n"/>
      <c r="O29" s="228">
        <f>U29=E29</f>
        <v/>
      </c>
      <c r="P29" s="228">
        <f>MONTH(F29)-MONTH(T29)</f>
        <v/>
      </c>
      <c r="Q29" s="228">
        <f>$B$5=X29</f>
        <v/>
      </c>
      <c r="R29" s="228">
        <f>I29-AD29</f>
        <v/>
      </c>
      <c r="S29" s="371" t="n"/>
      <c r="T29" s="372" t="n">
        <v>45623</v>
      </c>
      <c r="U29" s="371" t="inlineStr">
        <is>
          <t>TI-0298481</t>
        </is>
      </c>
      <c r="V29" s="371" t="n">
        <v>0</v>
      </c>
      <c r="W29" s="371" t="inlineStr">
        <is>
          <t>បុគ្គលជាប់អាករ</t>
        </is>
      </c>
      <c r="X29" s="371" t="inlineStr">
        <is>
          <t>L001-901640009</t>
        </is>
      </c>
      <c r="Y29" s="371" t="inlineStr">
        <is>
          <t>ហូលីដេ ឌីហ្សាញ (ខេមបូឌា) ឯ.ក</t>
        </is>
      </c>
      <c r="Z29" s="373" t="n">
        <v>177056</v>
      </c>
      <c r="AA29" s="373" t="n">
        <v>160960</v>
      </c>
      <c r="AB29" s="371" t="n">
        <v>0</v>
      </c>
      <c r="AC29" s="371" t="inlineStr">
        <is>
          <t>-</t>
        </is>
      </c>
      <c r="AD29" s="373" t="n">
        <v>16096</v>
      </c>
      <c r="AE29" s="371" t="n">
        <v>0</v>
      </c>
      <c r="AF29" s="625" t="n">
        <v>0</v>
      </c>
      <c r="AG29" s="205" t="n">
        <v>0</v>
      </c>
      <c r="AH29" s="205" t="n">
        <v>0</v>
      </c>
      <c r="AI29" s="205" t="n">
        <v>0</v>
      </c>
      <c r="AJ29" s="205" t="n">
        <v>0</v>
      </c>
      <c r="AK29" s="205" t="n">
        <v>0</v>
      </c>
      <c r="AL29" s="205" t="n">
        <v>0.01</v>
      </c>
      <c r="AM29" s="205" t="n">
        <v>0</v>
      </c>
      <c r="AN29" s="205" t="inlineStr">
        <is>
          <t>Local Charge</t>
        </is>
      </c>
    </row>
    <row r="30">
      <c r="A30" s="222">
        <f>A29+1</f>
        <v/>
      </c>
      <c r="B30" s="224" t="inlineStr">
        <is>
          <t>Detention Fee</t>
        </is>
      </c>
      <c r="C30" s="224" t="inlineStr">
        <is>
          <t>EXPEDITORS CAMBODIA LTD.</t>
        </is>
      </c>
      <c r="D30" s="225" t="inlineStr">
        <is>
          <t>L001-100045898</t>
        </is>
      </c>
      <c r="E30" s="359" t="inlineStr">
        <is>
          <t>TI-0298472</t>
        </is>
      </c>
      <c r="F30" s="338" t="n">
        <v>45623</v>
      </c>
      <c r="G30" s="226" t="n"/>
      <c r="H30" s="627" t="n"/>
      <c r="I30" s="627" t="n">
        <v>8048</v>
      </c>
      <c r="J30" s="223" t="inlineStr">
        <is>
          <t>អនុញ្ញាត (បានប្រកាស)</t>
        </is>
      </c>
      <c r="K30" s="223" t="n"/>
      <c r="L30" s="626">
        <f>I30</f>
        <v/>
      </c>
      <c r="M30" s="598">
        <f>I30-L30</f>
        <v/>
      </c>
      <c r="N30" s="223" t="n"/>
      <c r="O30" s="228">
        <f>U30=E30</f>
        <v/>
      </c>
      <c r="P30" s="228">
        <f>MONTH(F30)-MONTH(T30)</f>
        <v/>
      </c>
      <c r="Q30" s="228">
        <f>$B$5=X30</f>
        <v/>
      </c>
      <c r="R30" s="228">
        <f>I30-AD30</f>
        <v/>
      </c>
      <c r="S30" s="371" t="n"/>
      <c r="T30" s="372" t="n">
        <v>45623</v>
      </c>
      <c r="U30" s="371" t="inlineStr">
        <is>
          <t>TI-0298472</t>
        </is>
      </c>
      <c r="V30" s="371" t="n">
        <v>0</v>
      </c>
      <c r="W30" s="371" t="inlineStr">
        <is>
          <t>បុគ្គលជាប់អាករ</t>
        </is>
      </c>
      <c r="X30" s="371" t="inlineStr">
        <is>
          <t>L001-901640009</t>
        </is>
      </c>
      <c r="Y30" s="371" t="inlineStr">
        <is>
          <t>ហូលីដេ ឌីហ្សាញ (ខេមបូឌា) ឯ.ក</t>
        </is>
      </c>
      <c r="Z30" s="373" t="n">
        <v>88528</v>
      </c>
      <c r="AA30" s="373" t="n">
        <v>80480</v>
      </c>
      <c r="AB30" s="371" t="n">
        <v>0</v>
      </c>
      <c r="AC30" s="371" t="inlineStr">
        <is>
          <t>-</t>
        </is>
      </c>
      <c r="AD30" s="373" t="n">
        <v>8048</v>
      </c>
      <c r="AE30" s="371" t="n">
        <v>0</v>
      </c>
      <c r="AF30" s="625" t="n">
        <v>0</v>
      </c>
      <c r="AG30" s="205" t="n">
        <v>0</v>
      </c>
      <c r="AH30" s="205" t="n">
        <v>0</v>
      </c>
      <c r="AI30" s="205" t="n">
        <v>0</v>
      </c>
      <c r="AJ30" s="205" t="n">
        <v>0</v>
      </c>
      <c r="AK30" s="205" t="n">
        <v>0</v>
      </c>
      <c r="AL30" s="205" t="n">
        <v>0.01</v>
      </c>
      <c r="AM30" s="205" t="n">
        <v>0</v>
      </c>
      <c r="AN30" s="205" t="inlineStr">
        <is>
          <t>Local Charge</t>
        </is>
      </c>
    </row>
    <row r="31">
      <c r="A31" s="222">
        <f>A30+1</f>
        <v/>
      </c>
      <c r="B31" s="224" t="inlineStr">
        <is>
          <t>Terminal Handling</t>
        </is>
      </c>
      <c r="C31" s="224" t="inlineStr">
        <is>
          <t>EXPEDITORS CAMBODIA LTD.</t>
        </is>
      </c>
      <c r="D31" s="225" t="inlineStr">
        <is>
          <t>L001-100045898</t>
        </is>
      </c>
      <c r="E31" s="359" t="inlineStr">
        <is>
          <t>TI-0296235</t>
        </is>
      </c>
      <c r="F31" s="338" t="n">
        <v>45607</v>
      </c>
      <c r="G31" s="226" t="n"/>
      <c r="H31" s="627" t="n"/>
      <c r="I31" s="627" t="n">
        <v>6089</v>
      </c>
      <c r="J31" s="223" t="inlineStr">
        <is>
          <t>អនុញ្ញាត (បានប្រកាស)</t>
        </is>
      </c>
      <c r="K31" s="223" t="n"/>
      <c r="L31" s="626">
        <f>I31</f>
        <v/>
      </c>
      <c r="M31" s="598">
        <f>I31-L31</f>
        <v/>
      </c>
      <c r="N31" s="223" t="n"/>
      <c r="O31" s="228">
        <f>U31=E31</f>
        <v/>
      </c>
      <c r="P31" s="228">
        <f>MONTH(F31)-MONTH(T31)</f>
        <v/>
      </c>
      <c r="Q31" s="228">
        <f>$B$5=X31</f>
        <v/>
      </c>
      <c r="R31" s="228">
        <f>I31-AD31</f>
        <v/>
      </c>
      <c r="S31" s="371" t="n"/>
      <c r="T31" s="372" t="n">
        <v>45607</v>
      </c>
      <c r="U31" s="371" t="inlineStr">
        <is>
          <t>TI-0296235</t>
        </is>
      </c>
      <c r="V31" s="371" t="n">
        <v>0</v>
      </c>
      <c r="W31" s="371" t="inlineStr">
        <is>
          <t>បុគ្គលជាប់អាករ</t>
        </is>
      </c>
      <c r="X31" s="371" t="inlineStr">
        <is>
          <t>L001-901640009</t>
        </is>
      </c>
      <c r="Y31" s="371" t="inlineStr">
        <is>
          <t>ហូលីដេ ឌីហ្សាញ (ខេមបូឌា) ឯ.ក</t>
        </is>
      </c>
      <c r="Z31" s="373" t="n">
        <v>66974</v>
      </c>
      <c r="AA31" s="373" t="n">
        <v>60885</v>
      </c>
      <c r="AB31" s="371" t="n">
        <v>0</v>
      </c>
      <c r="AC31" s="371" t="inlineStr">
        <is>
          <t>-</t>
        </is>
      </c>
      <c r="AD31" s="373" t="n">
        <v>6089</v>
      </c>
      <c r="AE31" s="371" t="n">
        <v>0</v>
      </c>
      <c r="AF31" s="625" t="n">
        <v>0</v>
      </c>
      <c r="AG31" s="205" t="n">
        <v>0</v>
      </c>
      <c r="AH31" s="205" t="n">
        <v>0</v>
      </c>
      <c r="AI31" s="205" t="n">
        <v>0</v>
      </c>
      <c r="AJ31" s="205" t="n">
        <v>0</v>
      </c>
      <c r="AK31" s="205" t="n">
        <v>0</v>
      </c>
      <c r="AL31" s="205" t="n">
        <v>0.01</v>
      </c>
      <c r="AM31" s="205" t="n">
        <v>0</v>
      </c>
      <c r="AN31" s="205" t="inlineStr">
        <is>
          <t>Local Charge</t>
        </is>
      </c>
    </row>
    <row r="32">
      <c r="A32" s="222">
        <f>A31+1</f>
        <v/>
      </c>
      <c r="B32" s="224" t="inlineStr">
        <is>
          <t>Terminal Handling</t>
        </is>
      </c>
      <c r="C32" s="224" t="inlineStr">
        <is>
          <t>EXPEDITORS CAMBODIA LTD.</t>
        </is>
      </c>
      <c r="D32" s="225" t="inlineStr">
        <is>
          <t>L001-100045898</t>
        </is>
      </c>
      <c r="E32" s="359" t="inlineStr">
        <is>
          <t>TI-0295873</t>
        </is>
      </c>
      <c r="F32" s="338" t="n">
        <v>45602</v>
      </c>
      <c r="G32" s="226" t="n"/>
      <c r="H32" s="627" t="n"/>
      <c r="I32" s="627" t="n">
        <v>4064</v>
      </c>
      <c r="J32" s="223" t="inlineStr">
        <is>
          <t>អនុញ្ញាត (បានប្រកាស)</t>
        </is>
      </c>
      <c r="K32" s="223" t="n"/>
      <c r="L32" s="626">
        <f>I32</f>
        <v/>
      </c>
      <c r="M32" s="598">
        <f>I32-L32</f>
        <v/>
      </c>
      <c r="N32" s="223" t="n"/>
      <c r="O32" s="228">
        <f>U32=E32</f>
        <v/>
      </c>
      <c r="P32" s="228">
        <f>MONTH(F32)-MONTH(T32)</f>
        <v/>
      </c>
      <c r="Q32" s="228">
        <f>$B$5=X32</f>
        <v/>
      </c>
      <c r="R32" s="228">
        <f>I32-AD32</f>
        <v/>
      </c>
      <c r="S32" s="371" t="n"/>
      <c r="T32" s="372" t="n">
        <v>45602</v>
      </c>
      <c r="U32" s="371" t="inlineStr">
        <is>
          <t>TI-0295873</t>
        </is>
      </c>
      <c r="V32" s="371" t="n">
        <v>0</v>
      </c>
      <c r="W32" s="371" t="inlineStr">
        <is>
          <t>បុគ្គលជាប់អាករ</t>
        </is>
      </c>
      <c r="X32" s="371" t="inlineStr">
        <is>
          <t>L001-901640009</t>
        </is>
      </c>
      <c r="Y32" s="371" t="inlineStr">
        <is>
          <t>ហូលីដេ ឌីហ្សាញ (ខេមបូឌា) ឯ.ក</t>
        </is>
      </c>
      <c r="Z32" s="373" t="n">
        <v>44704</v>
      </c>
      <c r="AA32" s="373" t="n">
        <v>40640</v>
      </c>
      <c r="AB32" s="371" t="n">
        <v>0</v>
      </c>
      <c r="AC32" s="371" t="inlineStr">
        <is>
          <t>-</t>
        </is>
      </c>
      <c r="AD32" s="373" t="n">
        <v>4064</v>
      </c>
      <c r="AE32" s="371" t="n">
        <v>0</v>
      </c>
      <c r="AF32" s="625" t="n">
        <v>0</v>
      </c>
      <c r="AG32" s="205" t="n">
        <v>0</v>
      </c>
      <c r="AH32" s="205" t="n">
        <v>0</v>
      </c>
      <c r="AI32" s="205" t="n">
        <v>0</v>
      </c>
      <c r="AJ32" s="205" t="n">
        <v>0</v>
      </c>
      <c r="AK32" s="205" t="n">
        <v>0</v>
      </c>
      <c r="AL32" s="205" t="n">
        <v>0.01</v>
      </c>
      <c r="AM32" s="205" t="n">
        <v>0</v>
      </c>
      <c r="AN32" s="205" t="inlineStr">
        <is>
          <t>Local Charge</t>
        </is>
      </c>
    </row>
    <row r="33">
      <c r="A33" s="222">
        <f>A32+1</f>
        <v/>
      </c>
      <c r="B33" s="224" t="inlineStr">
        <is>
          <t>Terminal Handling</t>
        </is>
      </c>
      <c r="C33" s="224" t="inlineStr">
        <is>
          <t>EXPEDITORS CAMBODIA LTD.</t>
        </is>
      </c>
      <c r="D33" s="225" t="inlineStr">
        <is>
          <t>L001-100045898</t>
        </is>
      </c>
      <c r="E33" s="359" t="inlineStr">
        <is>
          <t>TI-0295880</t>
        </is>
      </c>
      <c r="F33" s="338" t="n">
        <v>45602</v>
      </c>
      <c r="G33" s="226" t="n"/>
      <c r="H33" s="627" t="n"/>
      <c r="I33" s="627" t="n">
        <v>6096</v>
      </c>
      <c r="J33" s="223" t="inlineStr">
        <is>
          <t>អនុញ្ញាត (បានប្រកាស)</t>
        </is>
      </c>
      <c r="K33" s="223" t="n"/>
      <c r="L33" s="626">
        <f>I33</f>
        <v/>
      </c>
      <c r="M33" s="598">
        <f>I33-L33</f>
        <v/>
      </c>
      <c r="N33" s="223" t="n"/>
      <c r="O33" s="228">
        <f>U33=E33</f>
        <v/>
      </c>
      <c r="P33" s="228">
        <f>MONTH(F33)-MONTH(T33)</f>
        <v/>
      </c>
      <c r="Q33" s="228">
        <f>$B$5=X33</f>
        <v/>
      </c>
      <c r="R33" s="228">
        <f>I33-AD33</f>
        <v/>
      </c>
      <c r="S33" s="371" t="n"/>
      <c r="T33" s="372" t="n">
        <v>45602</v>
      </c>
      <c r="U33" s="371" t="inlineStr">
        <is>
          <t>TI-0295880</t>
        </is>
      </c>
      <c r="V33" s="371" t="n">
        <v>0</v>
      </c>
      <c r="W33" s="371" t="inlineStr">
        <is>
          <t>បុគ្គលជាប់អាករ</t>
        </is>
      </c>
      <c r="X33" s="371" t="inlineStr">
        <is>
          <t>L001-901640009</t>
        </is>
      </c>
      <c r="Y33" s="371" t="inlineStr">
        <is>
          <t>ហូលីដេ ឌីហ្សាញ (ខេមបូឌា) ឯ.ក</t>
        </is>
      </c>
      <c r="Z33" s="373" t="n">
        <v>67056</v>
      </c>
      <c r="AA33" s="373" t="n">
        <v>60960</v>
      </c>
      <c r="AB33" s="371" t="n">
        <v>0</v>
      </c>
      <c r="AC33" s="371" t="inlineStr">
        <is>
          <t>-</t>
        </is>
      </c>
      <c r="AD33" s="373" t="n">
        <v>6096</v>
      </c>
      <c r="AE33" s="371" t="n">
        <v>0</v>
      </c>
      <c r="AF33" s="625" t="n">
        <v>0</v>
      </c>
      <c r="AG33" s="205" t="n">
        <v>0</v>
      </c>
      <c r="AH33" s="205" t="n">
        <v>0</v>
      </c>
      <c r="AI33" s="205" t="n">
        <v>0</v>
      </c>
      <c r="AJ33" s="205" t="n">
        <v>0</v>
      </c>
      <c r="AK33" s="205" t="n">
        <v>0</v>
      </c>
      <c r="AL33" s="205" t="n">
        <v>0.01</v>
      </c>
      <c r="AM33" s="205" t="n">
        <v>0</v>
      </c>
      <c r="AN33" s="205" t="inlineStr">
        <is>
          <t>Local Charge</t>
        </is>
      </c>
    </row>
    <row r="34">
      <c r="A34" s="222">
        <f>A33+1</f>
        <v/>
      </c>
      <c r="B34" s="224" t="inlineStr">
        <is>
          <t>Terminal Handling</t>
        </is>
      </c>
      <c r="C34" s="224" t="inlineStr">
        <is>
          <t>EXPEDITORS CAMBODIA LTD.</t>
        </is>
      </c>
      <c r="D34" s="225" t="inlineStr">
        <is>
          <t>L001-100045898</t>
        </is>
      </c>
      <c r="E34" s="359" t="inlineStr">
        <is>
          <t>TI-0295882</t>
        </is>
      </c>
      <c r="F34" s="338" t="n">
        <v>45602</v>
      </c>
      <c r="G34" s="226" t="n"/>
      <c r="H34" s="627" t="n"/>
      <c r="I34" s="627" t="n">
        <v>8128</v>
      </c>
      <c r="J34" s="223" t="inlineStr">
        <is>
          <t>អនុញ្ញាត (បានប្រកាស)</t>
        </is>
      </c>
      <c r="K34" s="223" t="n"/>
      <c r="L34" s="626">
        <f>I34</f>
        <v/>
      </c>
      <c r="M34" s="598">
        <f>I34-L34</f>
        <v/>
      </c>
      <c r="N34" s="223" t="n"/>
      <c r="O34" s="228">
        <f>U34=E34</f>
        <v/>
      </c>
      <c r="P34" s="228">
        <f>MONTH(F34)-MONTH(T34)</f>
        <v/>
      </c>
      <c r="Q34" s="228">
        <f>$B$5=X34</f>
        <v/>
      </c>
      <c r="R34" s="228">
        <f>I34-AD34</f>
        <v/>
      </c>
      <c r="S34" s="371" t="n"/>
      <c r="T34" s="372" t="n">
        <v>45602</v>
      </c>
      <c r="U34" s="371" t="inlineStr">
        <is>
          <t>TI-0295882</t>
        </is>
      </c>
      <c r="V34" s="371" t="n">
        <v>0</v>
      </c>
      <c r="W34" s="371" t="inlineStr">
        <is>
          <t>បុគ្គលជាប់អាករ</t>
        </is>
      </c>
      <c r="X34" s="371" t="inlineStr">
        <is>
          <t>L001-901640009</t>
        </is>
      </c>
      <c r="Y34" s="371" t="inlineStr">
        <is>
          <t>ហូលីដេ ឌីហ្សាញ (ខេមបូឌា) ឯ.ក</t>
        </is>
      </c>
      <c r="Z34" s="373" t="n">
        <v>89408</v>
      </c>
      <c r="AA34" s="373" t="n">
        <v>81280</v>
      </c>
      <c r="AB34" s="371" t="n">
        <v>0</v>
      </c>
      <c r="AC34" s="371" t="inlineStr">
        <is>
          <t>-</t>
        </is>
      </c>
      <c r="AD34" s="373" t="n">
        <v>8128</v>
      </c>
      <c r="AE34" s="371" t="n">
        <v>0</v>
      </c>
      <c r="AF34" s="625" t="n">
        <v>0</v>
      </c>
      <c r="AG34" s="205" t="n">
        <v>0</v>
      </c>
      <c r="AH34" s="205" t="n">
        <v>0</v>
      </c>
      <c r="AI34" s="205" t="n">
        <v>0</v>
      </c>
      <c r="AJ34" s="205" t="n">
        <v>0</v>
      </c>
      <c r="AK34" s="205" t="n">
        <v>0</v>
      </c>
      <c r="AL34" s="205" t="n">
        <v>0.01</v>
      </c>
      <c r="AM34" s="205" t="n">
        <v>0</v>
      </c>
      <c r="AN34" s="205" t="inlineStr">
        <is>
          <t>Local Charge</t>
        </is>
      </c>
    </row>
    <row r="35">
      <c r="A35" s="222">
        <f>A34+1</f>
        <v/>
      </c>
      <c r="B35" s="224" t="inlineStr">
        <is>
          <t>Terminal Handling</t>
        </is>
      </c>
      <c r="C35" s="224" t="inlineStr">
        <is>
          <t>EXPEDITORS CAMBODIA LTD.</t>
        </is>
      </c>
      <c r="D35" s="225" t="inlineStr">
        <is>
          <t>L001-100045898</t>
        </is>
      </c>
      <c r="E35" s="359" t="inlineStr">
        <is>
          <t>TI-0295883</t>
        </is>
      </c>
      <c r="F35" s="338" t="n">
        <v>45602</v>
      </c>
      <c r="G35" s="226" t="n"/>
      <c r="H35" s="627" t="n"/>
      <c r="I35" s="627" t="n">
        <v>6096</v>
      </c>
      <c r="J35" s="223" t="inlineStr">
        <is>
          <t>អនុញ្ញាត (បានប្រកាស)</t>
        </is>
      </c>
      <c r="K35" s="223" t="n"/>
      <c r="L35" s="626">
        <f>I35</f>
        <v/>
      </c>
      <c r="M35" s="598">
        <f>I35-L35</f>
        <v/>
      </c>
      <c r="N35" s="223" t="n"/>
      <c r="O35" s="228">
        <f>U35=E35</f>
        <v/>
      </c>
      <c r="P35" s="228">
        <f>MONTH(F35)-MONTH(T35)</f>
        <v/>
      </c>
      <c r="Q35" s="228">
        <f>$B$5=X35</f>
        <v/>
      </c>
      <c r="R35" s="228">
        <f>I35-AD35</f>
        <v/>
      </c>
      <c r="S35" s="371" t="n"/>
      <c r="T35" s="372" t="n">
        <v>45602</v>
      </c>
      <c r="U35" s="371" t="inlineStr">
        <is>
          <t>TI-0295883</t>
        </is>
      </c>
      <c r="V35" s="371" t="n">
        <v>0</v>
      </c>
      <c r="W35" s="371" t="inlineStr">
        <is>
          <t>បុគ្គលជាប់អាករ</t>
        </is>
      </c>
      <c r="X35" s="371" t="inlineStr">
        <is>
          <t>L001-901640009</t>
        </is>
      </c>
      <c r="Y35" s="371" t="inlineStr">
        <is>
          <t>ហូលីដេ ឌីហ្សាញ (ខេមបូឌា) ឯ.ក</t>
        </is>
      </c>
      <c r="Z35" s="373" t="n">
        <v>67056</v>
      </c>
      <c r="AA35" s="373" t="n">
        <v>60960</v>
      </c>
      <c r="AB35" s="371" t="n">
        <v>0</v>
      </c>
      <c r="AC35" s="371" t="inlineStr">
        <is>
          <t>-</t>
        </is>
      </c>
      <c r="AD35" s="373" t="n">
        <v>6096</v>
      </c>
      <c r="AE35" s="371" t="n">
        <v>0</v>
      </c>
      <c r="AF35" s="625" t="n">
        <v>0</v>
      </c>
      <c r="AG35" s="205" t="n">
        <v>0</v>
      </c>
      <c r="AH35" s="205" t="n">
        <v>0</v>
      </c>
      <c r="AI35" s="205" t="n">
        <v>0</v>
      </c>
      <c r="AJ35" s="205" t="n">
        <v>0</v>
      </c>
      <c r="AK35" s="205" t="n">
        <v>0</v>
      </c>
      <c r="AL35" s="205" t="n">
        <v>0.01</v>
      </c>
      <c r="AM35" s="205" t="n">
        <v>0</v>
      </c>
      <c r="AN35" s="205" t="inlineStr">
        <is>
          <t>Local Charge</t>
        </is>
      </c>
    </row>
    <row r="36">
      <c r="A36" s="222">
        <f>A35+1</f>
        <v/>
      </c>
      <c r="B36" s="224" t="inlineStr">
        <is>
          <t>Terminal Handling</t>
        </is>
      </c>
      <c r="C36" s="224" t="inlineStr">
        <is>
          <t>EXPEDITORS CAMBODIA LTD.</t>
        </is>
      </c>
      <c r="D36" s="225" t="inlineStr">
        <is>
          <t>L001-100045898</t>
        </is>
      </c>
      <c r="E36" s="359" t="inlineStr">
        <is>
          <t>TI-0295884</t>
        </is>
      </c>
      <c r="F36" s="338" t="n">
        <v>45602</v>
      </c>
      <c r="G36" s="226" t="n"/>
      <c r="H36" s="627" t="n"/>
      <c r="I36" s="627" t="n">
        <v>2032</v>
      </c>
      <c r="J36" s="223" t="inlineStr">
        <is>
          <t>អនុញ្ញាត (បានប្រកាស)</t>
        </is>
      </c>
      <c r="K36" s="223" t="n"/>
      <c r="L36" s="626">
        <f>I36</f>
        <v/>
      </c>
      <c r="M36" s="598">
        <f>I36-L36</f>
        <v/>
      </c>
      <c r="N36" s="223" t="n"/>
      <c r="O36" s="228">
        <f>U36=E36</f>
        <v/>
      </c>
      <c r="P36" s="228">
        <f>MONTH(F36)-MONTH(T36)</f>
        <v/>
      </c>
      <c r="Q36" s="228">
        <f>$B$5=X36</f>
        <v/>
      </c>
      <c r="R36" s="228">
        <f>I36-AD36</f>
        <v/>
      </c>
      <c r="S36" s="371" t="n"/>
      <c r="T36" s="372" t="n">
        <v>45602</v>
      </c>
      <c r="U36" s="371" t="inlineStr">
        <is>
          <t>TI-0295884</t>
        </is>
      </c>
      <c r="V36" s="371" t="n">
        <v>0</v>
      </c>
      <c r="W36" s="371" t="inlineStr">
        <is>
          <t>បុគ្គលជាប់អាករ</t>
        </is>
      </c>
      <c r="X36" s="371" t="inlineStr">
        <is>
          <t>L001-901640009</t>
        </is>
      </c>
      <c r="Y36" s="371" t="inlineStr">
        <is>
          <t>ហូលីដេ ឌីហ្សាញ (ខេមបូឌា) ឯ.ក</t>
        </is>
      </c>
      <c r="Z36" s="373" t="n">
        <v>22352</v>
      </c>
      <c r="AA36" s="373" t="n">
        <v>20320</v>
      </c>
      <c r="AB36" s="371" t="n">
        <v>0</v>
      </c>
      <c r="AC36" s="371" t="inlineStr">
        <is>
          <t>-</t>
        </is>
      </c>
      <c r="AD36" s="373" t="n">
        <v>2032</v>
      </c>
      <c r="AE36" s="371" t="n">
        <v>0</v>
      </c>
      <c r="AF36" s="625" t="n">
        <v>0</v>
      </c>
      <c r="AG36" s="205" t="n">
        <v>0</v>
      </c>
      <c r="AH36" s="205" t="n">
        <v>0</v>
      </c>
      <c r="AI36" s="205" t="n">
        <v>0</v>
      </c>
      <c r="AJ36" s="205" t="n">
        <v>0</v>
      </c>
      <c r="AK36" s="205" t="n">
        <v>0</v>
      </c>
      <c r="AL36" s="205" t="n">
        <v>0.01</v>
      </c>
      <c r="AM36" s="205" t="n">
        <v>0</v>
      </c>
      <c r="AN36" s="205" t="inlineStr">
        <is>
          <t>Local Charge</t>
        </is>
      </c>
    </row>
    <row r="37">
      <c r="A37" s="222">
        <f>A36+1</f>
        <v/>
      </c>
      <c r="B37" s="224" t="inlineStr">
        <is>
          <t>Terminal Handling</t>
        </is>
      </c>
      <c r="C37" s="224" t="inlineStr">
        <is>
          <t>EXPEDITORS CAMBODIA LTD.</t>
        </is>
      </c>
      <c r="D37" s="225" t="inlineStr">
        <is>
          <t>L001-100045898</t>
        </is>
      </c>
      <c r="E37" s="359" t="inlineStr">
        <is>
          <t>TI-0295886</t>
        </is>
      </c>
      <c r="F37" s="338" t="n">
        <v>45602</v>
      </c>
      <c r="G37" s="226" t="n"/>
      <c r="H37" s="627" t="n"/>
      <c r="I37" s="627" t="n">
        <v>2032</v>
      </c>
      <c r="J37" s="223" t="inlineStr">
        <is>
          <t>អនុញ្ញាត (បានប្រកាស)</t>
        </is>
      </c>
      <c r="K37" s="223" t="n"/>
      <c r="L37" s="626">
        <f>I37</f>
        <v/>
      </c>
      <c r="M37" s="598">
        <f>I37-L37</f>
        <v/>
      </c>
      <c r="N37" s="223" t="n"/>
      <c r="O37" s="228">
        <f>U37=E37</f>
        <v/>
      </c>
      <c r="P37" s="228">
        <f>MONTH(F37)-MONTH(T37)</f>
        <v/>
      </c>
      <c r="Q37" s="228">
        <f>$B$5=X37</f>
        <v/>
      </c>
      <c r="R37" s="228">
        <f>I37-AD37</f>
        <v/>
      </c>
      <c r="S37" s="371" t="n"/>
      <c r="T37" s="372" t="n">
        <v>45602</v>
      </c>
      <c r="U37" s="371" t="inlineStr">
        <is>
          <t>TI-0295886</t>
        </is>
      </c>
      <c r="V37" s="371" t="n">
        <v>0</v>
      </c>
      <c r="W37" s="371" t="inlineStr">
        <is>
          <t>បុគ្គលជាប់អាករ</t>
        </is>
      </c>
      <c r="X37" s="371" t="inlineStr">
        <is>
          <t>L001-901640009</t>
        </is>
      </c>
      <c r="Y37" s="371" t="inlineStr">
        <is>
          <t>ហូលីដេ ឌីហ្សាញ (ខេមបូឌា) ឯ.ក</t>
        </is>
      </c>
      <c r="Z37" s="373" t="n">
        <v>22352</v>
      </c>
      <c r="AA37" s="373" t="n">
        <v>20320</v>
      </c>
      <c r="AB37" s="371" t="n">
        <v>0</v>
      </c>
      <c r="AC37" s="371" t="inlineStr">
        <is>
          <t>-</t>
        </is>
      </c>
      <c r="AD37" s="373" t="n">
        <v>2032</v>
      </c>
      <c r="AE37" s="371" t="n">
        <v>0</v>
      </c>
      <c r="AF37" s="625" t="n">
        <v>0</v>
      </c>
      <c r="AG37" s="205" t="n">
        <v>0</v>
      </c>
      <c r="AH37" s="205" t="n">
        <v>0</v>
      </c>
      <c r="AI37" s="205" t="n">
        <v>0</v>
      </c>
      <c r="AJ37" s="205" t="n">
        <v>0</v>
      </c>
      <c r="AK37" s="205" t="n">
        <v>0</v>
      </c>
      <c r="AL37" s="205" t="n">
        <v>0.01</v>
      </c>
      <c r="AM37" s="205" t="n">
        <v>0</v>
      </c>
      <c r="AN37" s="205" t="inlineStr">
        <is>
          <t>Local Charge</t>
        </is>
      </c>
    </row>
    <row r="38">
      <c r="A38" s="222">
        <f>A37+1</f>
        <v/>
      </c>
      <c r="B38" s="224" t="inlineStr">
        <is>
          <t>Terminal Handling</t>
        </is>
      </c>
      <c r="C38" s="224" t="inlineStr">
        <is>
          <t>EXPEDITORS CAMBODIA LTD.</t>
        </is>
      </c>
      <c r="D38" s="225" t="inlineStr">
        <is>
          <t>L001-100045898</t>
        </is>
      </c>
      <c r="E38" s="359" t="inlineStr">
        <is>
          <t>TI-0295887</t>
        </is>
      </c>
      <c r="F38" s="338" t="n">
        <v>45602</v>
      </c>
      <c r="G38" s="226" t="n"/>
      <c r="H38" s="627" t="n"/>
      <c r="I38" s="627" t="n">
        <v>8128</v>
      </c>
      <c r="J38" s="223" t="inlineStr">
        <is>
          <t>អនុញ្ញាត (បានប្រកាស)</t>
        </is>
      </c>
      <c r="K38" s="223" t="n"/>
      <c r="L38" s="626">
        <f>I38</f>
        <v/>
      </c>
      <c r="M38" s="598">
        <f>I38-L38</f>
        <v/>
      </c>
      <c r="N38" s="223" t="n"/>
      <c r="O38" s="228">
        <f>U38=E38</f>
        <v/>
      </c>
      <c r="P38" s="228">
        <f>MONTH(F38)-MONTH(T38)</f>
        <v/>
      </c>
      <c r="Q38" s="228">
        <f>$B$5=X38</f>
        <v/>
      </c>
      <c r="R38" s="228">
        <f>I38-AD38</f>
        <v/>
      </c>
      <c r="S38" s="371" t="n"/>
      <c r="T38" s="372" t="n">
        <v>45602</v>
      </c>
      <c r="U38" s="371" t="inlineStr">
        <is>
          <t>TI-0295887</t>
        </is>
      </c>
      <c r="V38" s="371" t="n">
        <v>0</v>
      </c>
      <c r="W38" s="371" t="inlineStr">
        <is>
          <t>បុគ្គលជាប់អាករ</t>
        </is>
      </c>
      <c r="X38" s="371" t="inlineStr">
        <is>
          <t>L001-901640009</t>
        </is>
      </c>
      <c r="Y38" s="371" t="inlineStr">
        <is>
          <t>ហូលីដេ ឌីហ្សាញ (ខេមបូឌា) ឯ.ក</t>
        </is>
      </c>
      <c r="Z38" s="373" t="n">
        <v>89408</v>
      </c>
      <c r="AA38" s="373" t="n">
        <v>81280</v>
      </c>
      <c r="AB38" s="371" t="n">
        <v>0</v>
      </c>
      <c r="AC38" s="371" t="inlineStr">
        <is>
          <t>-</t>
        </is>
      </c>
      <c r="AD38" s="373" t="n">
        <v>8128</v>
      </c>
      <c r="AE38" s="371" t="n">
        <v>0</v>
      </c>
      <c r="AF38" s="625" t="n">
        <v>0</v>
      </c>
      <c r="AG38" s="205" t="n">
        <v>0</v>
      </c>
      <c r="AH38" s="205" t="n">
        <v>0</v>
      </c>
      <c r="AI38" s="205" t="n">
        <v>0</v>
      </c>
      <c r="AJ38" s="205" t="n">
        <v>0</v>
      </c>
      <c r="AK38" s="205" t="n">
        <v>0</v>
      </c>
      <c r="AL38" s="205" t="n">
        <v>0.01</v>
      </c>
      <c r="AM38" s="205" t="n">
        <v>0</v>
      </c>
      <c r="AN38" s="205" t="inlineStr">
        <is>
          <t>Local Charge</t>
        </is>
      </c>
    </row>
    <row r="39">
      <c r="A39" s="222">
        <f>A38+1</f>
        <v/>
      </c>
      <c r="B39" s="224" t="inlineStr">
        <is>
          <t>Terminal Handling</t>
        </is>
      </c>
      <c r="C39" s="224" t="inlineStr">
        <is>
          <t>EXPEDITORS CAMBODIA LTD.</t>
        </is>
      </c>
      <c r="D39" s="225" t="inlineStr">
        <is>
          <t>L001-100045898</t>
        </is>
      </c>
      <c r="E39" s="359" t="inlineStr">
        <is>
          <t>TI-0295888</t>
        </is>
      </c>
      <c r="F39" s="338" t="n">
        <v>45602</v>
      </c>
      <c r="G39" s="226" t="n"/>
      <c r="H39" s="627" t="n"/>
      <c r="I39" s="627" t="n">
        <v>2032</v>
      </c>
      <c r="J39" s="223" t="inlineStr">
        <is>
          <t>អនុញ្ញាត (បានប្រកាស)</t>
        </is>
      </c>
      <c r="K39" s="223" t="n"/>
      <c r="L39" s="626">
        <f>I39</f>
        <v/>
      </c>
      <c r="M39" s="598">
        <f>I39-L39</f>
        <v/>
      </c>
      <c r="N39" s="223" t="n"/>
      <c r="O39" s="228">
        <f>U39=E39</f>
        <v/>
      </c>
      <c r="P39" s="228">
        <f>MONTH(F39)-MONTH(T39)</f>
        <v/>
      </c>
      <c r="Q39" s="228">
        <f>$B$5=X39</f>
        <v/>
      </c>
      <c r="R39" s="228">
        <f>I39-AD39</f>
        <v/>
      </c>
      <c r="S39" s="371" t="n"/>
      <c r="T39" s="372" t="n">
        <v>45602</v>
      </c>
      <c r="U39" s="371" t="inlineStr">
        <is>
          <t>TI-0295888</t>
        </is>
      </c>
      <c r="V39" s="371" t="n">
        <v>0</v>
      </c>
      <c r="W39" s="371" t="inlineStr">
        <is>
          <t>បុគ្គលជាប់អាករ</t>
        </is>
      </c>
      <c r="X39" s="371" t="inlineStr">
        <is>
          <t>L001-901640009</t>
        </is>
      </c>
      <c r="Y39" s="371" t="inlineStr">
        <is>
          <t>ហូលីដេ ឌីហ្សាញ (ខេមបូឌា) ឯ.ក</t>
        </is>
      </c>
      <c r="Z39" s="373" t="n">
        <v>22352</v>
      </c>
      <c r="AA39" s="373" t="n">
        <v>20320</v>
      </c>
      <c r="AB39" s="371" t="n">
        <v>0</v>
      </c>
      <c r="AC39" s="371" t="inlineStr">
        <is>
          <t>-</t>
        </is>
      </c>
      <c r="AD39" s="373" t="n">
        <v>2032</v>
      </c>
      <c r="AE39" s="371" t="n">
        <v>0</v>
      </c>
      <c r="AF39" s="625" t="n">
        <v>0</v>
      </c>
      <c r="AG39" s="205" t="n">
        <v>0</v>
      </c>
      <c r="AH39" s="205" t="n">
        <v>0</v>
      </c>
      <c r="AI39" s="205" t="n">
        <v>0</v>
      </c>
      <c r="AJ39" s="205" t="n">
        <v>0</v>
      </c>
      <c r="AK39" s="205" t="n">
        <v>0</v>
      </c>
      <c r="AL39" s="205" t="n">
        <v>0.01</v>
      </c>
      <c r="AM39" s="205" t="n">
        <v>0</v>
      </c>
      <c r="AN39" s="205" t="inlineStr">
        <is>
          <t>Local Charge</t>
        </is>
      </c>
    </row>
    <row r="40">
      <c r="A40" s="222">
        <f>A39+1</f>
        <v/>
      </c>
      <c r="B40" s="224" t="inlineStr">
        <is>
          <t>Terminal Handling</t>
        </is>
      </c>
      <c r="C40" s="224" t="inlineStr">
        <is>
          <t>EXPEDITORS CAMBODIA LTD.</t>
        </is>
      </c>
      <c r="D40" s="225" t="inlineStr">
        <is>
          <t>L001-100045898</t>
        </is>
      </c>
      <c r="E40" s="359" t="inlineStr">
        <is>
          <t>TI-0295890</t>
        </is>
      </c>
      <c r="F40" s="338" t="n">
        <v>45602</v>
      </c>
      <c r="G40" s="226" t="n"/>
      <c r="H40" s="627" t="n"/>
      <c r="I40" s="627" t="n">
        <v>4064</v>
      </c>
      <c r="J40" s="223" t="inlineStr">
        <is>
          <t>អនុញ្ញាត (បានប្រកាស)</t>
        </is>
      </c>
      <c r="K40" s="223" t="n"/>
      <c r="L40" s="626">
        <f>I40</f>
        <v/>
      </c>
      <c r="M40" s="598">
        <f>I40-L40</f>
        <v/>
      </c>
      <c r="N40" s="223" t="n"/>
      <c r="O40" s="228">
        <f>U40=E40</f>
        <v/>
      </c>
      <c r="P40" s="228">
        <f>MONTH(F40)-MONTH(T40)</f>
        <v/>
      </c>
      <c r="Q40" s="228">
        <f>$B$5=X40</f>
        <v/>
      </c>
      <c r="R40" s="228">
        <f>I40-AD40</f>
        <v/>
      </c>
      <c r="S40" s="371" t="n"/>
      <c r="T40" s="372" t="n">
        <v>45602</v>
      </c>
      <c r="U40" s="371" t="inlineStr">
        <is>
          <t>TI-0295890</t>
        </is>
      </c>
      <c r="V40" s="371" t="n">
        <v>0</v>
      </c>
      <c r="W40" s="371" t="inlineStr">
        <is>
          <t>បុគ្គលជាប់អាករ</t>
        </is>
      </c>
      <c r="X40" s="371" t="inlineStr">
        <is>
          <t>L001-901640009</t>
        </is>
      </c>
      <c r="Y40" s="371" t="inlineStr">
        <is>
          <t>ហូលីដេ ឌីហ្សាញ (ខេមបូឌា) ឯ.ក</t>
        </is>
      </c>
      <c r="Z40" s="373" t="n">
        <v>44704</v>
      </c>
      <c r="AA40" s="373" t="n">
        <v>40640</v>
      </c>
      <c r="AB40" s="371" t="n">
        <v>0</v>
      </c>
      <c r="AC40" s="371" t="inlineStr">
        <is>
          <t>-</t>
        </is>
      </c>
      <c r="AD40" s="373" t="n">
        <v>4064</v>
      </c>
      <c r="AE40" s="371" t="n">
        <v>0</v>
      </c>
      <c r="AF40" s="625" t="n">
        <v>0</v>
      </c>
      <c r="AG40" s="205" t="n">
        <v>0</v>
      </c>
      <c r="AH40" s="205" t="n">
        <v>0</v>
      </c>
      <c r="AI40" s="205" t="n">
        <v>0</v>
      </c>
      <c r="AJ40" s="205" t="n">
        <v>0</v>
      </c>
      <c r="AK40" s="205" t="n">
        <v>0</v>
      </c>
      <c r="AL40" s="205" t="n">
        <v>0.01</v>
      </c>
      <c r="AM40" s="205" t="n">
        <v>0</v>
      </c>
      <c r="AN40" s="205" t="inlineStr">
        <is>
          <t>Local Charge</t>
        </is>
      </c>
    </row>
    <row r="41">
      <c r="A41" s="222">
        <f>A40+1</f>
        <v/>
      </c>
      <c r="B41" s="224" t="inlineStr">
        <is>
          <t>Detention Fee</t>
        </is>
      </c>
      <c r="C41" s="224" t="inlineStr">
        <is>
          <t>EXPEDITORS CAMBODIA LTD.</t>
        </is>
      </c>
      <c r="D41" s="225" t="inlineStr">
        <is>
          <t>L001-100045898</t>
        </is>
      </c>
      <c r="E41" s="359" t="inlineStr">
        <is>
          <t>TI-0298545</t>
        </is>
      </c>
      <c r="F41" s="338" t="n">
        <v>45625</v>
      </c>
      <c r="G41" s="226" t="n"/>
      <c r="H41" s="627" t="n"/>
      <c r="I41" s="627" t="n">
        <v>72504</v>
      </c>
      <c r="J41" s="223" t="inlineStr">
        <is>
          <t>អនុញ្ញាត (បានប្រកាស)</t>
        </is>
      </c>
      <c r="K41" s="223" t="n"/>
      <c r="L41" s="626">
        <f>I41</f>
        <v/>
      </c>
      <c r="M41" s="598">
        <f>I41-L41</f>
        <v/>
      </c>
      <c r="N41" s="223" t="n"/>
      <c r="O41" s="228">
        <f>U41=E41</f>
        <v/>
      </c>
      <c r="P41" s="228">
        <f>MONTH(F41)-MONTH(T41)</f>
        <v/>
      </c>
      <c r="Q41" s="228">
        <f>$B$5=X41</f>
        <v/>
      </c>
      <c r="R41" s="228">
        <f>I41-AD41</f>
        <v/>
      </c>
      <c r="S41" s="371" t="n"/>
      <c r="T41" s="372" t="n">
        <v>45625</v>
      </c>
      <c r="U41" s="371" t="inlineStr">
        <is>
          <t>TI-0298545</t>
        </is>
      </c>
      <c r="V41" s="371" t="n">
        <v>0</v>
      </c>
      <c r="W41" s="371" t="inlineStr">
        <is>
          <t>បុគ្គលជាប់អាករ</t>
        </is>
      </c>
      <c r="X41" s="371" t="inlineStr">
        <is>
          <t>L001-901640009</t>
        </is>
      </c>
      <c r="Y41" s="371" t="inlineStr">
        <is>
          <t>ហូលីដេ ឌីហ្សាញ (ខេមបូឌា) ឯ.ក</t>
        </is>
      </c>
      <c r="Z41" s="373" t="n">
        <v>797544</v>
      </c>
      <c r="AA41" s="373" t="n">
        <v>725040</v>
      </c>
      <c r="AB41" s="371" t="n">
        <v>0</v>
      </c>
      <c r="AC41" s="371" t="inlineStr">
        <is>
          <t>-</t>
        </is>
      </c>
      <c r="AD41" s="373" t="n">
        <v>72504</v>
      </c>
      <c r="AE41" s="371" t="n">
        <v>0</v>
      </c>
      <c r="AF41" s="625" t="n">
        <v>0</v>
      </c>
      <c r="AG41" s="205" t="n">
        <v>0</v>
      </c>
      <c r="AH41" s="205" t="n">
        <v>0</v>
      </c>
      <c r="AI41" s="205" t="n">
        <v>0</v>
      </c>
      <c r="AJ41" s="205" t="n">
        <v>0</v>
      </c>
      <c r="AK41" s="205" t="n">
        <v>0</v>
      </c>
      <c r="AL41" s="205" t="n">
        <v>0.01</v>
      </c>
      <c r="AM41" s="205" t="n">
        <v>0</v>
      </c>
      <c r="AN41" s="205" t="inlineStr">
        <is>
          <t>Local Charge</t>
        </is>
      </c>
    </row>
    <row r="42">
      <c r="A42" s="222">
        <f>A41+1</f>
        <v/>
      </c>
      <c r="B42" s="224" t="inlineStr">
        <is>
          <t>Detention Fee</t>
        </is>
      </c>
      <c r="C42" s="224" t="inlineStr">
        <is>
          <t>EXPEDITORS CAMBODIA LTD.</t>
        </is>
      </c>
      <c r="D42" s="225" t="inlineStr">
        <is>
          <t>L001-100045898</t>
        </is>
      </c>
      <c r="E42" s="359" t="inlineStr">
        <is>
          <t>TI-0298546</t>
        </is>
      </c>
      <c r="F42" s="338" t="n">
        <v>45625</v>
      </c>
      <c r="G42" s="226" t="n"/>
      <c r="H42" s="627" t="n"/>
      <c r="I42" s="627" t="n">
        <v>16112</v>
      </c>
      <c r="J42" s="223" t="inlineStr">
        <is>
          <t>អនុញ្ញាត (បានប្រកាស)</t>
        </is>
      </c>
      <c r="K42" s="223" t="n"/>
      <c r="L42" s="626">
        <f>I42</f>
        <v/>
      </c>
      <c r="M42" s="598">
        <f>I42-L42</f>
        <v/>
      </c>
      <c r="N42" s="223" t="n"/>
      <c r="O42" s="228">
        <f>U42=E42</f>
        <v/>
      </c>
      <c r="P42" s="228">
        <f>MONTH(F42)-MONTH(T42)</f>
        <v/>
      </c>
      <c r="Q42" s="228">
        <f>$B$5=X42</f>
        <v/>
      </c>
      <c r="R42" s="228">
        <f>I42-AD42</f>
        <v/>
      </c>
      <c r="S42" s="371" t="n"/>
      <c r="T42" s="372" t="n">
        <v>45625</v>
      </c>
      <c r="U42" s="371" t="inlineStr">
        <is>
          <t>TI-0298546</t>
        </is>
      </c>
      <c r="V42" s="371" t="n">
        <v>0</v>
      </c>
      <c r="W42" s="371" t="inlineStr">
        <is>
          <t>បុគ្គលជាប់អាករ</t>
        </is>
      </c>
      <c r="X42" s="371" t="inlineStr">
        <is>
          <t>L001-901640009</t>
        </is>
      </c>
      <c r="Y42" s="371" t="inlineStr">
        <is>
          <t>ហូលីដេ ឌីហ្សាញ (ខេមបូឌា) ឯ.ក</t>
        </is>
      </c>
      <c r="Z42" s="373" t="n">
        <v>177232</v>
      </c>
      <c r="AA42" s="373" t="n">
        <v>161120</v>
      </c>
      <c r="AB42" s="371" t="n">
        <v>0</v>
      </c>
      <c r="AC42" s="371" t="inlineStr">
        <is>
          <t>-</t>
        </is>
      </c>
      <c r="AD42" s="373" t="n">
        <v>16112</v>
      </c>
      <c r="AE42" s="371" t="n">
        <v>0</v>
      </c>
      <c r="AF42" s="625" t="n">
        <v>0</v>
      </c>
      <c r="AG42" s="205" t="n">
        <v>0</v>
      </c>
      <c r="AH42" s="205" t="n">
        <v>0</v>
      </c>
      <c r="AI42" s="205" t="n">
        <v>0</v>
      </c>
      <c r="AJ42" s="205" t="n">
        <v>0</v>
      </c>
      <c r="AK42" s="205" t="n">
        <v>0</v>
      </c>
      <c r="AL42" s="205" t="n">
        <v>0.01</v>
      </c>
      <c r="AM42" s="205" t="n">
        <v>0</v>
      </c>
      <c r="AN42" s="205" t="inlineStr">
        <is>
          <t>Local Charge</t>
        </is>
      </c>
    </row>
    <row r="43">
      <c r="A43" s="222">
        <f>A42+1</f>
        <v/>
      </c>
      <c r="B43" s="224" t="inlineStr">
        <is>
          <t>Detention Fee</t>
        </is>
      </c>
      <c r="C43" s="224" t="inlineStr">
        <is>
          <t>EXPEDITORS CAMBODIA LTD.</t>
        </is>
      </c>
      <c r="D43" s="225" t="inlineStr">
        <is>
          <t>L001-100045898</t>
        </is>
      </c>
      <c r="E43" s="359" t="inlineStr">
        <is>
          <t>TI-0298547</t>
        </is>
      </c>
      <c r="F43" s="338" t="n">
        <v>45625</v>
      </c>
      <c r="G43" s="226" t="n"/>
      <c r="H43" s="627" t="n"/>
      <c r="I43" s="627" t="n">
        <v>8056</v>
      </c>
      <c r="J43" s="223" t="inlineStr">
        <is>
          <t>អនុញ្ញាត (បានប្រកាស)</t>
        </is>
      </c>
      <c r="K43" s="223" t="n"/>
      <c r="L43" s="626">
        <f>I43</f>
        <v/>
      </c>
      <c r="M43" s="598">
        <f>I43-L43</f>
        <v/>
      </c>
      <c r="N43" s="223" t="n"/>
      <c r="O43" s="228">
        <f>U43=E43</f>
        <v/>
      </c>
      <c r="P43" s="228">
        <f>MONTH(F43)-MONTH(T43)</f>
        <v/>
      </c>
      <c r="Q43" s="228">
        <f>$B$5=X43</f>
        <v/>
      </c>
      <c r="R43" s="228">
        <f>I43-AD43</f>
        <v/>
      </c>
      <c r="S43" s="371" t="n"/>
      <c r="T43" s="372" t="n">
        <v>45625</v>
      </c>
      <c r="U43" s="371" t="inlineStr">
        <is>
          <t>TI-0298547</t>
        </is>
      </c>
      <c r="V43" s="371" t="n">
        <v>0</v>
      </c>
      <c r="W43" s="371" t="inlineStr">
        <is>
          <t>បុគ្គលជាប់អាករ</t>
        </is>
      </c>
      <c r="X43" s="371" t="inlineStr">
        <is>
          <t>L001-901640009</t>
        </is>
      </c>
      <c r="Y43" s="371" t="inlineStr">
        <is>
          <t>ហូលីដេ ឌីហ្សាញ (ខេមបូឌា) ឯ.ក</t>
        </is>
      </c>
      <c r="Z43" s="373" t="n">
        <v>88616</v>
      </c>
      <c r="AA43" s="373" t="n">
        <v>80560</v>
      </c>
      <c r="AB43" s="371" t="n">
        <v>0</v>
      </c>
      <c r="AC43" s="371" t="inlineStr">
        <is>
          <t>-</t>
        </is>
      </c>
      <c r="AD43" s="373" t="n">
        <v>8056</v>
      </c>
      <c r="AE43" s="371" t="n">
        <v>0</v>
      </c>
      <c r="AF43" s="625" t="n">
        <v>0</v>
      </c>
      <c r="AG43" s="205" t="n">
        <v>0</v>
      </c>
      <c r="AH43" s="205" t="n">
        <v>0</v>
      </c>
      <c r="AI43" s="205" t="n">
        <v>0</v>
      </c>
      <c r="AJ43" s="205" t="n">
        <v>0</v>
      </c>
      <c r="AK43" s="205" t="n">
        <v>0</v>
      </c>
      <c r="AL43" s="205" t="n">
        <v>0.01</v>
      </c>
      <c r="AM43" s="205" t="n">
        <v>0</v>
      </c>
      <c r="AN43" s="205" t="inlineStr">
        <is>
          <t>Local Charge</t>
        </is>
      </c>
    </row>
    <row r="44">
      <c r="A44" s="222">
        <f>A43+1</f>
        <v/>
      </c>
      <c r="B44" s="224" t="inlineStr">
        <is>
          <t>Detention Fee</t>
        </is>
      </c>
      <c r="C44" s="224" t="inlineStr">
        <is>
          <t>EXPEDITORS CAMBODIA LTD.</t>
        </is>
      </c>
      <c r="D44" s="225" t="inlineStr">
        <is>
          <t>L001-100045898</t>
        </is>
      </c>
      <c r="E44" s="359" t="inlineStr">
        <is>
          <t>TI-0298543</t>
        </is>
      </c>
      <c r="F44" s="338" t="n">
        <v>45625</v>
      </c>
      <c r="G44" s="226" t="n"/>
      <c r="H44" s="627" t="n"/>
      <c r="I44" s="627" t="n">
        <v>8056</v>
      </c>
      <c r="J44" s="223" t="inlineStr">
        <is>
          <t>អនុញ្ញាត (បានប្រកាស)</t>
        </is>
      </c>
      <c r="K44" s="223" t="n"/>
      <c r="L44" s="626">
        <f>I44</f>
        <v/>
      </c>
      <c r="M44" s="598">
        <f>I44-L44</f>
        <v/>
      </c>
      <c r="N44" s="223" t="n"/>
      <c r="O44" s="228">
        <f>U44=E44</f>
        <v/>
      </c>
      <c r="P44" s="228">
        <f>MONTH(F44)-MONTH(T44)</f>
        <v/>
      </c>
      <c r="Q44" s="228">
        <f>$B$5=X44</f>
        <v/>
      </c>
      <c r="R44" s="228">
        <f>I44-AD44</f>
        <v/>
      </c>
      <c r="S44" s="371" t="n"/>
      <c r="T44" s="372" t="n">
        <v>45625</v>
      </c>
      <c r="U44" s="371" t="inlineStr">
        <is>
          <t>TI-0298543</t>
        </is>
      </c>
      <c r="V44" s="371" t="n">
        <v>0</v>
      </c>
      <c r="W44" s="371" t="inlineStr">
        <is>
          <t>បុគ្គលជាប់អាករ</t>
        </is>
      </c>
      <c r="X44" s="371" t="inlineStr">
        <is>
          <t>L001-901640009</t>
        </is>
      </c>
      <c r="Y44" s="371" t="inlineStr">
        <is>
          <t>ហូលីដេ ឌីហ្សាញ (ខេមបូឌា) ឯ.ក</t>
        </is>
      </c>
      <c r="Z44" s="373" t="n">
        <v>88616</v>
      </c>
      <c r="AA44" s="373" t="n">
        <v>80560</v>
      </c>
      <c r="AB44" s="371" t="n">
        <v>0</v>
      </c>
      <c r="AC44" s="371" t="inlineStr">
        <is>
          <t>-</t>
        </is>
      </c>
      <c r="AD44" s="373" t="n">
        <v>8056</v>
      </c>
      <c r="AE44" s="371" t="n">
        <v>0</v>
      </c>
      <c r="AF44" s="625" t="n">
        <v>0</v>
      </c>
      <c r="AG44" s="205" t="n">
        <v>0</v>
      </c>
      <c r="AH44" s="205" t="n">
        <v>0</v>
      </c>
      <c r="AI44" s="205" t="n">
        <v>0</v>
      </c>
      <c r="AJ44" s="205" t="n">
        <v>0</v>
      </c>
      <c r="AK44" s="205" t="n">
        <v>0</v>
      </c>
      <c r="AL44" s="205" t="n">
        <v>0.01</v>
      </c>
      <c r="AM44" s="205" t="n">
        <v>0</v>
      </c>
      <c r="AN44" s="205" t="inlineStr">
        <is>
          <t>Local Charge</t>
        </is>
      </c>
    </row>
    <row r="45">
      <c r="A45" s="222">
        <f>A44+1</f>
        <v/>
      </c>
      <c r="B45" s="224" t="inlineStr">
        <is>
          <t>Detention Fee</t>
        </is>
      </c>
      <c r="C45" s="224" t="inlineStr">
        <is>
          <t>EXPEDITORS CAMBODIA LTD.</t>
        </is>
      </c>
      <c r="D45" s="225" t="inlineStr">
        <is>
          <t>L001-100045898</t>
        </is>
      </c>
      <c r="E45" s="359" t="inlineStr">
        <is>
          <t>TI-0298548</t>
        </is>
      </c>
      <c r="F45" s="338" t="n">
        <v>45625</v>
      </c>
      <c r="G45" s="226" t="n"/>
      <c r="H45" s="627" t="n"/>
      <c r="I45" s="627" t="n">
        <v>16112</v>
      </c>
      <c r="J45" s="223" t="inlineStr">
        <is>
          <t>អនុញ្ញាត (បានប្រកាស)</t>
        </is>
      </c>
      <c r="K45" s="223" t="n"/>
      <c r="L45" s="626">
        <f>I45</f>
        <v/>
      </c>
      <c r="M45" s="598">
        <f>I45-L45</f>
        <v/>
      </c>
      <c r="N45" s="223" t="n"/>
      <c r="O45" s="228">
        <f>U45=E45</f>
        <v/>
      </c>
      <c r="P45" s="228">
        <f>MONTH(F45)-MONTH(T45)</f>
        <v/>
      </c>
      <c r="Q45" s="228">
        <f>$B$5=X45</f>
        <v/>
      </c>
      <c r="R45" s="228">
        <f>I45-AD45</f>
        <v/>
      </c>
      <c r="S45" s="371" t="n"/>
      <c r="T45" s="372" t="n">
        <v>45625</v>
      </c>
      <c r="U45" s="371" t="inlineStr">
        <is>
          <t>TI-0298548</t>
        </is>
      </c>
      <c r="V45" s="371" t="n">
        <v>0</v>
      </c>
      <c r="W45" s="371" t="inlineStr">
        <is>
          <t>បុគ្គលជាប់អាករ</t>
        </is>
      </c>
      <c r="X45" s="371" t="inlineStr">
        <is>
          <t>L001-901640009</t>
        </is>
      </c>
      <c r="Y45" s="371" t="inlineStr">
        <is>
          <t>ហូលីដេ ឌីហ្សាញ (ខេមបូឌា) ឯ.ក</t>
        </is>
      </c>
      <c r="Z45" s="373" t="n">
        <v>177232</v>
      </c>
      <c r="AA45" s="373" t="n">
        <v>161120</v>
      </c>
      <c r="AB45" s="371" t="n">
        <v>0</v>
      </c>
      <c r="AC45" s="371" t="inlineStr">
        <is>
          <t>-</t>
        </is>
      </c>
      <c r="AD45" s="373" t="n">
        <v>16112</v>
      </c>
      <c r="AE45" s="371" t="n">
        <v>0</v>
      </c>
      <c r="AF45" s="625" t="n">
        <v>0</v>
      </c>
      <c r="AG45" s="205" t="n">
        <v>0</v>
      </c>
      <c r="AH45" s="205" t="n">
        <v>0</v>
      </c>
      <c r="AI45" s="205" t="n">
        <v>0</v>
      </c>
      <c r="AJ45" s="205" t="n">
        <v>0</v>
      </c>
      <c r="AK45" s="205" t="n">
        <v>0</v>
      </c>
      <c r="AL45" s="205" t="n">
        <v>0.01</v>
      </c>
      <c r="AM45" s="205" t="n">
        <v>0</v>
      </c>
      <c r="AN45" s="205" t="inlineStr">
        <is>
          <t>Local Charge</t>
        </is>
      </c>
    </row>
    <row r="46">
      <c r="A46" s="222">
        <f>A45+1</f>
        <v/>
      </c>
      <c r="B46" s="224" t="inlineStr">
        <is>
          <t>Rental Building E G&amp; L</t>
        </is>
      </c>
      <c r="C46" s="224" t="inlineStr">
        <is>
          <t>JALIANKA INTERNATIONAL (CAMBODIA) CO., LTD.</t>
        </is>
      </c>
      <c r="D46" s="225" t="inlineStr">
        <is>
          <t>B105-901907504</t>
        </is>
      </c>
      <c r="E46" s="359" t="inlineStr">
        <is>
          <t>JILLANKA2501012</t>
        </is>
      </c>
      <c r="F46" s="338" t="n">
        <v>45747</v>
      </c>
      <c r="G46" s="226" t="n"/>
      <c r="H46" s="627" t="n"/>
      <c r="I46" s="627" t="n">
        <v>20489040</v>
      </c>
      <c r="J46" s="223" t="inlineStr">
        <is>
          <t>អនុញ្ញាត (បានប្រកាស)</t>
        </is>
      </c>
      <c r="K46" s="223" t="n"/>
      <c r="L46" s="626">
        <f>I46</f>
        <v/>
      </c>
      <c r="M46" s="598">
        <f>I46-L46</f>
        <v/>
      </c>
      <c r="N46" s="223" t="inlineStr">
        <is>
          <t>បានពិនិត្យវិក្កយបត្រ</t>
        </is>
      </c>
      <c r="O46" s="228">
        <f>U46=E46</f>
        <v/>
      </c>
      <c r="P46" s="228">
        <f>MONTH(F46)-MONTH(T46)</f>
        <v/>
      </c>
      <c r="Q46" s="228">
        <f>$B$5=X46</f>
        <v/>
      </c>
      <c r="R46" s="228">
        <f>I46-AD46</f>
        <v/>
      </c>
      <c r="S46" s="371" t="n"/>
      <c r="T46" s="372" t="n">
        <v>45747</v>
      </c>
      <c r="U46" s="371" t="inlineStr">
        <is>
          <t>JILLANKA2501012</t>
        </is>
      </c>
      <c r="V46" s="371" t="n">
        <v>0</v>
      </c>
      <c r="W46" s="371" t="inlineStr">
        <is>
          <t>បុគ្គលជាប់អាករ</t>
        </is>
      </c>
      <c r="X46" s="371" t="inlineStr">
        <is>
          <t>L001-901640009</t>
        </is>
      </c>
      <c r="Y46" s="371" t="inlineStr">
        <is>
          <t>ហូលីដេ ឌីហ្សាញ (ខេមបូឌា) ឯ.ក</t>
        </is>
      </c>
      <c r="Z46" s="373" t="n">
        <v>225379440</v>
      </c>
      <c r="AA46" s="373" t="n">
        <v>204890400</v>
      </c>
      <c r="AB46" s="371" t="n">
        <v>0</v>
      </c>
      <c r="AC46" s="371" t="inlineStr">
        <is>
          <t>-</t>
        </is>
      </c>
      <c r="AD46" s="373" t="n">
        <v>20489040</v>
      </c>
      <c r="AE46" s="371" t="n">
        <v>0</v>
      </c>
      <c r="AF46" s="625" t="n">
        <v>0</v>
      </c>
      <c r="AG46" s="205" t="n">
        <v>0</v>
      </c>
      <c r="AH46" s="205" t="n">
        <v>0</v>
      </c>
      <c r="AI46" s="205" t="n">
        <v>0</v>
      </c>
      <c r="AJ46" s="205" t="n">
        <v>0</v>
      </c>
      <c r="AK46" s="205" t="n">
        <v>0</v>
      </c>
      <c r="AL46" s="205" t="n">
        <v>0.01</v>
      </c>
      <c r="AM46" s="205" t="n">
        <v>0</v>
      </c>
      <c r="AN46" s="205" t="inlineStr">
        <is>
          <t>Rental Building E , G, L</t>
        </is>
      </c>
      <c r="AO46" s="205" t="inlineStr">
        <is>
          <t>បានប្រកាសនិងបង់ពន្ធ</t>
        </is>
      </c>
    </row>
    <row r="47">
      <c r="A47" s="222">
        <f>A46+1</f>
        <v/>
      </c>
      <c r="B47" s="224" t="inlineStr">
        <is>
          <t>Rental Building D &amp; F</t>
        </is>
      </c>
      <c r="C47" s="224" t="inlineStr">
        <is>
          <t>JALIANKA INTERNATIONAL (CAMBODIA) CO., LTD.</t>
        </is>
      </c>
      <c r="D47" s="225" t="inlineStr">
        <is>
          <t>B105-901907504</t>
        </is>
      </c>
      <c r="E47" s="359" t="inlineStr">
        <is>
          <t>JILLANKA2501011</t>
        </is>
      </c>
      <c r="F47" s="338" t="n">
        <v>45747</v>
      </c>
      <c r="G47" s="226" t="n"/>
      <c r="H47" s="627" t="n"/>
      <c r="I47" s="627" t="n">
        <v>12880000</v>
      </c>
      <c r="J47" s="223" t="inlineStr">
        <is>
          <t>អនុញ្ញាត (បានប្រកាស)</t>
        </is>
      </c>
      <c r="K47" s="223" t="n"/>
      <c r="L47" s="626">
        <f>I47</f>
        <v/>
      </c>
      <c r="M47" s="598">
        <f>I47-L47</f>
        <v/>
      </c>
      <c r="N47" s="223" t="inlineStr">
        <is>
          <t>បានពិនិត្យវិក្កយបត្រ</t>
        </is>
      </c>
      <c r="O47" s="228">
        <f>U47=E47</f>
        <v/>
      </c>
      <c r="P47" s="228">
        <f>MONTH(F47)-MONTH(T47)</f>
        <v/>
      </c>
      <c r="Q47" s="228">
        <f>$B$5=X47</f>
        <v/>
      </c>
      <c r="R47" s="228">
        <f>I47-AD47</f>
        <v/>
      </c>
      <c r="S47" s="371" t="n"/>
      <c r="T47" s="372" t="n">
        <v>45747</v>
      </c>
      <c r="U47" s="371" t="inlineStr">
        <is>
          <t>JILLANKA2501011</t>
        </is>
      </c>
      <c r="V47" s="371" t="n">
        <v>0</v>
      </c>
      <c r="W47" s="371" t="inlineStr">
        <is>
          <t>បុគ្គលជាប់អាករ</t>
        </is>
      </c>
      <c r="X47" s="371" t="inlineStr">
        <is>
          <t>L001-901640009</t>
        </is>
      </c>
      <c r="Y47" s="371" t="inlineStr">
        <is>
          <t>ហូលីដេ ឌីហ្សាញ (ខេមបូឌា) ឯ.ក</t>
        </is>
      </c>
      <c r="Z47" s="373" t="n">
        <v>141680000</v>
      </c>
      <c r="AA47" s="373" t="n">
        <v>128800000</v>
      </c>
      <c r="AB47" s="371" t="n">
        <v>0</v>
      </c>
      <c r="AC47" s="371" t="inlineStr">
        <is>
          <t>-</t>
        </is>
      </c>
      <c r="AD47" s="373" t="n">
        <v>12880000</v>
      </c>
      <c r="AE47" s="371" t="n">
        <v>0</v>
      </c>
      <c r="AF47" s="625" t="n">
        <v>0</v>
      </c>
      <c r="AG47" s="205" t="n">
        <v>0</v>
      </c>
      <c r="AH47" s="205" t="n">
        <v>0</v>
      </c>
      <c r="AI47" s="205" t="n">
        <v>0</v>
      </c>
      <c r="AJ47" s="205" t="n">
        <v>0</v>
      </c>
      <c r="AK47" s="205" t="n">
        <v>0</v>
      </c>
      <c r="AL47" s="205" t="n">
        <v>0.01</v>
      </c>
      <c r="AM47" s="205" t="n">
        <v>0</v>
      </c>
      <c r="AN47" s="205" t="inlineStr">
        <is>
          <t>Rental Building D , F</t>
        </is>
      </c>
      <c r="AO47" s="205" t="inlineStr">
        <is>
          <t>បានប្រកាសនិងបង់ពន្ធ</t>
        </is>
      </c>
    </row>
    <row r="48">
      <c r="A48" s="222">
        <f>A47+1</f>
        <v/>
      </c>
      <c r="B48" s="224" t="inlineStr">
        <is>
          <t>Trucking Fee-Im</t>
        </is>
      </c>
      <c r="C48" s="224" t="inlineStr">
        <is>
          <t>BRILLIANT TRANSPORT AND TRADING Co., Ltd.</t>
        </is>
      </c>
      <c r="D48" s="225" t="inlineStr">
        <is>
          <t>K002-100089305</t>
        </is>
      </c>
      <c r="E48" s="359" t="inlineStr">
        <is>
          <t>BTT24-0002376</t>
        </is>
      </c>
      <c r="F48" s="338" t="n">
        <v>45616</v>
      </c>
      <c r="G48" s="226" t="n"/>
      <c r="H48" s="627" t="n"/>
      <c r="I48" s="627" t="n">
        <v>215629</v>
      </c>
      <c r="J48" s="223" t="inlineStr">
        <is>
          <t>អនុញ្ញាត (បានប្រកាស)</t>
        </is>
      </c>
      <c r="K48" s="223" t="n"/>
      <c r="L48" s="626">
        <f>I48</f>
        <v/>
      </c>
      <c r="M48" s="598">
        <f>I48-L48</f>
        <v/>
      </c>
      <c r="N48" s="223" t="n"/>
      <c r="O48" s="228">
        <f>U48=E48</f>
        <v/>
      </c>
      <c r="P48" s="228">
        <f>MONTH(F48)-MONTH(T48)</f>
        <v/>
      </c>
      <c r="Q48" s="228">
        <f>$B$5=X48</f>
        <v/>
      </c>
      <c r="R48" s="228">
        <f>I48-AD48</f>
        <v/>
      </c>
      <c r="S48" s="371" t="n"/>
      <c r="T48" s="372" t="n">
        <v>45616</v>
      </c>
      <c r="U48" s="371" t="inlineStr">
        <is>
          <t>BTT24-0002376</t>
        </is>
      </c>
      <c r="V48" s="371" t="n">
        <v>0</v>
      </c>
      <c r="W48" s="371" t="inlineStr">
        <is>
          <t>បុគ្គលជាប់អាករ</t>
        </is>
      </c>
      <c r="X48" s="371" t="inlineStr">
        <is>
          <t>L001-901640009</t>
        </is>
      </c>
      <c r="Y48" s="371" t="inlineStr">
        <is>
          <t>ហូលីដេ ឌីហ្សាញ (ខេមបូឌា) ឯ.ក</t>
        </is>
      </c>
      <c r="Z48" s="373" t="n">
        <v>2371921</v>
      </c>
      <c r="AA48" s="373" t="n">
        <v>2156292</v>
      </c>
      <c r="AB48" s="371" t="n">
        <v>0</v>
      </c>
      <c r="AC48" s="371" t="inlineStr">
        <is>
          <t>-</t>
        </is>
      </c>
      <c r="AD48" s="373" t="n">
        <v>215629</v>
      </c>
      <c r="AE48" s="371" t="n">
        <v>0</v>
      </c>
      <c r="AF48" s="625" t="n">
        <v>0</v>
      </c>
      <c r="AG48" s="205" t="n">
        <v>0</v>
      </c>
      <c r="AH48" s="205" t="n">
        <v>0</v>
      </c>
      <c r="AI48" s="205" t="n">
        <v>0</v>
      </c>
      <c r="AJ48" s="205" t="n">
        <v>0</v>
      </c>
      <c r="AK48" s="205" t="n">
        <v>0</v>
      </c>
      <c r="AL48" s="205" t="n">
        <v>0.01</v>
      </c>
      <c r="AM48" s="205" t="n">
        <v>0</v>
      </c>
      <c r="AN48" s="205" t="inlineStr">
        <is>
          <t>Truking / Service</t>
        </is>
      </c>
    </row>
    <row r="49">
      <c r="A49" s="222">
        <f>A48+1</f>
        <v/>
      </c>
      <c r="B49" s="224" t="inlineStr">
        <is>
          <t>Rental Building E G&amp; L</t>
        </is>
      </c>
      <c r="C49" s="224" t="inlineStr">
        <is>
          <t>JALIANKA INTERNATIONAL (CAMBODIA) CO., LTD.</t>
        </is>
      </c>
      <c r="D49" s="225" t="inlineStr">
        <is>
          <t>B105-901907504</t>
        </is>
      </c>
      <c r="E49" s="359" t="inlineStr">
        <is>
          <t>JILLANKA2501016</t>
        </is>
      </c>
      <c r="F49" s="338" t="n">
        <v>45777</v>
      </c>
      <c r="G49" s="226" t="n"/>
      <c r="H49" s="627" t="n"/>
      <c r="I49" s="627" t="n">
        <v>20504407</v>
      </c>
      <c r="J49" s="223" t="inlineStr">
        <is>
          <t>អនុញ្ញាត (បានប្រកាស)</t>
        </is>
      </c>
      <c r="K49" s="223" t="n"/>
      <c r="L49" s="626">
        <f>I49</f>
        <v/>
      </c>
      <c r="M49" s="598">
        <f>I49-L49</f>
        <v/>
      </c>
      <c r="N49" s="223" t="inlineStr">
        <is>
          <t>បានពិនិត្យវិក្កយបត្រ</t>
        </is>
      </c>
      <c r="O49" s="228">
        <f>U49=E49</f>
        <v/>
      </c>
      <c r="P49" s="228">
        <f>MONTH(F49)-MONTH(T49)</f>
        <v/>
      </c>
      <c r="Q49" s="228">
        <f>$B$5=X49</f>
        <v/>
      </c>
      <c r="R49" s="228">
        <f>I49-AD49</f>
        <v/>
      </c>
      <c r="S49" s="371" t="n"/>
      <c r="T49" s="372" t="n">
        <v>45777</v>
      </c>
      <c r="U49" s="371" t="inlineStr">
        <is>
          <t>JILLANKA2501016</t>
        </is>
      </c>
      <c r="V49" s="371" t="n">
        <v>0</v>
      </c>
      <c r="W49" s="371" t="inlineStr">
        <is>
          <t>បុគ្គលជាប់អាករ</t>
        </is>
      </c>
      <c r="X49" s="371" t="inlineStr">
        <is>
          <t>L001-901640009</t>
        </is>
      </c>
      <c r="Y49" s="371" t="inlineStr">
        <is>
          <t>ហូលីដេ ឌីហ្សាញ (ខេមបូឌា) ឯ.ក</t>
        </is>
      </c>
      <c r="Z49" s="373" t="n">
        <v>225548475</v>
      </c>
      <c r="AA49" s="373" t="n">
        <v>205044068</v>
      </c>
      <c r="AB49" s="371" t="n">
        <v>0</v>
      </c>
      <c r="AC49" s="371" t="inlineStr">
        <is>
          <t>-</t>
        </is>
      </c>
      <c r="AD49" s="373" t="n">
        <v>20504407</v>
      </c>
      <c r="AE49" s="371" t="n">
        <v>0</v>
      </c>
      <c r="AF49" s="625" t="n">
        <v>0</v>
      </c>
      <c r="AG49" s="205" t="n">
        <v>0</v>
      </c>
      <c r="AH49" s="205" t="n">
        <v>0</v>
      </c>
      <c r="AI49" s="205" t="n">
        <v>0</v>
      </c>
      <c r="AJ49" s="205" t="n">
        <v>0</v>
      </c>
      <c r="AK49" s="205" t="n">
        <v>0</v>
      </c>
      <c r="AL49" s="205" t="n">
        <v>0.01</v>
      </c>
      <c r="AM49" s="205" t="n">
        <v>0</v>
      </c>
      <c r="AN49" s="205" t="inlineStr">
        <is>
          <t>Rental Building E , G, L</t>
        </is>
      </c>
      <c r="AO49" s="205" t="inlineStr">
        <is>
          <t>បានប្រកាសនិងបង់ពន្ធ</t>
        </is>
      </c>
    </row>
    <row r="50">
      <c r="A50" s="222">
        <f>A49+1</f>
        <v/>
      </c>
      <c r="B50" s="224" t="inlineStr">
        <is>
          <t>Lift-On&amp;Lift-Off</t>
        </is>
      </c>
      <c r="C50" s="224" t="inlineStr">
        <is>
          <t>Port Autonome Du Sihanoukville</t>
        </is>
      </c>
      <c r="D50" s="225" t="inlineStr">
        <is>
          <t>L001-100044638</t>
        </is>
      </c>
      <c r="E50" s="359" t="n">
        <v>240266</v>
      </c>
      <c r="F50" s="338" t="n">
        <v>45616</v>
      </c>
      <c r="G50" s="226" t="n"/>
      <c r="H50" s="627" t="n"/>
      <c r="I50" s="627" t="n">
        <v>23017</v>
      </c>
      <c r="J50" s="223" t="inlineStr">
        <is>
          <t>អនុញ្ញាត (បានប្រកាស)</t>
        </is>
      </c>
      <c r="K50" s="223" t="n"/>
      <c r="L50" s="626">
        <f>I50</f>
        <v/>
      </c>
      <c r="M50" s="598">
        <f>I50-L50</f>
        <v/>
      </c>
      <c r="N50" s="223" t="n"/>
      <c r="O50" s="228">
        <f>U50=E50</f>
        <v/>
      </c>
      <c r="P50" s="228">
        <f>MONTH(F50)-MONTH(T50)</f>
        <v/>
      </c>
      <c r="Q50" s="228">
        <f>$B$5=X50</f>
        <v/>
      </c>
      <c r="R50" s="228">
        <f>I50-AD50</f>
        <v/>
      </c>
      <c r="S50" s="371" t="n"/>
      <c r="T50" s="372" t="n">
        <v>45616</v>
      </c>
      <c r="U50" s="371" t="n">
        <v>240266</v>
      </c>
      <c r="V50" s="371" t="n">
        <v>0</v>
      </c>
      <c r="W50" s="371" t="inlineStr">
        <is>
          <t>បុគ្គលជាប់អាករ</t>
        </is>
      </c>
      <c r="X50" s="371" t="inlineStr">
        <is>
          <t>L001-901640009</t>
        </is>
      </c>
      <c r="Y50" s="371" t="inlineStr">
        <is>
          <t>ហូលីដេ ឌីហ្សាញ (ខេមបូឌា) ឯ.ក</t>
        </is>
      </c>
      <c r="Z50" s="373" t="n">
        <v>253183</v>
      </c>
      <c r="AA50" s="373" t="n">
        <v>230166</v>
      </c>
      <c r="AB50" s="371" t="n">
        <v>0</v>
      </c>
      <c r="AC50" s="371" t="inlineStr">
        <is>
          <t>-</t>
        </is>
      </c>
      <c r="AD50" s="373" t="n">
        <v>23017</v>
      </c>
      <c r="AE50" s="371" t="n"/>
      <c r="AF50" s="625" t="n"/>
    </row>
    <row r="51">
      <c r="A51" s="222">
        <f>A50+1</f>
        <v/>
      </c>
      <c r="B51" s="224" t="inlineStr">
        <is>
          <t>Rental Building D &amp; F</t>
        </is>
      </c>
      <c r="C51" s="224" t="inlineStr">
        <is>
          <t>JALIANKA INTERNATIONAL (CAMBODIA) CO., LTD.</t>
        </is>
      </c>
      <c r="D51" s="225" t="inlineStr">
        <is>
          <t>B105-901907504</t>
        </is>
      </c>
      <c r="E51" s="359" t="inlineStr">
        <is>
          <t>JILLANKA2501015</t>
        </is>
      </c>
      <c r="F51" s="338" t="n">
        <v>45777</v>
      </c>
      <c r="G51" s="226" t="n"/>
      <c r="H51" s="627" t="n"/>
      <c r="I51" s="627" t="n">
        <v>12889660</v>
      </c>
      <c r="J51" s="223" t="inlineStr">
        <is>
          <t>អនុញ្ញាត (បានប្រកាស)</t>
        </is>
      </c>
      <c r="K51" s="223" t="n"/>
      <c r="L51" s="626">
        <f>I51</f>
        <v/>
      </c>
      <c r="M51" s="598">
        <f>I51-L51</f>
        <v/>
      </c>
      <c r="N51" s="223" t="inlineStr">
        <is>
          <t>បានពិនិត្យវិក្កយបត្រ</t>
        </is>
      </c>
      <c r="O51" s="228">
        <f>U51=E51</f>
        <v/>
      </c>
      <c r="P51" s="228">
        <f>MONTH(F51)-MONTH(T51)</f>
        <v/>
      </c>
      <c r="Q51" s="228">
        <f>$B$5=X51</f>
        <v/>
      </c>
      <c r="R51" s="228">
        <f>I51-AD51</f>
        <v/>
      </c>
      <c r="S51" s="371" t="n"/>
      <c r="T51" s="372" t="n">
        <v>45777</v>
      </c>
      <c r="U51" s="371" t="inlineStr">
        <is>
          <t>JILLANKA2501015</t>
        </is>
      </c>
      <c r="V51" s="371" t="n">
        <v>0</v>
      </c>
      <c r="W51" s="371" t="inlineStr">
        <is>
          <t>បុគ្គលជាប់អាករ</t>
        </is>
      </c>
      <c r="X51" s="371" t="inlineStr">
        <is>
          <t>L001-901640009</t>
        </is>
      </c>
      <c r="Y51" s="371" t="inlineStr">
        <is>
          <t>ហូលីដេ ឌីហ្សាញ (ខេមបូឌា) ឯ.ក</t>
        </is>
      </c>
      <c r="Z51" s="373" t="n">
        <v>141786260</v>
      </c>
      <c r="AA51" s="373" t="n">
        <v>128896600</v>
      </c>
      <c r="AB51" s="371" t="n">
        <v>0</v>
      </c>
      <c r="AC51" s="371" t="inlineStr">
        <is>
          <t>-</t>
        </is>
      </c>
      <c r="AD51" s="373" t="n">
        <v>12889660</v>
      </c>
      <c r="AE51" s="371" t="n">
        <v>0</v>
      </c>
      <c r="AF51" s="625" t="n">
        <v>0</v>
      </c>
      <c r="AG51" s="205" t="n">
        <v>0</v>
      </c>
      <c r="AH51" s="205" t="n">
        <v>0</v>
      </c>
      <c r="AI51" s="205" t="n">
        <v>0</v>
      </c>
      <c r="AJ51" s="205" t="n">
        <v>0</v>
      </c>
      <c r="AK51" s="205" t="n">
        <v>0</v>
      </c>
      <c r="AL51" s="205" t="n">
        <v>0.01</v>
      </c>
      <c r="AM51" s="205" t="n">
        <v>0</v>
      </c>
      <c r="AN51" s="205" t="inlineStr">
        <is>
          <t>Rental Building D , F</t>
        </is>
      </c>
      <c r="AO51" s="205" t="inlineStr">
        <is>
          <t>បានប្រកាសនិងបង់ពន្ធ</t>
        </is>
      </c>
    </row>
    <row r="52">
      <c r="A52" s="222">
        <f>A51+1</f>
        <v/>
      </c>
      <c r="B52" s="224" t="inlineStr">
        <is>
          <t>Rental Building E G&amp; L</t>
        </is>
      </c>
      <c r="C52" s="224" t="inlineStr">
        <is>
          <t>JALIANKA INTERNATIONAL (CAMBODIA) CO., LTD.</t>
        </is>
      </c>
      <c r="D52" s="225" t="inlineStr">
        <is>
          <t>B105-901907504</t>
        </is>
      </c>
      <c r="E52" s="359" t="inlineStr">
        <is>
          <t>JILLANKA2501020</t>
        </is>
      </c>
      <c r="F52" s="338" t="n">
        <v>45808</v>
      </c>
      <c r="G52" s="226" t="n"/>
      <c r="H52" s="627" t="n"/>
      <c r="I52" s="627" t="n">
        <v>20514651</v>
      </c>
      <c r="J52" s="223" t="inlineStr">
        <is>
          <t>អនុញ្ញាត (បានប្រកាស)</t>
        </is>
      </c>
      <c r="K52" s="223" t="n"/>
      <c r="L52" s="626">
        <f>I52</f>
        <v/>
      </c>
      <c r="M52" s="598">
        <f>I52-L52</f>
        <v/>
      </c>
      <c r="N52" s="223" t="inlineStr">
        <is>
          <t>បានពិនិត្យវិក្កយបត្រ</t>
        </is>
      </c>
      <c r="O52" s="228">
        <f>U52=E52</f>
        <v/>
      </c>
      <c r="P52" s="228">
        <f>MONTH(F52)-MONTH(T52)</f>
        <v/>
      </c>
      <c r="Q52" s="228">
        <f>$B$5=X52</f>
        <v/>
      </c>
      <c r="R52" s="228">
        <f>I52-AD52</f>
        <v/>
      </c>
      <c r="S52" s="371" t="n"/>
      <c r="T52" s="372" t="n">
        <v>45808</v>
      </c>
      <c r="U52" s="371" t="inlineStr">
        <is>
          <t>JILLANKA2501020</t>
        </is>
      </c>
      <c r="V52" s="371" t="n">
        <v>0</v>
      </c>
      <c r="W52" s="371" t="inlineStr">
        <is>
          <t>បុគ្គលជាប់អាករ</t>
        </is>
      </c>
      <c r="X52" s="371" t="inlineStr">
        <is>
          <t>L001-901640009</t>
        </is>
      </c>
      <c r="Y52" s="371" t="inlineStr">
        <is>
          <t>ហូលីដេ ឌីហ្សាញ (ខេមបូឌា) ឯ.ក</t>
        </is>
      </c>
      <c r="Z52" s="373" t="n">
        <v>225661164</v>
      </c>
      <c r="AA52" s="373" t="n">
        <v>205146513</v>
      </c>
      <c r="AB52" s="371" t="n">
        <v>0</v>
      </c>
      <c r="AC52" s="371" t="inlineStr">
        <is>
          <t>-</t>
        </is>
      </c>
      <c r="AD52" s="373" t="n">
        <v>20514651</v>
      </c>
      <c r="AE52" s="371" t="n">
        <v>0</v>
      </c>
      <c r="AF52" s="625" t="n">
        <v>0</v>
      </c>
      <c r="AG52" s="205" t="n">
        <v>0</v>
      </c>
      <c r="AH52" s="205" t="n">
        <v>0</v>
      </c>
      <c r="AI52" s="205" t="n">
        <v>0</v>
      </c>
      <c r="AJ52" s="205" t="n">
        <v>0</v>
      </c>
      <c r="AK52" s="205" t="n">
        <v>0</v>
      </c>
      <c r="AL52" s="205" t="n">
        <v>0.01</v>
      </c>
      <c r="AM52" s="205" t="n">
        <v>0</v>
      </c>
      <c r="AN52" s="205" t="inlineStr">
        <is>
          <t>Rental Building E , G, L</t>
        </is>
      </c>
      <c r="AO52" s="205" t="inlineStr">
        <is>
          <t>បានប្រកាសនិងបង់ពន្ធ</t>
        </is>
      </c>
    </row>
    <row r="53">
      <c r="A53" s="222">
        <f>A52+1</f>
        <v/>
      </c>
      <c r="B53" s="224" t="inlineStr">
        <is>
          <t>Rental Building D &amp; F</t>
        </is>
      </c>
      <c r="C53" s="224" t="inlineStr">
        <is>
          <t>JALIANKA INTERNATIONAL (CAMBODIA) CO., LTD.</t>
        </is>
      </c>
      <c r="D53" s="225" t="inlineStr">
        <is>
          <t>B105-901907504</t>
        </is>
      </c>
      <c r="E53" s="359" t="inlineStr">
        <is>
          <t>JILLANKA2501019</t>
        </is>
      </c>
      <c r="F53" s="338" t="n">
        <v>45808</v>
      </c>
      <c r="G53" s="226" t="n"/>
      <c r="H53" s="627" t="n"/>
      <c r="I53" s="627" t="n">
        <v>12896100</v>
      </c>
      <c r="J53" s="223" t="inlineStr">
        <is>
          <t>អនុញ្ញាត (បានប្រកាស)</t>
        </is>
      </c>
      <c r="K53" s="223" t="n"/>
      <c r="L53" s="626">
        <f>I53</f>
        <v/>
      </c>
      <c r="M53" s="598">
        <f>I53-L53</f>
        <v/>
      </c>
      <c r="N53" s="223" t="inlineStr">
        <is>
          <t>បានពិនិត្យវិក្កយបត្រ</t>
        </is>
      </c>
      <c r="O53" s="228">
        <f>U53=E53</f>
        <v/>
      </c>
      <c r="P53" s="228">
        <f>MONTH(F53)-MONTH(T53)</f>
        <v/>
      </c>
      <c r="Q53" s="228">
        <f>$B$5=X53</f>
        <v/>
      </c>
      <c r="R53" s="228">
        <f>I53-AD53</f>
        <v/>
      </c>
      <c r="S53" s="371" t="n"/>
      <c r="T53" s="372" t="n">
        <v>45808</v>
      </c>
      <c r="U53" s="371" t="inlineStr">
        <is>
          <t>JILLANKA2501019</t>
        </is>
      </c>
      <c r="V53" s="371" t="n">
        <v>0</v>
      </c>
      <c r="W53" s="371" t="inlineStr">
        <is>
          <t>បុគ្គលជាប់អាករ</t>
        </is>
      </c>
      <c r="X53" s="371" t="inlineStr">
        <is>
          <t>L001-901640009</t>
        </is>
      </c>
      <c r="Y53" s="371" t="inlineStr">
        <is>
          <t>ហូលីដេ ឌីហ្សាញ (ខេមបូឌា) ឯ.ក</t>
        </is>
      </c>
      <c r="Z53" s="373" t="n">
        <v>141857100</v>
      </c>
      <c r="AA53" s="373" t="n">
        <v>128961000</v>
      </c>
      <c r="AB53" s="371" t="n">
        <v>0</v>
      </c>
      <c r="AC53" s="371" t="inlineStr">
        <is>
          <t>-</t>
        </is>
      </c>
      <c r="AD53" s="373" t="n">
        <v>12896100</v>
      </c>
      <c r="AE53" s="371" t="n">
        <v>0</v>
      </c>
      <c r="AF53" s="625" t="n">
        <v>0</v>
      </c>
      <c r="AG53" s="205" t="n">
        <v>0</v>
      </c>
      <c r="AH53" s="205" t="n">
        <v>0</v>
      </c>
      <c r="AI53" s="205" t="n">
        <v>0</v>
      </c>
      <c r="AJ53" s="205" t="n">
        <v>0</v>
      </c>
      <c r="AK53" s="205" t="n">
        <v>0</v>
      </c>
      <c r="AL53" s="205" t="n">
        <v>0.01</v>
      </c>
      <c r="AM53" s="205" t="n">
        <v>0</v>
      </c>
      <c r="AN53" s="205" t="inlineStr">
        <is>
          <t>Rental Building D , F</t>
        </is>
      </c>
      <c r="AO53" s="205" t="inlineStr">
        <is>
          <t>បានប្រកាសនិងបង់ពន្ធ</t>
        </is>
      </c>
    </row>
    <row r="54">
      <c r="A54" s="222">
        <f>A53+1</f>
        <v/>
      </c>
      <c r="B54" s="224" t="inlineStr">
        <is>
          <t>កាបូនឌីធុកស៊ីត (CO2)</t>
        </is>
      </c>
      <c r="C54" s="224" t="inlineStr">
        <is>
          <t>DF INDUSTRIAL GASES CO., LTD.</t>
        </is>
      </c>
      <c r="D54" s="225" t="inlineStr">
        <is>
          <t>B105-902402285</t>
        </is>
      </c>
      <c r="E54" s="359" t="inlineStr">
        <is>
          <t>DFTI-24-015</t>
        </is>
      </c>
      <c r="F54" s="338" t="n">
        <v>45625</v>
      </c>
      <c r="G54" s="226" t="n"/>
      <c r="H54" s="627" t="n"/>
      <c r="I54" s="627" t="n">
        <v>402800</v>
      </c>
      <c r="J54" s="223" t="inlineStr">
        <is>
          <t>អនុញ្ញាត (បានប្រកាស)</t>
        </is>
      </c>
      <c r="K54" s="223" t="n"/>
      <c r="L54" s="626">
        <f>I54</f>
        <v/>
      </c>
      <c r="M54" s="598">
        <f>I54-L54</f>
        <v/>
      </c>
      <c r="N54" s="223" t="n"/>
      <c r="O54" s="228">
        <f>U54=E54</f>
        <v/>
      </c>
      <c r="P54" s="228">
        <f>MONTH(F54)-MONTH(T54)</f>
        <v/>
      </c>
      <c r="Q54" s="228">
        <f>$B$5=X54</f>
        <v/>
      </c>
      <c r="R54" s="228">
        <f>I54-AD54</f>
        <v/>
      </c>
      <c r="S54" s="371" t="n"/>
      <c r="T54" s="372" t="n">
        <v>45625</v>
      </c>
      <c r="U54" s="371" t="inlineStr">
        <is>
          <t>DFTI-24-015</t>
        </is>
      </c>
      <c r="V54" s="371" t="n">
        <v>0</v>
      </c>
      <c r="W54" s="371" t="inlineStr">
        <is>
          <t>បុគ្គលជាប់អាករ</t>
        </is>
      </c>
      <c r="X54" s="371" t="inlineStr">
        <is>
          <t>L001-901640009</t>
        </is>
      </c>
      <c r="Y54" s="371" t="inlineStr">
        <is>
          <t>ហូលីដេ ឌីហ្សាញ (ខេមបូឌា) ឯ.ក</t>
        </is>
      </c>
      <c r="Z54" s="373" t="n">
        <v>4430800</v>
      </c>
      <c r="AA54" s="373" t="n">
        <v>4028000</v>
      </c>
      <c r="AB54" s="371" t="n">
        <v>0</v>
      </c>
      <c r="AC54" s="371" t="inlineStr">
        <is>
          <t>-</t>
        </is>
      </c>
      <c r="AD54" s="373" t="n">
        <v>402800</v>
      </c>
      <c r="AE54" s="371" t="n">
        <v>0</v>
      </c>
      <c r="AF54" s="625" t="n">
        <v>0</v>
      </c>
      <c r="AG54" s="205" t="n">
        <v>0</v>
      </c>
      <c r="AH54" s="205" t="n">
        <v>0</v>
      </c>
      <c r="AI54" s="205" t="n">
        <v>0</v>
      </c>
      <c r="AJ54" s="205" t="n">
        <v>0</v>
      </c>
      <c r="AK54" s="205" t="n">
        <v>0</v>
      </c>
      <c r="AL54" s="205" t="n">
        <v>0.01</v>
      </c>
      <c r="AM54" s="205" t="n">
        <v>0</v>
      </c>
      <c r="AN54" s="205" t="inlineStr">
        <is>
          <t>កាបូនឌីអុកស៊ីត (CO2)</t>
        </is>
      </c>
      <c r="AO54" s="205" t="inlineStr">
        <is>
          <t>បានប្រកាសនិងបង់ពន្ធ</t>
        </is>
      </c>
    </row>
    <row r="55">
      <c r="A55" s="222">
        <f>A54+1</f>
        <v/>
      </c>
      <c r="B55" s="224" t="inlineStr">
        <is>
          <t>CDC Tax-exemption</t>
        </is>
      </c>
      <c r="C55" s="224" t="inlineStr">
        <is>
          <t>BRILLIANT TRANSPORT AND TRADING Co., Ltd.</t>
        </is>
      </c>
      <c r="D55" s="225" t="inlineStr">
        <is>
          <t>K002-100089305</t>
        </is>
      </c>
      <c r="E55" s="359" t="inlineStr">
        <is>
          <t>BTT24-0002423</t>
        </is>
      </c>
      <c r="F55" s="338" t="n">
        <v>45618</v>
      </c>
      <c r="G55" s="226" t="n"/>
      <c r="H55" s="627" t="n"/>
      <c r="I55" s="627" t="n">
        <v>865590</v>
      </c>
      <c r="J55" s="223" t="inlineStr">
        <is>
          <t>អនុញ្ញាត (បានប្រកាស)</t>
        </is>
      </c>
      <c r="K55" s="223" t="n"/>
      <c r="L55" s="626">
        <f>I55</f>
        <v/>
      </c>
      <c r="M55" s="598">
        <f>I55-L55</f>
        <v/>
      </c>
      <c r="N55" s="223" t="n"/>
      <c r="O55" s="228">
        <f>U55=E55</f>
        <v/>
      </c>
      <c r="P55" s="228">
        <f>MONTH(F55)-MONTH(T55)</f>
        <v/>
      </c>
      <c r="Q55" s="228">
        <f>$B$5=X55</f>
        <v/>
      </c>
      <c r="R55" s="228">
        <f>I55-AD55</f>
        <v/>
      </c>
      <c r="S55" s="371" t="n"/>
      <c r="T55" s="372" t="n">
        <v>45618</v>
      </c>
      <c r="U55" s="371" t="inlineStr">
        <is>
          <t>BTT24-0002423</t>
        </is>
      </c>
      <c r="V55" s="371" t="n">
        <v>0</v>
      </c>
      <c r="W55" s="371" t="inlineStr">
        <is>
          <t>បុគ្គលជាប់អាករ</t>
        </is>
      </c>
      <c r="X55" s="371" t="inlineStr">
        <is>
          <t>L001-901640009</t>
        </is>
      </c>
      <c r="Y55" s="371" t="inlineStr">
        <is>
          <t>ហូលីដេ ឌីហ្សាញ (ខេមបូឌា) ឯ.ក</t>
        </is>
      </c>
      <c r="Z55" s="373" t="n">
        <v>9521490</v>
      </c>
      <c r="AA55" s="373" t="n">
        <v>8655900</v>
      </c>
      <c r="AB55" s="371" t="n">
        <v>0</v>
      </c>
      <c r="AC55" s="371" t="inlineStr">
        <is>
          <t>-</t>
        </is>
      </c>
      <c r="AD55" s="373" t="n">
        <v>865590</v>
      </c>
      <c r="AE55" s="371" t="n">
        <v>0</v>
      </c>
      <c r="AF55" s="625" t="n">
        <v>0</v>
      </c>
      <c r="AG55" s="205" t="n">
        <v>0</v>
      </c>
      <c r="AH55" s="205" t="n">
        <v>0</v>
      </c>
      <c r="AI55" s="205" t="n">
        <v>0</v>
      </c>
      <c r="AJ55" s="205" t="n">
        <v>0</v>
      </c>
      <c r="AK55" s="205" t="n">
        <v>0</v>
      </c>
      <c r="AL55" s="205" t="n">
        <v>0.01</v>
      </c>
      <c r="AM55" s="205" t="n">
        <v>0</v>
      </c>
      <c r="AN55" s="205" t="inlineStr">
        <is>
          <t>Truking / Service</t>
        </is>
      </c>
    </row>
    <row r="56">
      <c r="A56" s="222">
        <f>A55+1</f>
        <v/>
      </c>
      <c r="B56" s="224" t="inlineStr">
        <is>
          <t>Terminal Handling Service-Im</t>
        </is>
      </c>
      <c r="C56" s="224" t="inlineStr">
        <is>
          <t>SITC CONTAINER LINES (CAMBODIA) Co., Ltd.</t>
        </is>
      </c>
      <c r="D56" s="225" t="inlineStr">
        <is>
          <t>L001-107035863</t>
        </is>
      </c>
      <c r="E56" s="359" t="inlineStr">
        <is>
          <t>SITC2024-036956</t>
        </is>
      </c>
      <c r="F56" s="338" t="n">
        <v>45622</v>
      </c>
      <c r="G56" s="226" t="n"/>
      <c r="H56" s="627" t="n"/>
      <c r="I56" s="627" t="n">
        <v>232812</v>
      </c>
      <c r="J56" s="223" t="inlineStr">
        <is>
          <t>អនុញ្ញាត (បានប្រកាស)</t>
        </is>
      </c>
      <c r="K56" s="223" t="n"/>
      <c r="L56" s="626">
        <f>I56</f>
        <v/>
      </c>
      <c r="M56" s="598">
        <f>I56-L56</f>
        <v/>
      </c>
      <c r="N56" s="223" t="n"/>
      <c r="O56" s="228">
        <f>U56=E56</f>
        <v/>
      </c>
      <c r="P56" s="228">
        <f>MONTH(F56)-MONTH(T56)</f>
        <v/>
      </c>
      <c r="Q56" s="228">
        <f>$B$5=X56</f>
        <v/>
      </c>
      <c r="R56" s="228">
        <f>I56-AD56</f>
        <v/>
      </c>
      <c r="S56" s="371" t="n"/>
      <c r="T56" s="372" t="n">
        <v>45622</v>
      </c>
      <c r="U56" s="371" t="inlineStr">
        <is>
          <t>SITC2024-036956</t>
        </is>
      </c>
      <c r="V56" s="371" t="n">
        <v>0</v>
      </c>
      <c r="W56" s="371" t="inlineStr">
        <is>
          <t>បុគ្គលជាប់អាករ</t>
        </is>
      </c>
      <c r="X56" s="371" t="inlineStr">
        <is>
          <t>L001-901640009</t>
        </is>
      </c>
      <c r="Y56" s="371" t="inlineStr">
        <is>
          <t>ហូលីដេ ឌីហ្សាញ (ខេមបូឌា) ឯ.ក</t>
        </is>
      </c>
      <c r="Z56" s="373" t="n">
        <v>2560932</v>
      </c>
      <c r="AA56" s="373" t="n">
        <v>2328120</v>
      </c>
      <c r="AB56" s="371" t="n">
        <v>0</v>
      </c>
      <c r="AC56" s="371" t="inlineStr">
        <is>
          <t>-</t>
        </is>
      </c>
      <c r="AD56" s="373" t="n">
        <v>232812</v>
      </c>
      <c r="AE56" s="371" t="n">
        <v>0</v>
      </c>
      <c r="AF56" s="625" t="n">
        <v>0</v>
      </c>
      <c r="AG56" s="205" t="n">
        <v>0</v>
      </c>
      <c r="AH56" s="205" t="n">
        <v>0</v>
      </c>
      <c r="AI56" s="205" t="n">
        <v>0</v>
      </c>
      <c r="AJ56" s="205" t="n">
        <v>0</v>
      </c>
      <c r="AK56" s="205" t="n">
        <v>0</v>
      </c>
      <c r="AL56" s="205" t="n">
        <v>0.01</v>
      </c>
      <c r="AM56" s="205" t="n">
        <v>0</v>
      </c>
      <c r="AN56" s="205" t="inlineStr">
        <is>
          <t>KHCIC,KHTHC,KHDOC,EIB,EMF</t>
        </is>
      </c>
    </row>
    <row r="57">
      <c r="A57" s="222">
        <f>A56+1</f>
        <v/>
      </c>
      <c r="B57" s="224" t="inlineStr">
        <is>
          <t>កាបូនឌីអុកស៊ីត (CO2)</t>
        </is>
      </c>
      <c r="C57" s="224" t="inlineStr">
        <is>
          <t>DF INDUSTRIAL GASES CO., LTD.</t>
        </is>
      </c>
      <c r="D57" s="225" t="inlineStr">
        <is>
          <t>B105-902402285</t>
        </is>
      </c>
      <c r="E57" s="359" t="inlineStr">
        <is>
          <t>DFTI-25-012</t>
        </is>
      </c>
      <c r="F57" s="338" t="n">
        <v>45730</v>
      </c>
      <c r="G57" s="226" t="n"/>
      <c r="H57" s="627" t="n"/>
      <c r="I57" s="627" t="n">
        <v>402800</v>
      </c>
      <c r="J57" s="223" t="inlineStr">
        <is>
          <t>អនុញ្ញាត (បានប្រកាស)</t>
        </is>
      </c>
      <c r="K57" s="223" t="n"/>
      <c r="L57" s="626">
        <f>I57</f>
        <v/>
      </c>
      <c r="M57" s="598">
        <f>I57-L57</f>
        <v/>
      </c>
      <c r="N57" s="223" t="n"/>
      <c r="O57" s="228">
        <f>U57=E57</f>
        <v/>
      </c>
      <c r="P57" s="228">
        <f>MONTH(F57)-MONTH(T57)</f>
        <v/>
      </c>
      <c r="Q57" s="228">
        <f>$B$5=X57</f>
        <v/>
      </c>
      <c r="R57" s="228">
        <f>I57-AD57</f>
        <v/>
      </c>
      <c r="S57" s="371" t="n"/>
      <c r="T57" s="372" t="n">
        <v>45730</v>
      </c>
      <c r="U57" s="371" t="inlineStr">
        <is>
          <t>DFTI-25-012</t>
        </is>
      </c>
      <c r="V57" s="371" t="n">
        <v>0</v>
      </c>
      <c r="W57" s="371" t="inlineStr">
        <is>
          <t>បុគ្គលជាប់អាករ</t>
        </is>
      </c>
      <c r="X57" s="371" t="inlineStr">
        <is>
          <t>L001-901640009</t>
        </is>
      </c>
      <c r="Y57" s="371" t="inlineStr">
        <is>
          <t>ហូលីដេ ឌីហ្សាញ (ខេមបូឌា) ឯ.ក</t>
        </is>
      </c>
      <c r="Z57" s="373" t="n">
        <v>4430800</v>
      </c>
      <c r="AA57" s="373" t="n">
        <v>4028000</v>
      </c>
      <c r="AB57" s="371" t="n">
        <v>0</v>
      </c>
      <c r="AC57" s="371" t="inlineStr">
        <is>
          <t>-</t>
        </is>
      </c>
      <c r="AD57" s="373" t="n">
        <v>402800</v>
      </c>
      <c r="AE57" s="371" t="n">
        <v>0</v>
      </c>
      <c r="AF57" s="625" t="n">
        <v>0</v>
      </c>
      <c r="AG57" s="205" t="n">
        <v>0</v>
      </c>
      <c r="AH57" s="205" t="n">
        <v>0</v>
      </c>
      <c r="AI57" s="205" t="n">
        <v>0</v>
      </c>
      <c r="AJ57" s="205" t="n">
        <v>0</v>
      </c>
      <c r="AK57" s="205" t="n">
        <v>0</v>
      </c>
      <c r="AL57" s="205" t="n">
        <v>0.01</v>
      </c>
      <c r="AM57" s="205" t="n">
        <v>0</v>
      </c>
      <c r="AN57" s="205" t="inlineStr">
        <is>
          <t>កាបូនឌីអុកស៊ីត (CO2)</t>
        </is>
      </c>
      <c r="AO57" s="205" t="inlineStr">
        <is>
          <t>បានប្រកាសនិងបង់ពន្ធ</t>
        </is>
      </c>
    </row>
    <row r="58">
      <c r="A58" s="222">
        <f>A57+1</f>
        <v/>
      </c>
      <c r="B58" s="224" t="inlineStr">
        <is>
          <t>CO2</t>
        </is>
      </c>
      <c r="C58" s="224" t="inlineStr">
        <is>
          <t>DF INDUSTRIAL GASES CO., LTD.</t>
        </is>
      </c>
      <c r="D58" s="225" t="inlineStr">
        <is>
          <t>B105-902402285</t>
        </is>
      </c>
      <c r="E58" s="359" t="inlineStr">
        <is>
          <t>DFTI-25-030</t>
        </is>
      </c>
      <c r="F58" s="338" t="n">
        <v>45797</v>
      </c>
      <c r="G58" s="226" t="n"/>
      <c r="H58" s="627" t="n"/>
      <c r="I58" s="627" t="n">
        <v>400300</v>
      </c>
      <c r="J58" s="223" t="inlineStr">
        <is>
          <t>អនុញ្ញាត (បានប្រកាស)</t>
        </is>
      </c>
      <c r="K58" s="223" t="n"/>
      <c r="L58" s="626">
        <f>I58</f>
        <v/>
      </c>
      <c r="M58" s="598">
        <f>I58-L58</f>
        <v/>
      </c>
      <c r="N58" s="223" t="n"/>
      <c r="O58" s="228">
        <f>U58=E58</f>
        <v/>
      </c>
      <c r="P58" s="228">
        <f>MONTH(F58)-MONTH(T58)</f>
        <v/>
      </c>
      <c r="Q58" s="228">
        <f>$B$5=X58</f>
        <v/>
      </c>
      <c r="R58" s="228">
        <f>I58-AD58</f>
        <v/>
      </c>
      <c r="S58" s="371" t="n"/>
      <c r="T58" s="372" t="n">
        <v>45797</v>
      </c>
      <c r="U58" s="371" t="inlineStr">
        <is>
          <t>DFTI-25-030</t>
        </is>
      </c>
      <c r="V58" s="371" t="n">
        <v>0</v>
      </c>
      <c r="W58" s="371" t="inlineStr">
        <is>
          <t>បុគ្គលជាប់អាករ</t>
        </is>
      </c>
      <c r="X58" s="371" t="inlineStr">
        <is>
          <t>L001-901640009</t>
        </is>
      </c>
      <c r="Y58" s="371" t="inlineStr">
        <is>
          <t>ហូលីដេ ឌីហ្សាញ (ខេមបូឌា) ឯ.ក</t>
        </is>
      </c>
      <c r="Z58" s="373" t="n">
        <v>4403300</v>
      </c>
      <c r="AA58" s="373" t="n">
        <v>4003000</v>
      </c>
      <c r="AB58" s="371" t="n">
        <v>0</v>
      </c>
      <c r="AC58" s="371" t="inlineStr">
        <is>
          <t>-</t>
        </is>
      </c>
      <c r="AD58" s="373" t="n">
        <v>400300</v>
      </c>
      <c r="AE58" s="371" t="n">
        <v>0</v>
      </c>
      <c r="AF58" s="625" t="n">
        <v>0</v>
      </c>
      <c r="AG58" s="205" t="n">
        <v>0</v>
      </c>
      <c r="AH58" s="205" t="n">
        <v>0</v>
      </c>
      <c r="AI58" s="205" t="n">
        <v>0</v>
      </c>
      <c r="AJ58" s="205" t="n">
        <v>0</v>
      </c>
      <c r="AK58" s="205" t="n">
        <v>0</v>
      </c>
      <c r="AL58" s="205" t="n">
        <v>0.01</v>
      </c>
      <c r="AM58" s="205" t="n">
        <v>0</v>
      </c>
      <c r="AN58" s="205" t="inlineStr">
        <is>
          <t>កាបូនឌីអុកស៊ីត (CO2)</t>
        </is>
      </c>
      <c r="AO58" s="205" t="inlineStr">
        <is>
          <t>បានប្រកាសនិងបង់ពន្ធ</t>
        </is>
      </c>
    </row>
    <row r="59">
      <c r="A59" s="222">
        <f>A58+1</f>
        <v/>
      </c>
      <c r="B59" s="224" t="inlineStr">
        <is>
          <t>សេវាបាញ់ថ្នាំចូលក្នុងកុងទីន័រ</t>
        </is>
      </c>
      <c r="C59" s="224" t="inlineStr">
        <is>
          <t>C.M.I.X.S Co., Ltd.</t>
        </is>
      </c>
      <c r="D59" s="225" t="inlineStr">
        <is>
          <t>B108-150005385</t>
        </is>
      </c>
      <c r="E59" s="359" t="inlineStr">
        <is>
          <t>ICS-25-003</t>
        </is>
      </c>
      <c r="F59" s="338" t="n">
        <v>45789</v>
      </c>
      <c r="G59" s="226" t="n"/>
      <c r="H59" s="627" t="n"/>
      <c r="I59" s="627" t="n">
        <v>264198</v>
      </c>
      <c r="J59" s="223" t="inlineStr">
        <is>
          <t>អនុញ្ញាត (បានប្រកាស)</t>
        </is>
      </c>
      <c r="K59" s="223" t="n"/>
      <c r="L59" s="626">
        <f>I59</f>
        <v/>
      </c>
      <c r="M59" s="598">
        <f>I59-L59</f>
        <v/>
      </c>
      <c r="N59" s="223" t="n"/>
      <c r="O59" s="228">
        <f>U59=E59</f>
        <v/>
      </c>
      <c r="P59" s="228">
        <f>MONTH(F59)-MONTH(T59)</f>
        <v/>
      </c>
      <c r="Q59" s="228">
        <f>$B$5=X59</f>
        <v/>
      </c>
      <c r="R59" s="228">
        <f>I59-AD59</f>
        <v/>
      </c>
      <c r="S59" s="371" t="n"/>
      <c r="T59" s="372" t="n">
        <v>45789</v>
      </c>
      <c r="U59" s="371" t="inlineStr">
        <is>
          <t>ICS-25-003</t>
        </is>
      </c>
      <c r="V59" s="371" t="n">
        <v>0</v>
      </c>
      <c r="W59" s="371" t="inlineStr">
        <is>
          <t>បុគ្គលជាប់អាករ</t>
        </is>
      </c>
      <c r="X59" s="371" t="inlineStr">
        <is>
          <t>L001-901640009</t>
        </is>
      </c>
      <c r="Y59" s="371" t="inlineStr">
        <is>
          <t>ហូលីដេ ឌីហ្សាញ (ខេមបូឌា) ឯ.ក</t>
        </is>
      </c>
      <c r="Z59" s="373" t="n">
        <v>2907630</v>
      </c>
      <c r="AA59" s="373" t="n">
        <v>2643300</v>
      </c>
      <c r="AB59" s="371" t="n">
        <v>0</v>
      </c>
      <c r="AC59" s="371" t="inlineStr">
        <is>
          <t>-</t>
        </is>
      </c>
      <c r="AD59" s="373" t="n">
        <v>264330</v>
      </c>
      <c r="AE59" s="371" t="n">
        <v>0</v>
      </c>
      <c r="AF59" s="625" t="n">
        <v>0</v>
      </c>
      <c r="AG59" s="205" t="n">
        <v>0</v>
      </c>
      <c r="AH59" s="205" t="n">
        <v>0</v>
      </c>
      <c r="AI59" s="205" t="n">
        <v>0</v>
      </c>
      <c r="AJ59" s="205" t="n">
        <v>0</v>
      </c>
      <c r="AK59" s="205" t="n">
        <v>0</v>
      </c>
      <c r="AL59" s="205" t="n">
        <v>0.01</v>
      </c>
      <c r="AM59" s="205" t="n">
        <v>0</v>
      </c>
      <c r="AN59" s="205" t="inlineStr">
        <is>
          <t>សេវាបាញ់ថ្នាំចូលក្នុងកុងទីន័រ</t>
        </is>
      </c>
      <c r="AO59" s="205" t="inlineStr">
        <is>
          <t>បានប្រកាសនិងបង់ពន្ធ</t>
        </is>
      </c>
    </row>
    <row r="60">
      <c r="A60" s="222">
        <f>A59+1</f>
        <v/>
      </c>
      <c r="B60" s="224" t="inlineStr">
        <is>
          <t>Second billing 40% Fee for Audit Report 2023</t>
        </is>
      </c>
      <c r="C60" s="224" t="inlineStr">
        <is>
          <t>K PROFESSIONAL ACCOUNTANTS Co., Ltd.</t>
        </is>
      </c>
      <c r="D60" s="225" t="inlineStr">
        <is>
          <t>K002-107015749</t>
        </is>
      </c>
      <c r="E60" s="359" t="inlineStr">
        <is>
          <t>TI24-01393</t>
        </is>
      </c>
      <c r="F60" s="338" t="n">
        <v>45589</v>
      </c>
      <c r="G60" s="226" t="n"/>
      <c r="H60" s="627" t="n"/>
      <c r="I60" s="627" t="n">
        <v>844896</v>
      </c>
      <c r="J60" s="223" t="inlineStr">
        <is>
          <t>អនុញ្ញាត (បានប្រកាស)</t>
        </is>
      </c>
      <c r="K60" s="223" t="n"/>
      <c r="L60" s="626">
        <f>I60</f>
        <v/>
      </c>
      <c r="M60" s="598">
        <f>I60-L60</f>
        <v/>
      </c>
      <c r="N60" s="223" t="n"/>
      <c r="O60" s="228">
        <f>U60=E60</f>
        <v/>
      </c>
      <c r="P60" s="228">
        <f>MONTH(F60)-MONTH(T60)</f>
        <v/>
      </c>
      <c r="Q60" s="228">
        <f>$B$5=X60</f>
        <v/>
      </c>
      <c r="R60" s="228">
        <f>I60-AD60</f>
        <v/>
      </c>
      <c r="S60" s="371" t="n"/>
      <c r="T60" s="372" t="n">
        <v>45589</v>
      </c>
      <c r="U60" s="371" t="inlineStr">
        <is>
          <t>TI24-01393</t>
        </is>
      </c>
      <c r="V60" s="371" t="n">
        <v>0</v>
      </c>
      <c r="W60" s="371" t="inlineStr">
        <is>
          <t>បុគ្គលជាប់អាករ</t>
        </is>
      </c>
      <c r="X60" s="371" t="inlineStr">
        <is>
          <t>L001-901640009</t>
        </is>
      </c>
      <c r="Y60" s="371" t="inlineStr">
        <is>
          <t>ហូលីដេ ឌីហ្សាញ (ខេមបូឌា) ឯ.ក</t>
        </is>
      </c>
      <c r="Z60" s="373" t="n">
        <v>9293856</v>
      </c>
      <c r="AA60" s="373" t="n">
        <v>8448960</v>
      </c>
      <c r="AB60" s="371" t="n">
        <v>0</v>
      </c>
      <c r="AC60" s="371" t="inlineStr">
        <is>
          <t>-</t>
        </is>
      </c>
      <c r="AD60" s="373" t="n">
        <v>844896</v>
      </c>
      <c r="AE60" s="371" t="n">
        <v>0</v>
      </c>
      <c r="AF60" s="625" t="n">
        <v>0</v>
      </c>
      <c r="AG60" s="205" t="n">
        <v>0</v>
      </c>
      <c r="AH60" s="205" t="n">
        <v>0</v>
      </c>
      <c r="AI60" s="205" t="n">
        <v>0</v>
      </c>
      <c r="AJ60" s="205" t="n">
        <v>0</v>
      </c>
      <c r="AK60" s="205" t="n">
        <v>0</v>
      </c>
      <c r="AL60" s="205" t="n">
        <v>0.01</v>
      </c>
      <c r="AM60" s="205" t="n">
        <v>0</v>
      </c>
      <c r="AN60" s="205" t="inlineStr">
        <is>
          <t>សេវាសវនកម្មលើរបាយការណ៏ហិរញ្ញវត្ថុសំរាប់ចុងការិយបរិច្ឆេទ៣១ ធ្នូ ២០២៣ (បង់ប្រាក់លើកទីពីរ ៤០%)</t>
        </is>
      </c>
      <c r="AO60" s="205" t="inlineStr">
        <is>
          <t>បានប្រកាសនិងបង់ពន្ធ</t>
        </is>
      </c>
    </row>
    <row r="61">
      <c r="A61" s="222">
        <f>A60+1</f>
        <v/>
      </c>
      <c r="B61" s="224" t="inlineStr">
        <is>
          <t>Final Billing 10% Fee Audit On Financial Staterment for the Year 2023</t>
        </is>
      </c>
      <c r="C61" s="224" t="inlineStr">
        <is>
          <t>K PROFESSIONAL ACCOUNTANTS Co., Ltd.</t>
        </is>
      </c>
      <c r="D61" s="225" t="inlineStr">
        <is>
          <t>K002-107015749</t>
        </is>
      </c>
      <c r="E61" s="359" t="inlineStr">
        <is>
          <t>TI24-01517</t>
        </is>
      </c>
      <c r="F61" s="338" t="n">
        <v>45628</v>
      </c>
      <c r="G61" s="226" t="n"/>
      <c r="H61" s="627" t="n"/>
      <c r="I61" s="627" t="n">
        <v>209508</v>
      </c>
      <c r="J61" s="223" t="inlineStr">
        <is>
          <t>អនុញ្ញាត (បានប្រកាស)</t>
        </is>
      </c>
      <c r="K61" s="223" t="n"/>
      <c r="L61" s="626">
        <f>I61</f>
        <v/>
      </c>
      <c r="M61" s="598">
        <f>I61-L61</f>
        <v/>
      </c>
      <c r="N61" s="223" t="n"/>
      <c r="O61" s="228">
        <f>U61=E61</f>
        <v/>
      </c>
      <c r="P61" s="228">
        <f>MONTH(F61)-MONTH(T61)</f>
        <v/>
      </c>
      <c r="Q61" s="228">
        <f>$B$5=X61</f>
        <v/>
      </c>
      <c r="R61" s="228">
        <f>I61-AD61</f>
        <v/>
      </c>
      <c r="S61" s="371" t="n"/>
      <c r="T61" s="372" t="n">
        <v>45628</v>
      </c>
      <c r="U61" s="371" t="inlineStr">
        <is>
          <t>TI24-01517</t>
        </is>
      </c>
      <c r="V61" s="371" t="n">
        <v>0</v>
      </c>
      <c r="W61" s="371" t="inlineStr">
        <is>
          <t>បុគ្គលជាប់អាករ</t>
        </is>
      </c>
      <c r="X61" s="371" t="inlineStr">
        <is>
          <t>L001-901640009</t>
        </is>
      </c>
      <c r="Y61" s="371" t="inlineStr">
        <is>
          <t>ហូលីដេ ឌីហ្សាញ (ខេមបូឌា) ឯ.ក</t>
        </is>
      </c>
      <c r="Z61" s="373" t="n">
        <v>2304588</v>
      </c>
      <c r="AA61" s="373" t="n">
        <v>2095080</v>
      </c>
      <c r="AB61" s="371" t="n">
        <v>0</v>
      </c>
      <c r="AC61" s="371" t="inlineStr">
        <is>
          <t>-</t>
        </is>
      </c>
      <c r="AD61" s="373" t="n">
        <v>209508</v>
      </c>
      <c r="AE61" s="371" t="n">
        <v>0</v>
      </c>
      <c r="AF61" s="625" t="n">
        <v>0</v>
      </c>
      <c r="AG61" s="205" t="n">
        <v>0</v>
      </c>
      <c r="AH61" s="205" t="n">
        <v>0</v>
      </c>
      <c r="AI61" s="205" t="n">
        <v>0</v>
      </c>
      <c r="AJ61" s="205" t="n">
        <v>0</v>
      </c>
      <c r="AK61" s="205" t="n">
        <v>0</v>
      </c>
      <c r="AL61" s="205" t="n">
        <v>0.01</v>
      </c>
      <c r="AM61" s="205" t="n">
        <v>0</v>
      </c>
      <c r="AN61" s="205" t="inlineStr">
        <is>
          <t>សេវាសវនកម្មលើរបាយការណ៏ហិរញ្ញវត្ថុសំរាប់ចុងការិយបរិច្ឆេទ៣១ ធ្នូ ២០២៣ (បង់ប្រាក់លើកចុងក្រោយ ១០%)</t>
        </is>
      </c>
      <c r="AO61" s="205" t="inlineStr">
        <is>
          <t>បានប្រកាសនិងបង់ពន្ធ</t>
        </is>
      </c>
    </row>
    <row r="62">
      <c r="A62" s="222">
        <f>A61+1</f>
        <v/>
      </c>
      <c r="B62" s="224" t="inlineStr">
        <is>
          <t>Final Billing 50% Fee Audit On Financial Staterment for the Year 2024</t>
        </is>
      </c>
      <c r="C62" s="224" t="inlineStr">
        <is>
          <t>K PROFESSIONAL ACCOUNTANTS Co., Ltd.</t>
        </is>
      </c>
      <c r="D62" s="225" t="inlineStr">
        <is>
          <t>K002-107015749</t>
        </is>
      </c>
      <c r="E62" s="359" t="inlineStr">
        <is>
          <t>TI25-00024</t>
        </is>
      </c>
      <c r="F62" s="338" t="n">
        <v>45659</v>
      </c>
      <c r="G62" s="226" t="n"/>
      <c r="H62" s="627" t="n"/>
      <c r="I62" s="627" t="n">
        <v>1047020</v>
      </c>
      <c r="J62" s="223" t="inlineStr">
        <is>
          <t>អនុញ្ញាត (បានប្រកាស)</t>
        </is>
      </c>
      <c r="K62" s="223" t="n"/>
      <c r="L62" s="626">
        <f>I62</f>
        <v/>
      </c>
      <c r="M62" s="598">
        <f>I62-L62</f>
        <v/>
      </c>
      <c r="N62" s="223" t="n"/>
      <c r="O62" s="228">
        <f>U62=E62</f>
        <v/>
      </c>
      <c r="P62" s="228">
        <f>MONTH(F62)-MONTH(T62)</f>
        <v/>
      </c>
      <c r="Q62" s="228">
        <f>$B$5=X62</f>
        <v/>
      </c>
      <c r="R62" s="228">
        <f>I62-AD62</f>
        <v/>
      </c>
      <c r="S62" s="371" t="n"/>
      <c r="T62" s="372" t="n">
        <v>45659</v>
      </c>
      <c r="U62" s="371" t="inlineStr">
        <is>
          <t>TI25-00024</t>
        </is>
      </c>
      <c r="V62" s="371" t="n">
        <v>0</v>
      </c>
      <c r="W62" s="371" t="inlineStr">
        <is>
          <t>បុគ្គលជាប់អាករ</t>
        </is>
      </c>
      <c r="X62" s="371" t="inlineStr">
        <is>
          <t>L001-901640009</t>
        </is>
      </c>
      <c r="Y62" s="371" t="inlineStr">
        <is>
          <t>ហូលីដេ ឌីហ្សាញ (ខេមបូឌា) ឯ.ក</t>
        </is>
      </c>
      <c r="Z62" s="373" t="n">
        <v>11517220</v>
      </c>
      <c r="AA62" s="373" t="n">
        <v>10470200</v>
      </c>
      <c r="AB62" s="371" t="n">
        <v>0</v>
      </c>
      <c r="AC62" s="371" t="inlineStr">
        <is>
          <t>-</t>
        </is>
      </c>
      <c r="AD62" s="373" t="n">
        <v>1047020</v>
      </c>
      <c r="AE62" s="371" t="n">
        <v>0</v>
      </c>
      <c r="AF62" s="625" t="n">
        <v>0</v>
      </c>
      <c r="AG62" s="205" t="n">
        <v>0</v>
      </c>
      <c r="AH62" s="205" t="n">
        <v>0</v>
      </c>
      <c r="AI62" s="205" t="n">
        <v>0</v>
      </c>
      <c r="AJ62" s="205" t="n">
        <v>0</v>
      </c>
      <c r="AK62" s="205" t="n">
        <v>0</v>
      </c>
      <c r="AL62" s="205" t="n">
        <v>0.01</v>
      </c>
      <c r="AM62" s="205" t="n">
        <v>0</v>
      </c>
      <c r="AN62" s="205" t="inlineStr">
        <is>
          <t>សេវាសវនកម្មលើរបាយការណ៏ហិរញ្ញវត្ថុសំរាប់ចុងការិយបរិច្ឆេទ៣១ ធ្នូ ២០២៤ (បង់ប្រាក់លើកទីមួយ ៥០%)</t>
        </is>
      </c>
      <c r="AO62" s="205" t="inlineStr">
        <is>
          <t>បានប្រកាសនិងបង់ពន្ធ</t>
        </is>
      </c>
    </row>
    <row r="63">
      <c r="A63" s="222">
        <f>A62+1</f>
        <v/>
      </c>
      <c r="B63" s="224" t="inlineStr">
        <is>
          <t>Export Clearance</t>
        </is>
      </c>
      <c r="C63" s="224" t="inlineStr">
        <is>
          <t>MFL MULTI FREIGHT LOGISTICS Ltd.</t>
        </is>
      </c>
      <c r="D63" s="225" t="inlineStr">
        <is>
          <t>K005-901504427</t>
        </is>
      </c>
      <c r="E63" s="359" t="inlineStr">
        <is>
          <t>MFL-2501016</t>
        </is>
      </c>
      <c r="F63" s="338" t="n">
        <v>45674</v>
      </c>
      <c r="G63" s="226" t="n"/>
      <c r="H63" s="627" t="n"/>
      <c r="I63" s="627" t="n">
        <v>48324</v>
      </c>
      <c r="J63" s="223" t="inlineStr">
        <is>
          <t>អនុញ្ញាត (បានប្រកាស)</t>
        </is>
      </c>
      <c r="K63" s="223" t="n"/>
      <c r="L63" s="626">
        <f>I63</f>
        <v/>
      </c>
      <c r="M63" s="598">
        <f>I63-L63</f>
        <v/>
      </c>
      <c r="N63" s="223" t="n"/>
      <c r="O63" s="228">
        <f>U63=E63</f>
        <v/>
      </c>
      <c r="P63" s="228">
        <f>MONTH(F63)-MONTH(T63)</f>
        <v/>
      </c>
      <c r="Q63" s="228">
        <f>$B$5=X63</f>
        <v/>
      </c>
      <c r="R63" s="228">
        <f>I63-AD63</f>
        <v/>
      </c>
      <c r="S63" s="371" t="n"/>
      <c r="T63" s="372" t="n">
        <v>45674</v>
      </c>
      <c r="U63" s="371" t="inlineStr">
        <is>
          <t>MFL-2501016</t>
        </is>
      </c>
      <c r="V63" s="371" t="n">
        <v>0</v>
      </c>
      <c r="W63" s="371" t="inlineStr">
        <is>
          <t>បុគ្គលជាប់អាករ</t>
        </is>
      </c>
      <c r="X63" s="371" t="inlineStr">
        <is>
          <t>L001-901640009</t>
        </is>
      </c>
      <c r="Y63" s="371" t="inlineStr">
        <is>
          <t>ហូលីដេ ឌីហ្សាញ (ខេមបូឌា) ឯ.ក</t>
        </is>
      </c>
      <c r="Z63" s="373" t="n">
        <v>531564</v>
      </c>
      <c r="AA63" s="373" t="n">
        <v>483240</v>
      </c>
      <c r="AB63" s="371" t="n">
        <v>0</v>
      </c>
      <c r="AC63" s="371" t="inlineStr">
        <is>
          <t>-</t>
        </is>
      </c>
      <c r="AD63" s="373" t="n">
        <v>48324</v>
      </c>
      <c r="AE63" s="371" t="n">
        <v>0</v>
      </c>
      <c r="AF63" s="625" t="n">
        <v>0</v>
      </c>
      <c r="AG63" s="205" t="n">
        <v>0</v>
      </c>
      <c r="AH63" s="205" t="n">
        <v>0</v>
      </c>
      <c r="AI63" s="205" t="n">
        <v>0</v>
      </c>
      <c r="AJ63" s="205" t="n">
        <v>0</v>
      </c>
      <c r="AK63" s="205" t="n">
        <v>0</v>
      </c>
      <c r="AL63" s="205" t="n">
        <v>0.01</v>
      </c>
      <c r="AM63" s="205" t="n">
        <v>0</v>
      </c>
      <c r="AN63" s="205" t="inlineStr">
        <is>
          <t>Export clearance</t>
        </is>
      </c>
      <c r="AO63" s="205" t="inlineStr">
        <is>
          <t>បានប្រកាសនិងបង់ពន្ធ</t>
        </is>
      </c>
    </row>
    <row r="64">
      <c r="A64" s="222">
        <f>A63+1</f>
        <v/>
      </c>
      <c r="B64" s="224" t="inlineStr">
        <is>
          <t>KHTHC,EMF,DO Fee,KHCIC,Handing Fee</t>
        </is>
      </c>
      <c r="C64" s="224" t="inlineStr">
        <is>
          <t>PANDORA LOGISTICS CO., LTD.</t>
        </is>
      </c>
      <c r="D64" s="225" t="inlineStr">
        <is>
          <t>K005-901702078</t>
        </is>
      </c>
      <c r="E64" s="359" t="inlineStr">
        <is>
          <t>PT24-7787</t>
        </is>
      </c>
      <c r="F64" s="338" t="n">
        <v>45614</v>
      </c>
      <c r="G64" s="226" t="n"/>
      <c r="H64" s="627" t="n"/>
      <c r="I64" s="627" t="n">
        <v>163661</v>
      </c>
      <c r="J64" s="223" t="inlineStr">
        <is>
          <t>អនុញ្ញាត (បានប្រកាស)</t>
        </is>
      </c>
      <c r="K64" s="223" t="n"/>
      <c r="L64" s="626">
        <f>I64</f>
        <v/>
      </c>
      <c r="M64" s="598">
        <f>I64-L64</f>
        <v/>
      </c>
      <c r="N64" s="223" t="n"/>
      <c r="O64" s="228">
        <f>U64=E64</f>
        <v/>
      </c>
      <c r="P64" s="228">
        <f>MONTH(F64)-MONTH(T64)</f>
        <v/>
      </c>
      <c r="Q64" s="228">
        <f>$B$5=X64</f>
        <v/>
      </c>
      <c r="R64" s="228">
        <f>I64-AD64</f>
        <v/>
      </c>
      <c r="S64" s="371" t="n"/>
      <c r="T64" s="372" t="n">
        <v>45614</v>
      </c>
      <c r="U64" s="371" t="inlineStr">
        <is>
          <t>PT24-7787</t>
        </is>
      </c>
      <c r="V64" s="371" t="n">
        <v>0</v>
      </c>
      <c r="W64" s="371" t="inlineStr">
        <is>
          <t>បុគ្គលជាប់អាករ</t>
        </is>
      </c>
      <c r="X64" s="371" t="inlineStr">
        <is>
          <t>L001-901640009</t>
        </is>
      </c>
      <c r="Y64" s="371" t="inlineStr">
        <is>
          <t>ហូលីដេ ឌីហ្សាញ (ខេមបូឌា) ឯ.ក</t>
        </is>
      </c>
      <c r="Z64" s="373" t="n">
        <v>1800266</v>
      </c>
      <c r="AA64" s="373" t="n">
        <v>1636605</v>
      </c>
      <c r="AB64" s="371" t="n">
        <v>0</v>
      </c>
      <c r="AC64" s="371" t="inlineStr">
        <is>
          <t>-</t>
        </is>
      </c>
      <c r="AD64" s="373" t="n">
        <v>163661</v>
      </c>
      <c r="AE64" s="371" t="n">
        <v>0</v>
      </c>
      <c r="AF64" s="625" t="n">
        <v>0</v>
      </c>
      <c r="AG64" s="205" t="n">
        <v>0</v>
      </c>
      <c r="AH64" s="205" t="n">
        <v>0</v>
      </c>
      <c r="AI64" s="205" t="n">
        <v>0</v>
      </c>
      <c r="AJ64" s="205" t="n">
        <v>0</v>
      </c>
      <c r="AK64" s="205" t="n">
        <v>0</v>
      </c>
      <c r="AL64" s="205" t="n">
        <v>0.01</v>
      </c>
      <c r="AM64" s="205" t="n">
        <v>0</v>
      </c>
      <c r="AN64" s="205" t="inlineStr">
        <is>
          <t>KHTHC</t>
        </is>
      </c>
      <c r="AO64" s="205" t="inlineStr">
        <is>
          <t>បានប្រកាសនិងបង់ពន្ធ</t>
        </is>
      </c>
    </row>
    <row r="65">
      <c r="A65" s="222">
        <f>A64+1</f>
        <v/>
      </c>
      <c r="B65" s="224" t="inlineStr">
        <is>
          <t>Double Sided Tape</t>
        </is>
      </c>
      <c r="C65" s="224" t="inlineStr">
        <is>
          <t>XINYUANXIN PAPER</t>
        </is>
      </c>
      <c r="D65" s="225" t="inlineStr">
        <is>
          <t>K006-902300227</t>
        </is>
      </c>
      <c r="E65" s="359" t="inlineStr">
        <is>
          <t>XYX240310</t>
        </is>
      </c>
      <c r="F65" s="338" t="n">
        <v>45625</v>
      </c>
      <c r="G65" s="226" t="n"/>
      <c r="H65" s="627" t="n"/>
      <c r="I65" s="627" t="n">
        <v>322240</v>
      </c>
      <c r="J65" s="223" t="inlineStr">
        <is>
          <t>អនុញ្ញាត (បានប្រកាស)</t>
        </is>
      </c>
      <c r="K65" s="223" t="n"/>
      <c r="L65" s="626">
        <f>I65</f>
        <v/>
      </c>
      <c r="M65" s="598">
        <f>I65-L65</f>
        <v/>
      </c>
      <c r="N65" s="223" t="n"/>
      <c r="O65" s="228">
        <f>U65=E65</f>
        <v/>
      </c>
      <c r="P65" s="228">
        <f>MONTH(F65)-MONTH(T65)</f>
        <v/>
      </c>
      <c r="Q65" s="228">
        <f>$B$5=X65</f>
        <v/>
      </c>
      <c r="R65" s="228">
        <f>I65-AD65</f>
        <v/>
      </c>
      <c r="S65" s="371" t="n"/>
      <c r="T65" s="372" t="n">
        <v>45625</v>
      </c>
      <c r="U65" s="371" t="inlineStr">
        <is>
          <t>XYX240310</t>
        </is>
      </c>
      <c r="V65" s="371" t="n">
        <v>0</v>
      </c>
      <c r="W65" s="371" t="inlineStr">
        <is>
          <t>បុគ្គលជាប់អាករ</t>
        </is>
      </c>
      <c r="X65" s="371" t="inlineStr">
        <is>
          <t>L001-901640009</t>
        </is>
      </c>
      <c r="Y65" s="371" t="inlineStr">
        <is>
          <t>ហូលីដេ ឌីហ្សាញ (ខេមបូឌា) ឯ.ក</t>
        </is>
      </c>
      <c r="Z65" s="373" t="n">
        <v>3544640</v>
      </c>
      <c r="AA65" s="373" t="n">
        <v>3222400</v>
      </c>
      <c r="AB65" s="371" t="n">
        <v>0</v>
      </c>
      <c r="AC65" s="371" t="inlineStr">
        <is>
          <t>-</t>
        </is>
      </c>
      <c r="AD65" s="373" t="n">
        <v>322240</v>
      </c>
      <c r="AE65" s="371" t="n">
        <v>0</v>
      </c>
      <c r="AF65" s="625" t="n">
        <v>0</v>
      </c>
      <c r="AG65" s="205" t="n">
        <v>0</v>
      </c>
      <c r="AH65" s="205" t="n">
        <v>0</v>
      </c>
      <c r="AI65" s="205" t="n">
        <v>0</v>
      </c>
      <c r="AJ65" s="205" t="n">
        <v>0</v>
      </c>
      <c r="AK65" s="205" t="n">
        <v>0</v>
      </c>
      <c r="AL65" s="205" t="n">
        <v>0.01</v>
      </c>
      <c r="AM65" s="205" t="n">
        <v>0</v>
      </c>
      <c r="AN65" s="205" t="inlineStr">
        <is>
          <t>Double Sided Tape</t>
        </is>
      </c>
      <c r="AO65" s="205" t="inlineStr">
        <is>
          <t>បានប្រកាសនិងបង់ពន្ធ</t>
        </is>
      </c>
    </row>
    <row r="66">
      <c r="A66" s="222">
        <f>A65+1</f>
        <v/>
      </c>
      <c r="B66" s="224" t="inlineStr">
        <is>
          <t>Lift-On&amp;Lift-Off-Im</t>
        </is>
      </c>
      <c r="C66" s="224" t="inlineStr">
        <is>
          <t>Port Autonome Du Sihanoukville</t>
        </is>
      </c>
      <c r="D66" s="225" t="inlineStr">
        <is>
          <t>L001-100044638</t>
        </is>
      </c>
      <c r="E66" s="359" t="n">
        <v>269496</v>
      </c>
      <c r="F66" s="338" t="n">
        <v>45650</v>
      </c>
      <c r="G66" s="226" t="n"/>
      <c r="H66" s="627" t="n"/>
      <c r="I66" s="627" t="n">
        <v>115747</v>
      </c>
      <c r="J66" s="223" t="inlineStr">
        <is>
          <t>អនុញ្ញាត (បានប្រកាស)</t>
        </is>
      </c>
      <c r="K66" s="223" t="n"/>
      <c r="L66" s="626">
        <f>I66</f>
        <v/>
      </c>
      <c r="M66" s="598">
        <f>I66-L66</f>
        <v/>
      </c>
      <c r="N66" s="223" t="n"/>
      <c r="O66" s="228">
        <f>U66=E66</f>
        <v/>
      </c>
      <c r="P66" s="228">
        <f>MONTH(F66)-MONTH(T66)</f>
        <v/>
      </c>
      <c r="Q66" s="228">
        <f>$B$5=X66</f>
        <v/>
      </c>
      <c r="R66" s="228">
        <f>I66-AD66</f>
        <v/>
      </c>
      <c r="S66" s="371" t="n"/>
      <c r="T66" s="372" t="n">
        <v>45650</v>
      </c>
      <c r="U66" s="371" t="n">
        <v>269496</v>
      </c>
      <c r="V66" s="371" t="n">
        <v>0</v>
      </c>
      <c r="W66" s="371" t="inlineStr">
        <is>
          <t>បុគ្គលជាប់អាករ</t>
        </is>
      </c>
      <c r="X66" s="371" t="inlineStr">
        <is>
          <t>L001-901640009</t>
        </is>
      </c>
      <c r="Y66" s="371" t="inlineStr">
        <is>
          <t>ហូលីដេ ឌីហ្សាញ (ខេមបូឌា) ឯ.ក</t>
        </is>
      </c>
      <c r="Z66" s="373" t="n">
        <v>1273219</v>
      </c>
      <c r="AA66" s="373" t="n">
        <v>1157472</v>
      </c>
      <c r="AB66" s="371" t="n">
        <v>0</v>
      </c>
      <c r="AC66" s="371" t="inlineStr">
        <is>
          <t>-</t>
        </is>
      </c>
      <c r="AD66" s="373" t="n">
        <v>115747</v>
      </c>
      <c r="AE66" s="371" t="n"/>
      <c r="AF66" s="625" t="n"/>
    </row>
    <row r="67">
      <c r="A67" s="222">
        <f>A66+1</f>
        <v/>
      </c>
      <c r="B67" s="224" t="inlineStr">
        <is>
          <t>Lift-On&amp;Lift-Off-Im</t>
        </is>
      </c>
      <c r="C67" s="224" t="inlineStr">
        <is>
          <t>Port Autonome Du Sihanoukville</t>
        </is>
      </c>
      <c r="D67" s="225" t="inlineStr">
        <is>
          <t>L001-100044638</t>
        </is>
      </c>
      <c r="E67" s="359" t="n">
        <v>273954</v>
      </c>
      <c r="F67" s="338" t="n">
        <v>45656</v>
      </c>
      <c r="G67" s="226" t="n"/>
      <c r="H67" s="627" t="n"/>
      <c r="I67" s="627" t="n">
        <v>245062</v>
      </c>
      <c r="J67" s="223" t="inlineStr">
        <is>
          <t>អនុញ្ញាត (បានប្រកាស)</t>
        </is>
      </c>
      <c r="K67" s="223" t="n"/>
      <c r="L67" s="626">
        <f>I67</f>
        <v/>
      </c>
      <c r="M67" s="598">
        <f>I67-L67</f>
        <v/>
      </c>
      <c r="N67" s="223" t="n"/>
      <c r="O67" s="228">
        <f>U67=E67</f>
        <v/>
      </c>
      <c r="P67" s="228">
        <f>MONTH(F67)-MONTH(T67)</f>
        <v/>
      </c>
      <c r="Q67" s="228">
        <f>$B$5=X67</f>
        <v/>
      </c>
      <c r="R67" s="228">
        <f>I67-AD67</f>
        <v/>
      </c>
      <c r="S67" s="371" t="n"/>
      <c r="T67" s="372" t="n">
        <v>45656</v>
      </c>
      <c r="U67" s="371" t="n">
        <v>273954</v>
      </c>
      <c r="V67" s="371" t="n">
        <v>0</v>
      </c>
      <c r="W67" s="371" t="inlineStr">
        <is>
          <t>បុគ្គលជាប់អាករ</t>
        </is>
      </c>
      <c r="X67" s="371" t="inlineStr">
        <is>
          <t>L001-901640009</t>
        </is>
      </c>
      <c r="Y67" s="371" t="inlineStr">
        <is>
          <t>ហូលីដេ ឌីហ្សាញ (ខេមបូឌា) ឯ.ក</t>
        </is>
      </c>
      <c r="Z67" s="373" t="n">
        <v>2695678</v>
      </c>
      <c r="AA67" s="373" t="n">
        <v>2450616</v>
      </c>
      <c r="AB67" s="371" t="n">
        <v>0</v>
      </c>
      <c r="AC67" s="371" t="inlineStr">
        <is>
          <t>-</t>
        </is>
      </c>
      <c r="AD67" s="373" t="n">
        <v>245062</v>
      </c>
      <c r="AE67" s="371" t="n"/>
      <c r="AF67" s="625" t="n"/>
    </row>
    <row r="68">
      <c r="A68" s="222">
        <f>A67+1</f>
        <v/>
      </c>
      <c r="B68" s="224" t="inlineStr">
        <is>
          <t>Terminal Handling Service-Im</t>
        </is>
      </c>
      <c r="C68" s="224" t="inlineStr">
        <is>
          <t>SITC CONTAINER LINES (CAMBODIA) Co., Ltd.</t>
        </is>
      </c>
      <c r="D68" s="225" t="inlineStr">
        <is>
          <t>L001-107035863</t>
        </is>
      </c>
      <c r="E68" s="359" t="inlineStr">
        <is>
          <t>SITC2024-040806</t>
        </is>
      </c>
      <c r="F68" s="338" t="n">
        <v>45651</v>
      </c>
      <c r="G68" s="226" t="n"/>
      <c r="H68" s="627" t="n"/>
      <c r="I68" s="627" t="n">
        <v>1487030</v>
      </c>
      <c r="J68" s="223" t="inlineStr">
        <is>
          <t>អនុញ្ញាត (បានប្រកាស)</t>
        </is>
      </c>
      <c r="K68" s="223" t="n"/>
      <c r="L68" s="626">
        <f>I68</f>
        <v/>
      </c>
      <c r="M68" s="598">
        <f>I68-L68</f>
        <v/>
      </c>
      <c r="N68" s="223" t="n"/>
      <c r="O68" s="228">
        <f>U68=E68</f>
        <v/>
      </c>
      <c r="P68" s="228">
        <f>MONTH(F68)-MONTH(T68)</f>
        <v/>
      </c>
      <c r="Q68" s="228">
        <f>$B$5=X68</f>
        <v/>
      </c>
      <c r="R68" s="228">
        <f>I68-AD68</f>
        <v/>
      </c>
      <c r="S68" s="371" t="n"/>
      <c r="T68" s="372" t="n">
        <v>45651</v>
      </c>
      <c r="U68" s="371" t="inlineStr">
        <is>
          <t>SITC2024-040806</t>
        </is>
      </c>
      <c r="V68" s="371" t="n">
        <v>0</v>
      </c>
      <c r="W68" s="371" t="inlineStr">
        <is>
          <t>បុគ្គលជាប់អាករ</t>
        </is>
      </c>
      <c r="X68" s="371" t="inlineStr">
        <is>
          <t>L001-901640009</t>
        </is>
      </c>
      <c r="Y68" s="371" t="inlineStr">
        <is>
          <t>ហូលីដេ ឌីហ្សាញ (ខេមបូឌា) ឯ.ក</t>
        </is>
      </c>
      <c r="Z68" s="373" t="n">
        <v>16357330</v>
      </c>
      <c r="AA68" s="373" t="n">
        <v>14870300</v>
      </c>
      <c r="AB68" s="371" t="n">
        <v>0</v>
      </c>
      <c r="AC68" s="371" t="inlineStr">
        <is>
          <t>-</t>
        </is>
      </c>
      <c r="AD68" s="373" t="n">
        <v>1487030</v>
      </c>
      <c r="AE68" s="371" t="n">
        <v>0</v>
      </c>
      <c r="AF68" s="625" t="n">
        <v>0</v>
      </c>
      <c r="AG68" s="205" t="n">
        <v>0</v>
      </c>
      <c r="AH68" s="205" t="n">
        <v>0</v>
      </c>
      <c r="AI68" s="205" t="n">
        <v>0</v>
      </c>
      <c r="AJ68" s="205" t="n">
        <v>0</v>
      </c>
      <c r="AK68" s="205" t="n">
        <v>0</v>
      </c>
      <c r="AL68" s="205" t="n">
        <v>0.01</v>
      </c>
      <c r="AM68" s="205" t="n">
        <v>0</v>
      </c>
      <c r="AN68" s="205" t="inlineStr">
        <is>
          <t>EMF,KHCIC,KHTHC,EIB,KHDOC</t>
        </is>
      </c>
    </row>
    <row r="69">
      <c r="A69" s="222">
        <f>A68+1</f>
        <v/>
      </c>
      <c r="B69" s="224" t="inlineStr">
        <is>
          <t>Trucking Fee-Im</t>
        </is>
      </c>
      <c r="C69" s="224" t="inlineStr">
        <is>
          <t>BRILLIANT TRANSPORT AND TRADING Co., Ltd.</t>
        </is>
      </c>
      <c r="D69" s="225" t="inlineStr">
        <is>
          <t>K002-100089305</t>
        </is>
      </c>
      <c r="E69" s="359" t="inlineStr">
        <is>
          <t>BTT24-0002649</t>
        </is>
      </c>
      <c r="F69" s="338" t="n">
        <v>45656</v>
      </c>
      <c r="G69" s="226" t="n"/>
      <c r="H69" s="627" t="n"/>
      <c r="I69" s="627" t="n">
        <v>1657888</v>
      </c>
      <c r="J69" s="223" t="inlineStr">
        <is>
          <t>អនុញ្ញាត (បានប្រកាស)</t>
        </is>
      </c>
      <c r="K69" s="223" t="n"/>
      <c r="L69" s="626">
        <f>I69</f>
        <v/>
      </c>
      <c r="M69" s="598">
        <f>I69-L69</f>
        <v/>
      </c>
      <c r="N69" s="223" t="n"/>
      <c r="O69" s="228">
        <f>U69=E69</f>
        <v/>
      </c>
      <c r="P69" s="228">
        <f>MONTH(F69)-MONTH(T69)</f>
        <v/>
      </c>
      <c r="Q69" s="228">
        <f>$B$5=X69</f>
        <v/>
      </c>
      <c r="R69" s="228">
        <f>I69-AD69</f>
        <v/>
      </c>
      <c r="S69" s="371" t="n"/>
      <c r="T69" s="372" t="n">
        <v>45656</v>
      </c>
      <c r="U69" s="371" t="inlineStr">
        <is>
          <t>BTT24-0002649</t>
        </is>
      </c>
      <c r="V69" s="371" t="n">
        <v>0</v>
      </c>
      <c r="W69" s="371" t="inlineStr">
        <is>
          <t>បុគ្គលជាប់អាករ</t>
        </is>
      </c>
      <c r="X69" s="371" t="inlineStr">
        <is>
          <t>L001-901640009</t>
        </is>
      </c>
      <c r="Y69" s="371" t="inlineStr">
        <is>
          <t>ហូលីដេ ឌីហ្សាញ (ខេមបូឌា) ឯ.ក</t>
        </is>
      </c>
      <c r="Z69" s="373" t="n">
        <v>18236768</v>
      </c>
      <c r="AA69" s="373" t="n">
        <v>16578880</v>
      </c>
      <c r="AB69" s="371" t="n">
        <v>0</v>
      </c>
      <c r="AC69" s="371" t="inlineStr">
        <is>
          <t>-</t>
        </is>
      </c>
      <c r="AD69" s="373" t="n">
        <v>1657888</v>
      </c>
      <c r="AE69" s="371" t="n">
        <v>0</v>
      </c>
      <c r="AF69" s="625" t="n">
        <v>0</v>
      </c>
      <c r="AG69" s="205" t="n">
        <v>0</v>
      </c>
      <c r="AH69" s="205" t="n">
        <v>0</v>
      </c>
      <c r="AI69" s="205" t="n">
        <v>0</v>
      </c>
      <c r="AJ69" s="205" t="n">
        <v>0</v>
      </c>
      <c r="AK69" s="205" t="n">
        <v>0</v>
      </c>
      <c r="AL69" s="205" t="n">
        <v>0.01</v>
      </c>
      <c r="AM69" s="205" t="n">
        <v>0</v>
      </c>
      <c r="AN69" s="205" t="inlineStr">
        <is>
          <t>Truking / Service</t>
        </is>
      </c>
    </row>
    <row r="70">
      <c r="A70" s="222">
        <f>A69+1</f>
        <v/>
      </c>
      <c r="B70" s="224" t="inlineStr">
        <is>
          <t>Lift-On&amp;Lift-Off-Im</t>
        </is>
      </c>
      <c r="C70" s="224" t="inlineStr">
        <is>
          <t>Port Autonome Du Sihanoukville</t>
        </is>
      </c>
      <c r="D70" s="225" t="inlineStr">
        <is>
          <t>L001-100044638</t>
        </is>
      </c>
      <c r="E70" s="359" t="n">
        <v>273947</v>
      </c>
      <c r="F70" s="338" t="n">
        <v>45656</v>
      </c>
      <c r="G70" s="226" t="n"/>
      <c r="H70" s="627" t="n"/>
      <c r="I70" s="627" t="n">
        <v>350088</v>
      </c>
      <c r="J70" s="223" t="inlineStr">
        <is>
          <t>អនុញ្ញាត (បានប្រកាស)</t>
        </is>
      </c>
      <c r="K70" s="223" t="n"/>
      <c r="L70" s="626">
        <f>I70</f>
        <v/>
      </c>
      <c r="M70" s="598">
        <f>I70-L70</f>
        <v/>
      </c>
      <c r="N70" s="223" t="n"/>
      <c r="O70" s="228">
        <f>U70=E70</f>
        <v/>
      </c>
      <c r="P70" s="228">
        <f>MONTH(F70)-MONTH(T70)</f>
        <v/>
      </c>
      <c r="Q70" s="228">
        <f>$B$5=X70</f>
        <v/>
      </c>
      <c r="R70" s="228">
        <f>I70-AD70</f>
        <v/>
      </c>
      <c r="S70" s="371" t="n"/>
      <c r="T70" s="372" t="n">
        <v>45656</v>
      </c>
      <c r="U70" s="371" t="n">
        <v>273947</v>
      </c>
      <c r="V70" s="371" t="n">
        <v>0</v>
      </c>
      <c r="W70" s="371" t="inlineStr">
        <is>
          <t>បុគ្គលជាប់អាករ</t>
        </is>
      </c>
      <c r="X70" s="371" t="inlineStr">
        <is>
          <t>L001-901640009</t>
        </is>
      </c>
      <c r="Y70" s="371" t="inlineStr">
        <is>
          <t>ហូលីដេ ឌីហ្សាញ (ខេមបូឌា) ឯ.ក</t>
        </is>
      </c>
      <c r="Z70" s="373" t="n">
        <v>3850968</v>
      </c>
      <c r="AA70" s="373" t="n">
        <v>3500880</v>
      </c>
      <c r="AB70" s="371" t="n">
        <v>0</v>
      </c>
      <c r="AC70" s="371" t="inlineStr">
        <is>
          <t>-</t>
        </is>
      </c>
      <c r="AD70" s="373" t="n">
        <v>350088</v>
      </c>
      <c r="AE70" s="371" t="n"/>
      <c r="AF70" s="625" t="n"/>
    </row>
    <row r="71">
      <c r="A71" s="222">
        <f>A70+1</f>
        <v/>
      </c>
      <c r="B71" s="224" t="inlineStr">
        <is>
          <t>Bopp Packing</t>
        </is>
      </c>
      <c r="C71" s="224" t="inlineStr">
        <is>
          <t>XINYUANXIN PAPER</t>
        </is>
      </c>
      <c r="D71" s="225" t="inlineStr">
        <is>
          <t>K006-902300227</t>
        </is>
      </c>
      <c r="E71" s="359" t="inlineStr">
        <is>
          <t>XYX240341</t>
        </is>
      </c>
      <c r="F71" s="338" t="n">
        <v>45653</v>
      </c>
      <c r="G71" s="226" t="n"/>
      <c r="H71" s="627" t="n"/>
      <c r="I71" s="627" t="n">
        <v>482520</v>
      </c>
      <c r="J71" s="223" t="inlineStr">
        <is>
          <t>អនុញ្ញាត (បានប្រកាស)</t>
        </is>
      </c>
      <c r="K71" s="223" t="n"/>
      <c r="L71" s="626">
        <f>I71</f>
        <v/>
      </c>
      <c r="M71" s="598">
        <f>I71-L71</f>
        <v/>
      </c>
      <c r="N71" s="223" t="n"/>
      <c r="O71" s="228">
        <f>U71=E71</f>
        <v/>
      </c>
      <c r="P71" s="228">
        <f>MONTH(F71)-MONTH(T71)</f>
        <v/>
      </c>
      <c r="Q71" s="228">
        <f>$B$5=X71</f>
        <v/>
      </c>
      <c r="R71" s="228">
        <f>I71-AD71</f>
        <v/>
      </c>
      <c r="S71" s="371" t="n"/>
      <c r="T71" s="372" t="n">
        <v>45653</v>
      </c>
      <c r="U71" s="371" t="inlineStr">
        <is>
          <t>XYX240341</t>
        </is>
      </c>
      <c r="V71" s="371" t="n">
        <v>0</v>
      </c>
      <c r="W71" s="371" t="inlineStr">
        <is>
          <t>បុគ្គលជាប់អាករ</t>
        </is>
      </c>
      <c r="X71" s="371" t="inlineStr">
        <is>
          <t>L001-901640009</t>
        </is>
      </c>
      <c r="Y71" s="371" t="inlineStr">
        <is>
          <t>ហូលីដេ ឌីហ្សាញ (ខេមបូឌា) ឯ.ក</t>
        </is>
      </c>
      <c r="Z71" s="373" t="n">
        <v>5307720</v>
      </c>
      <c r="AA71" s="373" t="n">
        <v>4825200</v>
      </c>
      <c r="AB71" s="371" t="n">
        <v>0</v>
      </c>
      <c r="AC71" s="371" t="inlineStr">
        <is>
          <t>-</t>
        </is>
      </c>
      <c r="AD71" s="373" t="n">
        <v>482520</v>
      </c>
      <c r="AE71" s="371" t="n">
        <v>0</v>
      </c>
      <c r="AF71" s="625" t="n">
        <v>0</v>
      </c>
      <c r="AG71" s="205" t="n">
        <v>0</v>
      </c>
      <c r="AH71" s="205" t="n">
        <v>0</v>
      </c>
      <c r="AI71" s="205" t="n">
        <v>0</v>
      </c>
      <c r="AJ71" s="205" t="n">
        <v>0</v>
      </c>
      <c r="AK71" s="205" t="n">
        <v>0</v>
      </c>
      <c r="AL71" s="205" t="n">
        <v>0.01</v>
      </c>
      <c r="AM71" s="205" t="n">
        <v>0</v>
      </c>
      <c r="AN71" s="205" t="inlineStr">
        <is>
          <t>Bopp Packing Tape</t>
        </is>
      </c>
      <c r="AO71" s="205" t="inlineStr">
        <is>
          <t>បានប្រកាសនិងបង់ពន្ធ</t>
        </is>
      </c>
    </row>
    <row r="72">
      <c r="A72" s="222">
        <f>A71+1</f>
        <v/>
      </c>
      <c r="B72" s="224" t="inlineStr">
        <is>
          <t>Trucking Fee-Im</t>
        </is>
      </c>
      <c r="C72" s="224" t="inlineStr">
        <is>
          <t>BRILLIANT TRANSPORT AND TRADING Co., Ltd.</t>
        </is>
      </c>
      <c r="D72" s="225" t="inlineStr">
        <is>
          <t>K002-100089305</t>
        </is>
      </c>
      <c r="E72" s="359" t="inlineStr">
        <is>
          <t>BTT24-0002648</t>
        </is>
      </c>
      <c r="F72" s="338" t="n">
        <v>45656</v>
      </c>
      <c r="G72" s="226" t="n"/>
      <c r="H72" s="627" t="n"/>
      <c r="I72" s="627" t="n">
        <v>2156864</v>
      </c>
      <c r="J72" s="223" t="inlineStr">
        <is>
          <t>អនុញ្ញាត (បានប្រកាស)</t>
        </is>
      </c>
      <c r="K72" s="223" t="n"/>
      <c r="L72" s="626">
        <f>I72</f>
        <v/>
      </c>
      <c r="M72" s="598">
        <f>I72-L72</f>
        <v/>
      </c>
      <c r="N72" s="223" t="n"/>
      <c r="O72" s="228">
        <f>U72=E72</f>
        <v/>
      </c>
      <c r="P72" s="228">
        <f>MONTH(F72)-MONTH(T72)</f>
        <v/>
      </c>
      <c r="Q72" s="228">
        <f>$B$5=X72</f>
        <v/>
      </c>
      <c r="R72" s="228">
        <f>I72-AD72</f>
        <v/>
      </c>
      <c r="S72" s="371" t="n"/>
      <c r="T72" s="372" t="n">
        <v>45656</v>
      </c>
      <c r="U72" s="371" t="inlineStr">
        <is>
          <t>BTT24-0002648</t>
        </is>
      </c>
      <c r="V72" s="371" t="n">
        <v>0</v>
      </c>
      <c r="W72" s="371" t="inlineStr">
        <is>
          <t>បុគ្គលជាប់អាករ</t>
        </is>
      </c>
      <c r="X72" s="371" t="inlineStr">
        <is>
          <t>L001-901640009</t>
        </is>
      </c>
      <c r="Y72" s="371" t="inlineStr">
        <is>
          <t>ហូលីដេ ឌីហ្សាញ (ខេមបូឌា) ឯ.ក</t>
        </is>
      </c>
      <c r="Z72" s="373" t="n">
        <v>23725504</v>
      </c>
      <c r="AA72" s="373" t="n">
        <v>21568640</v>
      </c>
      <c r="AB72" s="371" t="n">
        <v>0</v>
      </c>
      <c r="AC72" s="371" t="inlineStr">
        <is>
          <t>-</t>
        </is>
      </c>
      <c r="AD72" s="373" t="n">
        <v>2156864</v>
      </c>
      <c r="AE72" s="371" t="n">
        <v>0</v>
      </c>
      <c r="AF72" s="625" t="n">
        <v>0</v>
      </c>
      <c r="AG72" s="205" t="n">
        <v>0</v>
      </c>
      <c r="AH72" s="205" t="n">
        <v>0</v>
      </c>
      <c r="AI72" s="205" t="n">
        <v>0</v>
      </c>
      <c r="AJ72" s="205" t="n">
        <v>0</v>
      </c>
      <c r="AK72" s="205" t="n">
        <v>0</v>
      </c>
      <c r="AL72" s="205" t="n">
        <v>0.01</v>
      </c>
      <c r="AM72" s="205" t="n">
        <v>0</v>
      </c>
      <c r="AN72" s="205" t="inlineStr">
        <is>
          <t>Truking / Service</t>
        </is>
      </c>
    </row>
    <row r="73">
      <c r="A73" s="222">
        <f>A72+1</f>
        <v/>
      </c>
      <c r="B73" s="224" t="inlineStr">
        <is>
          <t>Lift-On&amp;Lift-Off-Im</t>
        </is>
      </c>
      <c r="C73" s="224" t="inlineStr">
        <is>
          <t>Port Autonome Du Sihanoukville</t>
        </is>
      </c>
      <c r="D73" s="225" t="inlineStr">
        <is>
          <t>L001-100044638</t>
        </is>
      </c>
      <c r="E73" s="359" t="n">
        <v>275949</v>
      </c>
      <c r="F73" s="338" t="n">
        <v>45657</v>
      </c>
      <c r="G73" s="226" t="n"/>
      <c r="H73" s="627" t="n"/>
      <c r="I73" s="627" t="n">
        <v>350175</v>
      </c>
      <c r="J73" s="223" t="inlineStr">
        <is>
          <t>អនុញ្ញាត (បានប្រកាស)</t>
        </is>
      </c>
      <c r="K73" s="223" t="n"/>
      <c r="L73" s="626">
        <f>I73</f>
        <v/>
      </c>
      <c r="M73" s="598">
        <f>I73-L73</f>
        <v/>
      </c>
      <c r="N73" s="223" t="n"/>
      <c r="O73" s="228">
        <f>U73=E73</f>
        <v/>
      </c>
      <c r="P73" s="228">
        <f>MONTH(F73)-MONTH(T73)</f>
        <v/>
      </c>
      <c r="Q73" s="228">
        <f>$B$5=X73</f>
        <v/>
      </c>
      <c r="R73" s="228">
        <f>I73-AD73</f>
        <v/>
      </c>
      <c r="S73" s="371" t="n"/>
      <c r="T73" s="372" t="n">
        <v>45657</v>
      </c>
      <c r="U73" s="371" t="n">
        <v>275949</v>
      </c>
      <c r="V73" s="371" t="n">
        <v>0</v>
      </c>
      <c r="W73" s="371" t="inlineStr">
        <is>
          <t>បុគ្គលជាប់អាករ</t>
        </is>
      </c>
      <c r="X73" s="371" t="inlineStr">
        <is>
          <t>L001-901640009</t>
        </is>
      </c>
      <c r="Y73" s="371" t="inlineStr">
        <is>
          <t>ហូលីដេ ឌីហ្សាញ (ខេមបូឌា) ឯ.ក</t>
        </is>
      </c>
      <c r="Z73" s="373" t="n">
        <v>3851925</v>
      </c>
      <c r="AA73" s="373" t="n">
        <v>3501750</v>
      </c>
      <c r="AB73" s="371" t="n">
        <v>0</v>
      </c>
      <c r="AC73" s="371" t="inlineStr">
        <is>
          <t>-</t>
        </is>
      </c>
      <c r="AD73" s="373" t="n">
        <v>350175</v>
      </c>
      <c r="AE73" s="371" t="n"/>
      <c r="AF73" s="625" t="n"/>
    </row>
    <row r="74">
      <c r="A74" s="222">
        <f>A73+1</f>
        <v/>
      </c>
      <c r="B74" s="224" t="inlineStr">
        <is>
          <t>Trucking Fee-Im</t>
        </is>
      </c>
      <c r="C74" s="224" t="inlineStr">
        <is>
          <t>BRILLIANT TRANSPORT AND TRADING Co., Ltd.</t>
        </is>
      </c>
      <c r="D74" s="225" t="inlineStr">
        <is>
          <t>K002-100089305</t>
        </is>
      </c>
      <c r="E74" s="359" t="inlineStr">
        <is>
          <t>BTT24-0002647</t>
        </is>
      </c>
      <c r="F74" s="338" t="n">
        <v>45656</v>
      </c>
      <c r="G74" s="226" t="n"/>
      <c r="H74" s="627" t="n"/>
      <c r="I74" s="627" t="n">
        <v>2358064</v>
      </c>
      <c r="J74" s="223" t="inlineStr">
        <is>
          <t>អនុញ្ញាត (បានប្រកាស)</t>
        </is>
      </c>
      <c r="K74" s="223" t="n"/>
      <c r="L74" s="626">
        <f>I74</f>
        <v/>
      </c>
      <c r="M74" s="598">
        <f>I74-L74</f>
        <v/>
      </c>
      <c r="N74" s="223" t="n"/>
      <c r="O74" s="228">
        <f>U74=E74</f>
        <v/>
      </c>
      <c r="P74" s="228">
        <f>MONTH(F74)-MONTH(T74)</f>
        <v/>
      </c>
      <c r="Q74" s="228">
        <f>$B$5=X74</f>
        <v/>
      </c>
      <c r="R74" s="228">
        <f>I74-AD74</f>
        <v/>
      </c>
      <c r="S74" s="371" t="n"/>
      <c r="T74" s="372" t="n">
        <v>45656</v>
      </c>
      <c r="U74" s="371" t="inlineStr">
        <is>
          <t>BTT24-0002647</t>
        </is>
      </c>
      <c r="V74" s="371" t="n">
        <v>0</v>
      </c>
      <c r="W74" s="371" t="inlineStr">
        <is>
          <t>បុគ្គលជាប់អាករ</t>
        </is>
      </c>
      <c r="X74" s="371" t="inlineStr">
        <is>
          <t>L001-901640009</t>
        </is>
      </c>
      <c r="Y74" s="371" t="inlineStr">
        <is>
          <t>ហូលីដេ ឌីហ្សាញ (ខេមបូឌា) ឯ.ក</t>
        </is>
      </c>
      <c r="Z74" s="373" t="n">
        <v>25938704</v>
      </c>
      <c r="AA74" s="373" t="n">
        <v>23580640</v>
      </c>
      <c r="AB74" s="371" t="n">
        <v>0</v>
      </c>
      <c r="AC74" s="371" t="inlineStr">
        <is>
          <t>-</t>
        </is>
      </c>
      <c r="AD74" s="373" t="n">
        <v>2358064</v>
      </c>
      <c r="AE74" s="371" t="n">
        <v>0</v>
      </c>
      <c r="AF74" s="625" t="n">
        <v>0</v>
      </c>
      <c r="AG74" s="205" t="n">
        <v>0</v>
      </c>
      <c r="AH74" s="205" t="n">
        <v>0</v>
      </c>
      <c r="AI74" s="205" t="n">
        <v>0</v>
      </c>
      <c r="AJ74" s="205" t="n">
        <v>0</v>
      </c>
      <c r="AK74" s="205" t="n">
        <v>0</v>
      </c>
      <c r="AL74" s="205" t="n">
        <v>0.01</v>
      </c>
      <c r="AM74" s="205" t="n">
        <v>0</v>
      </c>
      <c r="AN74" s="205" t="inlineStr">
        <is>
          <t>Truking / Service</t>
        </is>
      </c>
    </row>
    <row r="75">
      <c r="A75" s="222">
        <f>A74+1</f>
        <v/>
      </c>
      <c r="B75" s="224" t="inlineStr">
        <is>
          <t>Bopp Packing Tape</t>
        </is>
      </c>
      <c r="C75" s="224" t="inlineStr">
        <is>
          <t>XINYUANXIN PAPER</t>
        </is>
      </c>
      <c r="D75" s="225" t="inlineStr">
        <is>
          <t>K006-902300227</t>
        </is>
      </c>
      <c r="E75" s="359" t="inlineStr">
        <is>
          <t>XYX250091</t>
        </is>
      </c>
      <c r="F75" s="338" t="n">
        <v>45715</v>
      </c>
      <c r="G75" s="226" t="n"/>
      <c r="H75" s="627" t="n"/>
      <c r="I75" s="627" t="n">
        <v>4090200</v>
      </c>
      <c r="J75" s="223" t="inlineStr">
        <is>
          <t>អនុញ្ញាត (បានប្រកាស)</t>
        </is>
      </c>
      <c r="K75" s="223" t="n"/>
      <c r="L75" s="626">
        <f>I75</f>
        <v/>
      </c>
      <c r="M75" s="598">
        <f>I75-L75</f>
        <v/>
      </c>
      <c r="N75" s="223" t="n"/>
      <c r="O75" s="228">
        <f>U75=E75</f>
        <v/>
      </c>
      <c r="P75" s="228">
        <f>MONTH(F75)-MONTH(T75)</f>
        <v/>
      </c>
      <c r="Q75" s="228">
        <f>$B$5=X75</f>
        <v/>
      </c>
      <c r="R75" s="228">
        <f>I75-AD75</f>
        <v/>
      </c>
      <c r="S75" s="371" t="n"/>
      <c r="T75" s="372" t="n">
        <v>45715</v>
      </c>
      <c r="U75" s="371" t="inlineStr">
        <is>
          <t>XYX250091</t>
        </is>
      </c>
      <c r="V75" s="371" t="n">
        <v>0</v>
      </c>
      <c r="W75" s="371" t="inlineStr">
        <is>
          <t>បុគ្គលជាប់អាករ</t>
        </is>
      </c>
      <c r="X75" s="371" t="inlineStr">
        <is>
          <t>L001-901640009</t>
        </is>
      </c>
      <c r="Y75" s="371" t="inlineStr">
        <is>
          <t>ហូលីដេ ឌីហ្សាញ (ខេមបូឌា) ឯ.ក</t>
        </is>
      </c>
      <c r="Z75" s="373" t="n">
        <v>44992200</v>
      </c>
      <c r="AA75" s="373" t="n">
        <v>40902000</v>
      </c>
      <c r="AB75" s="371" t="n">
        <v>0</v>
      </c>
      <c r="AC75" s="371" t="inlineStr">
        <is>
          <t>-</t>
        </is>
      </c>
      <c r="AD75" s="373" t="n">
        <v>4090200</v>
      </c>
      <c r="AE75" s="371" t="n">
        <v>0</v>
      </c>
      <c r="AF75" s="625" t="n">
        <v>0</v>
      </c>
      <c r="AG75" s="205" t="n">
        <v>0</v>
      </c>
      <c r="AH75" s="205" t="n">
        <v>0</v>
      </c>
      <c r="AI75" s="205" t="n">
        <v>0</v>
      </c>
      <c r="AJ75" s="205" t="n">
        <v>0</v>
      </c>
      <c r="AK75" s="205" t="n">
        <v>0</v>
      </c>
      <c r="AL75" s="205" t="n">
        <v>0.01</v>
      </c>
      <c r="AM75" s="205" t="n">
        <v>0</v>
      </c>
      <c r="AN75" s="205" t="inlineStr">
        <is>
          <t>Bopp Packing Tape</t>
        </is>
      </c>
      <c r="AO75" s="205" t="inlineStr">
        <is>
          <t>បានប្រកាសនិងបង់ពន្ធ</t>
        </is>
      </c>
    </row>
    <row r="76">
      <c r="A76" s="222">
        <f>A75+1</f>
        <v/>
      </c>
      <c r="B76" s="224" t="inlineStr">
        <is>
          <t>Trucking Fee-Im</t>
        </is>
      </c>
      <c r="C76" s="224" t="inlineStr">
        <is>
          <t>BRILLIANT TRANSPORT AND TRADING Co., Ltd.</t>
        </is>
      </c>
      <c r="D76" s="225" t="inlineStr">
        <is>
          <t>K002-100089305</t>
        </is>
      </c>
      <c r="E76" s="359" t="inlineStr">
        <is>
          <t>BTT24-0002634</t>
        </is>
      </c>
      <c r="F76" s="338" t="n">
        <v>45651</v>
      </c>
      <c r="G76" s="226" t="n"/>
      <c r="H76" s="627" t="n"/>
      <c r="I76" s="627" t="n">
        <v>892218</v>
      </c>
      <c r="J76" s="223" t="inlineStr">
        <is>
          <t>អនុញ្ញាត (បានប្រកាស)</t>
        </is>
      </c>
      <c r="K76" s="223" t="n"/>
      <c r="L76" s="626">
        <f>I76</f>
        <v/>
      </c>
      <c r="M76" s="598">
        <f>I76-L76</f>
        <v/>
      </c>
      <c r="N76" s="223" t="n"/>
      <c r="O76" s="228">
        <f>U76=E76</f>
        <v/>
      </c>
      <c r="P76" s="228">
        <f>MONTH(F76)-MONTH(T76)</f>
        <v/>
      </c>
      <c r="Q76" s="228">
        <f>$B$5=X76</f>
        <v/>
      </c>
      <c r="R76" s="228">
        <f>I76-AD76</f>
        <v/>
      </c>
      <c r="S76" s="371" t="n"/>
      <c r="T76" s="372" t="n">
        <v>45651</v>
      </c>
      <c r="U76" s="371" t="inlineStr">
        <is>
          <t>BTT24-0002634</t>
        </is>
      </c>
      <c r="V76" s="371" t="n">
        <v>0</v>
      </c>
      <c r="W76" s="371" t="inlineStr">
        <is>
          <t>បុគ្គលជាប់អាករ</t>
        </is>
      </c>
      <c r="X76" s="371" t="inlineStr">
        <is>
          <t>L001-901640009</t>
        </is>
      </c>
      <c r="Y76" s="371" t="inlineStr">
        <is>
          <t>ហូលីដេ ឌីហ្សាញ (ខេមបូឌា) ឯ.ក</t>
        </is>
      </c>
      <c r="Z76" s="373" t="n">
        <v>9814398</v>
      </c>
      <c r="AA76" s="373" t="n">
        <v>8922180</v>
      </c>
      <c r="AB76" s="371" t="n">
        <v>0</v>
      </c>
      <c r="AC76" s="371" t="inlineStr">
        <is>
          <t>-</t>
        </is>
      </c>
      <c r="AD76" s="373" t="n">
        <v>892218</v>
      </c>
      <c r="AE76" s="371" t="n">
        <v>0</v>
      </c>
      <c r="AF76" s="625" t="n">
        <v>0</v>
      </c>
      <c r="AG76" s="205" t="n">
        <v>0</v>
      </c>
      <c r="AH76" s="205" t="n">
        <v>0</v>
      </c>
      <c r="AI76" s="205" t="n">
        <v>0</v>
      </c>
      <c r="AJ76" s="205" t="n">
        <v>0</v>
      </c>
      <c r="AK76" s="205" t="n">
        <v>0</v>
      </c>
      <c r="AL76" s="205" t="n">
        <v>0.01</v>
      </c>
      <c r="AM76" s="205" t="n">
        <v>0</v>
      </c>
      <c r="AN76" s="205" t="inlineStr">
        <is>
          <t>Truking / Service</t>
        </is>
      </c>
    </row>
    <row r="77">
      <c r="A77" s="222">
        <f>A76+1</f>
        <v/>
      </c>
      <c r="B77" s="224" t="inlineStr">
        <is>
          <t>Lift-On&amp;Lift-Off-Im</t>
        </is>
      </c>
      <c r="C77" s="224" t="inlineStr">
        <is>
          <t>Port Autonome Du Sihanoukville</t>
        </is>
      </c>
      <c r="D77" s="225" t="inlineStr">
        <is>
          <t>L001-100044638</t>
        </is>
      </c>
      <c r="E77" s="359" t="n">
        <v>269508</v>
      </c>
      <c r="F77" s="338" t="n">
        <v>45650</v>
      </c>
      <c r="G77" s="226" t="n"/>
      <c r="H77" s="627" t="n"/>
      <c r="I77" s="627" t="n">
        <v>349653</v>
      </c>
      <c r="J77" s="223" t="inlineStr">
        <is>
          <t>អនុញ្ញាត (បានប្រកាស)</t>
        </is>
      </c>
      <c r="K77" s="223" t="n"/>
      <c r="L77" s="626">
        <f>I77</f>
        <v/>
      </c>
      <c r="M77" s="598">
        <f>I77-L77</f>
        <v/>
      </c>
      <c r="N77" s="223" t="n"/>
      <c r="O77" s="228">
        <f>U77=E77</f>
        <v/>
      </c>
      <c r="P77" s="228">
        <f>MONTH(F77)-MONTH(T77)</f>
        <v/>
      </c>
      <c r="Q77" s="228">
        <f>$B$5=X77</f>
        <v/>
      </c>
      <c r="R77" s="228">
        <f>I77-AD77</f>
        <v/>
      </c>
      <c r="S77" s="371" t="n"/>
      <c r="T77" s="372" t="n">
        <v>45650</v>
      </c>
      <c r="U77" s="371" t="n">
        <v>269508</v>
      </c>
      <c r="V77" s="371" t="n">
        <v>0</v>
      </c>
      <c r="W77" s="371" t="inlineStr">
        <is>
          <t>បុគ្គលជាប់អាករ</t>
        </is>
      </c>
      <c r="X77" s="371" t="inlineStr">
        <is>
          <t>L001-901640009</t>
        </is>
      </c>
      <c r="Y77" s="371" t="inlineStr">
        <is>
          <t>ហូលីដេ ឌីហ្សាញ (ខេមបូឌា) ឯ.ក</t>
        </is>
      </c>
      <c r="Z77" s="373" t="n">
        <v>3846183</v>
      </c>
      <c r="AA77" s="373" t="n">
        <v>3496530</v>
      </c>
      <c r="AB77" s="371" t="n">
        <v>0</v>
      </c>
      <c r="AC77" s="371" t="inlineStr">
        <is>
          <t>-</t>
        </is>
      </c>
      <c r="AD77" s="373" t="n">
        <v>349653</v>
      </c>
      <c r="AE77" s="371" t="n"/>
      <c r="AF77" s="625" t="n"/>
    </row>
    <row r="78">
      <c r="A78" s="222">
        <f>A77+1</f>
        <v/>
      </c>
      <c r="B78" s="224" t="inlineStr">
        <is>
          <t>Plastics Cable Ties</t>
        </is>
      </c>
      <c r="C78" s="224" t="inlineStr">
        <is>
          <t>XINYUANXIN PAPER</t>
        </is>
      </c>
      <c r="D78" s="225" t="inlineStr">
        <is>
          <t>K006-902300227</t>
        </is>
      </c>
      <c r="E78" s="359" t="inlineStr">
        <is>
          <t>XYX250112</t>
        </is>
      </c>
      <c r="F78" s="338" t="n">
        <v>45742</v>
      </c>
      <c r="G78" s="226" t="n"/>
      <c r="H78" s="627" t="n"/>
      <c r="I78" s="627" t="n">
        <v>96072</v>
      </c>
      <c r="J78" s="223" t="inlineStr">
        <is>
          <t>អនុញ្ញាត (បានប្រកាស)</t>
        </is>
      </c>
      <c r="K78" s="223" t="n"/>
      <c r="L78" s="626">
        <f>I78</f>
        <v/>
      </c>
      <c r="M78" s="598">
        <f>I78-L78</f>
        <v/>
      </c>
      <c r="N78" s="223" t="n"/>
      <c r="O78" s="228">
        <f>U78=E78</f>
        <v/>
      </c>
      <c r="P78" s="228">
        <f>MONTH(F78)-MONTH(T78)</f>
        <v/>
      </c>
      <c r="Q78" s="228">
        <f>$B$5=X78</f>
        <v/>
      </c>
      <c r="R78" s="228">
        <f>I78-AD78</f>
        <v/>
      </c>
      <c r="S78" s="371" t="n"/>
      <c r="T78" s="372" t="n">
        <v>45742</v>
      </c>
      <c r="U78" s="371" t="inlineStr">
        <is>
          <t>XYX250112</t>
        </is>
      </c>
      <c r="V78" s="371" t="n">
        <v>0</v>
      </c>
      <c r="W78" s="371" t="inlineStr">
        <is>
          <t>បុគ្គលជាប់អាករ</t>
        </is>
      </c>
      <c r="X78" s="371" t="inlineStr">
        <is>
          <t>L001-901640009</t>
        </is>
      </c>
      <c r="Y78" s="371" t="inlineStr">
        <is>
          <t>ហូលីដេ ឌីហ្សាញ (ខេមបូឌា) ឯ.ក</t>
        </is>
      </c>
      <c r="Z78" s="373" t="n">
        <v>1056792</v>
      </c>
      <c r="AA78" s="373" t="n">
        <v>960720</v>
      </c>
      <c r="AB78" s="371" t="n">
        <v>0</v>
      </c>
      <c r="AC78" s="371" t="inlineStr">
        <is>
          <t>-</t>
        </is>
      </c>
      <c r="AD78" s="373" t="n">
        <v>96072</v>
      </c>
      <c r="AE78" s="371" t="n">
        <v>0</v>
      </c>
      <c r="AF78" s="625" t="n">
        <v>0</v>
      </c>
      <c r="AG78" s="205" t="n">
        <v>0</v>
      </c>
      <c r="AH78" s="205" t="n">
        <v>0</v>
      </c>
      <c r="AI78" s="205" t="n">
        <v>0</v>
      </c>
      <c r="AJ78" s="205" t="n">
        <v>0</v>
      </c>
      <c r="AK78" s="205" t="n">
        <v>0</v>
      </c>
      <c r="AL78" s="205" t="n">
        <v>0.01</v>
      </c>
      <c r="AM78" s="205" t="n">
        <v>0</v>
      </c>
      <c r="AN78" s="205" t="inlineStr">
        <is>
          <t>Plastic Cable Ties</t>
        </is>
      </c>
      <c r="AO78" s="205" t="inlineStr">
        <is>
          <t>បានប្រកាសនិងបង់ពន្ធ</t>
        </is>
      </c>
    </row>
    <row r="79">
      <c r="A79" s="222">
        <f>A78+1</f>
        <v/>
      </c>
      <c r="B79" s="224" t="inlineStr">
        <is>
          <t>Trucking Fee-Im</t>
        </is>
      </c>
      <c r="C79" s="224" t="inlineStr">
        <is>
          <t>BRILLIANT TRANSPORT AND TRADING Co., Ltd.</t>
        </is>
      </c>
      <c r="D79" s="225" t="inlineStr">
        <is>
          <t>K002-100089305</t>
        </is>
      </c>
      <c r="E79" s="359" t="inlineStr">
        <is>
          <t>BTT24-0002636</t>
        </is>
      </c>
      <c r="F79" s="338" t="n">
        <v>45649</v>
      </c>
      <c r="G79" s="226" t="n"/>
      <c r="H79" s="627" t="n"/>
      <c r="I79" s="627" t="n">
        <v>2355720</v>
      </c>
      <c r="J79" s="223" t="inlineStr">
        <is>
          <t>អនុញ្ញាត (បានប្រកាស)</t>
        </is>
      </c>
      <c r="K79" s="223" t="n"/>
      <c r="L79" s="626">
        <f>I79</f>
        <v/>
      </c>
      <c r="M79" s="598">
        <f>I79-L79</f>
        <v/>
      </c>
      <c r="N79" s="223" t="n"/>
      <c r="O79" s="228">
        <f>U79=E79</f>
        <v/>
      </c>
      <c r="P79" s="228">
        <f>MONTH(F79)-MONTH(T79)</f>
        <v/>
      </c>
      <c r="Q79" s="228">
        <f>$B$5=X79</f>
        <v/>
      </c>
      <c r="R79" s="228">
        <f>I79-AD79</f>
        <v/>
      </c>
      <c r="S79" s="371" t="n"/>
      <c r="T79" s="372" t="n">
        <v>45649</v>
      </c>
      <c r="U79" s="371" t="inlineStr">
        <is>
          <t>BTT24-0002636</t>
        </is>
      </c>
      <c r="V79" s="371" t="n">
        <v>0</v>
      </c>
      <c r="W79" s="371" t="inlineStr">
        <is>
          <t>បុគ្គលជាប់អាករ</t>
        </is>
      </c>
      <c r="X79" s="371" t="inlineStr">
        <is>
          <t>L001-901640009</t>
        </is>
      </c>
      <c r="Y79" s="371" t="inlineStr">
        <is>
          <t>ហូលីដេ ឌីហ្សាញ (ខេមបូឌា) ឯ.ក</t>
        </is>
      </c>
      <c r="Z79" s="373" t="n">
        <v>25912920</v>
      </c>
      <c r="AA79" s="373" t="n">
        <v>23557200</v>
      </c>
      <c r="AB79" s="371" t="n">
        <v>0</v>
      </c>
      <c r="AC79" s="371" t="inlineStr">
        <is>
          <t>-</t>
        </is>
      </c>
      <c r="AD79" s="373" t="n">
        <v>2355720</v>
      </c>
      <c r="AE79" s="371" t="n">
        <v>0</v>
      </c>
      <c r="AF79" s="625" t="n">
        <v>0</v>
      </c>
      <c r="AG79" s="205" t="n">
        <v>0</v>
      </c>
      <c r="AH79" s="205" t="n">
        <v>0</v>
      </c>
      <c r="AI79" s="205" t="n">
        <v>0</v>
      </c>
      <c r="AJ79" s="205" t="n">
        <v>0</v>
      </c>
      <c r="AK79" s="205" t="n">
        <v>0</v>
      </c>
      <c r="AL79" s="205" t="n">
        <v>0.01</v>
      </c>
      <c r="AM79" s="205" t="n">
        <v>0</v>
      </c>
      <c r="AN79" s="205" t="inlineStr">
        <is>
          <t>Truking / Service</t>
        </is>
      </c>
    </row>
    <row r="80">
      <c r="A80" s="222">
        <f>A79+1</f>
        <v/>
      </c>
      <c r="B80" s="224" t="inlineStr">
        <is>
          <t>Lift-On&amp;Lift-Off-Im</t>
        </is>
      </c>
      <c r="C80" s="224" t="inlineStr">
        <is>
          <t>Port Autonome Du Sihanoukville</t>
        </is>
      </c>
      <c r="D80" s="225" t="inlineStr">
        <is>
          <t>L001-100044638</t>
        </is>
      </c>
      <c r="E80" s="359" t="n">
        <v>266930</v>
      </c>
      <c r="F80" s="338" t="n">
        <v>45647</v>
      </c>
      <c r="G80" s="226" t="n"/>
      <c r="H80" s="627" t="n"/>
      <c r="I80" s="627" t="n">
        <v>68725</v>
      </c>
      <c r="J80" s="223" t="inlineStr">
        <is>
          <t>អនុញ្ញាត (បានប្រកាស)</t>
        </is>
      </c>
      <c r="K80" s="223" t="n"/>
      <c r="L80" s="626">
        <f>I80</f>
        <v/>
      </c>
      <c r="M80" s="598">
        <f>I80-L80</f>
        <v/>
      </c>
      <c r="N80" s="223" t="n"/>
      <c r="O80" s="228">
        <f>U80=E80</f>
        <v/>
      </c>
      <c r="P80" s="228">
        <f>MONTH(F80)-MONTH(T80)</f>
        <v/>
      </c>
      <c r="Q80" s="228">
        <f>$B$5=X80</f>
        <v/>
      </c>
      <c r="R80" s="228">
        <f>I80-AD80</f>
        <v/>
      </c>
      <c r="S80" s="371" t="n"/>
      <c r="T80" s="372" t="n">
        <v>45646</v>
      </c>
      <c r="U80" s="371" t="n">
        <v>266930</v>
      </c>
      <c r="V80" s="371" t="n">
        <v>0</v>
      </c>
      <c r="W80" s="371" t="inlineStr">
        <is>
          <t>បុគ្គលជាប់អាករ</t>
        </is>
      </c>
      <c r="X80" s="371" t="inlineStr">
        <is>
          <t>L001-901640009</t>
        </is>
      </c>
      <c r="Y80" s="371" t="inlineStr">
        <is>
          <t>ហូលីដេ ឌីហ្សាញ (ខេមបូឌា) ឯ.ក</t>
        </is>
      </c>
      <c r="Z80" s="373" t="n">
        <v>755974</v>
      </c>
      <c r="AA80" s="373" t="n">
        <v>687249</v>
      </c>
      <c r="AB80" s="371" t="n">
        <v>0</v>
      </c>
      <c r="AC80" s="371" t="inlineStr">
        <is>
          <t>-</t>
        </is>
      </c>
      <c r="AD80" s="373" t="n">
        <v>68725</v>
      </c>
      <c r="AE80" s="371" t="n"/>
      <c r="AF80" s="625" t="n"/>
    </row>
    <row r="81">
      <c r="A81" s="222">
        <f>A80+1</f>
        <v/>
      </c>
      <c r="B81" s="224" t="inlineStr">
        <is>
          <t>Terminal Handling Service-Im</t>
        </is>
      </c>
      <c r="C81" s="224" t="inlineStr">
        <is>
          <t>SITC CONTAINER LINES (CAMBODIA) Co., Ltd.</t>
        </is>
      </c>
      <c r="D81" s="225" t="inlineStr">
        <is>
          <t>L001-107035863</t>
        </is>
      </c>
      <c r="E81" s="359" t="inlineStr">
        <is>
          <t>SITC2024-039422</t>
        </is>
      </c>
      <c r="F81" s="338" t="n">
        <v>45639</v>
      </c>
      <c r="G81" s="226" t="n"/>
      <c r="H81" s="627" t="n"/>
      <c r="I81" s="627" t="n">
        <v>386016</v>
      </c>
      <c r="J81" s="223" t="inlineStr">
        <is>
          <t>អនុញ្ញាត (បានប្រកាស)</t>
        </is>
      </c>
      <c r="K81" s="223" t="n"/>
      <c r="L81" s="626">
        <f>I81</f>
        <v/>
      </c>
      <c r="M81" s="598">
        <f>I81-L81</f>
        <v/>
      </c>
      <c r="N81" s="223" t="n"/>
      <c r="O81" s="228">
        <f>U81=E81</f>
        <v/>
      </c>
      <c r="P81" s="228">
        <f>MONTH(F81)-MONTH(T81)</f>
        <v/>
      </c>
      <c r="Q81" s="228">
        <f>$B$5=X81</f>
        <v/>
      </c>
      <c r="R81" s="228">
        <f>I81-AD81</f>
        <v/>
      </c>
      <c r="S81" s="371" t="n"/>
      <c r="T81" s="372" t="n">
        <v>45639</v>
      </c>
      <c r="U81" s="371" t="inlineStr">
        <is>
          <t>SITC2024-039422</t>
        </is>
      </c>
      <c r="V81" s="371" t="n">
        <v>0</v>
      </c>
      <c r="W81" s="371" t="inlineStr">
        <is>
          <t>បុគ្គលជាប់អាករ</t>
        </is>
      </c>
      <c r="X81" s="371" t="inlineStr">
        <is>
          <t>L001-901640009</t>
        </is>
      </c>
      <c r="Y81" s="371" t="inlineStr">
        <is>
          <t>ហូលីដេ ឌីហ្សាញ (ខេមបូឌា) ឯ.ក</t>
        </is>
      </c>
      <c r="Z81" s="373" t="n">
        <v>4246176</v>
      </c>
      <c r="AA81" s="373" t="n">
        <v>3860160</v>
      </c>
      <c r="AB81" s="371" t="n">
        <v>0</v>
      </c>
      <c r="AC81" s="371" t="inlineStr">
        <is>
          <t>-</t>
        </is>
      </c>
      <c r="AD81" s="373" t="n">
        <v>386016</v>
      </c>
      <c r="AE81" s="371" t="n">
        <v>0</v>
      </c>
      <c r="AF81" s="625" t="n">
        <v>0</v>
      </c>
      <c r="AG81" s="205" t="n">
        <v>0</v>
      </c>
      <c r="AH81" s="205" t="n">
        <v>0</v>
      </c>
      <c r="AI81" s="205" t="n">
        <v>0</v>
      </c>
      <c r="AJ81" s="205" t="n">
        <v>0</v>
      </c>
      <c r="AK81" s="205" t="n">
        <v>0</v>
      </c>
      <c r="AL81" s="205" t="n">
        <v>0.01</v>
      </c>
      <c r="AM81" s="205" t="n">
        <v>0</v>
      </c>
      <c r="AN81" s="205" t="inlineStr">
        <is>
          <t>EMF,EIB,KHDOC,KHTHC,KHCIC</t>
        </is>
      </c>
    </row>
    <row r="82">
      <c r="A82" s="222">
        <f>A81+1</f>
        <v/>
      </c>
      <c r="B82" s="224" t="inlineStr">
        <is>
          <t>Trucking Fee-Im</t>
        </is>
      </c>
      <c r="C82" s="224" t="inlineStr">
        <is>
          <t>BRILLIANT TRANSPORT AND TRADING Co., Ltd.</t>
        </is>
      </c>
      <c r="D82" s="225" t="inlineStr">
        <is>
          <t>K002-100089305</t>
        </is>
      </c>
      <c r="E82" s="359" t="inlineStr">
        <is>
          <t>BTT24-0002587</t>
        </is>
      </c>
      <c r="F82" s="338" t="n">
        <v>45646</v>
      </c>
      <c r="G82" s="226" t="n"/>
      <c r="H82" s="627" t="n"/>
      <c r="I82" s="627" t="n">
        <v>731056</v>
      </c>
      <c r="J82" s="223" t="inlineStr">
        <is>
          <t>អនុញ្ញាត (បានប្រកាស)</t>
        </is>
      </c>
      <c r="K82" s="223" t="n"/>
      <c r="L82" s="626">
        <f>I82</f>
        <v/>
      </c>
      <c r="M82" s="598">
        <f>I82-L82</f>
        <v/>
      </c>
      <c r="N82" s="223" t="n"/>
      <c r="O82" s="228">
        <f>U82=E82</f>
        <v/>
      </c>
      <c r="P82" s="228">
        <f>MONTH(F82)-MONTH(T82)</f>
        <v/>
      </c>
      <c r="Q82" s="228">
        <f>$B$5=X82</f>
        <v/>
      </c>
      <c r="R82" s="228">
        <f>I82-AD82</f>
        <v/>
      </c>
      <c r="S82" s="371" t="n"/>
      <c r="T82" s="372" t="n">
        <v>45646</v>
      </c>
      <c r="U82" s="371" t="inlineStr">
        <is>
          <t>BTT24-0002587</t>
        </is>
      </c>
      <c r="V82" s="371" t="n">
        <v>0</v>
      </c>
      <c r="W82" s="371" t="inlineStr">
        <is>
          <t>បុគ្គលជាប់អាករ</t>
        </is>
      </c>
      <c r="X82" s="371" t="inlineStr">
        <is>
          <t>L001-901640009</t>
        </is>
      </c>
      <c r="Y82" s="371" t="inlineStr">
        <is>
          <t>ហូលីដេ ឌីហ្សាញ (ខេមបូឌា) ឯ.ក</t>
        </is>
      </c>
      <c r="Z82" s="373" t="n">
        <v>8041617</v>
      </c>
      <c r="AA82" s="373" t="n">
        <v>7310561</v>
      </c>
      <c r="AB82" s="371" t="n">
        <v>0</v>
      </c>
      <c r="AC82" s="371" t="inlineStr">
        <is>
          <t>-</t>
        </is>
      </c>
      <c r="AD82" s="373" t="n">
        <v>731056</v>
      </c>
      <c r="AE82" s="371" t="n">
        <v>0</v>
      </c>
      <c r="AF82" s="625" t="n">
        <v>0</v>
      </c>
      <c r="AG82" s="205" t="n">
        <v>0</v>
      </c>
      <c r="AH82" s="205" t="n">
        <v>0</v>
      </c>
      <c r="AI82" s="205" t="n">
        <v>0</v>
      </c>
      <c r="AJ82" s="205" t="n">
        <v>0</v>
      </c>
      <c r="AK82" s="205" t="n">
        <v>0</v>
      </c>
      <c r="AL82" s="205" t="n">
        <v>0.01</v>
      </c>
      <c r="AM82" s="205" t="n">
        <v>0</v>
      </c>
      <c r="AN82" s="205" t="inlineStr">
        <is>
          <t>Truking / Service</t>
        </is>
      </c>
    </row>
    <row r="83">
      <c r="A83" s="222">
        <f>A82+1</f>
        <v/>
      </c>
      <c r="B83" s="224" t="inlineStr">
        <is>
          <t>Lift-On&amp;Lift-Off-Im</t>
        </is>
      </c>
      <c r="C83" s="224" t="inlineStr">
        <is>
          <t>Port Autonome Du Sihanoukville</t>
        </is>
      </c>
      <c r="D83" s="225" t="inlineStr">
        <is>
          <t>L001-100044638</t>
        </is>
      </c>
      <c r="E83" s="359" t="n">
        <v>266917</v>
      </c>
      <c r="F83" s="338" t="n">
        <v>45646</v>
      </c>
      <c r="G83" s="226" t="n"/>
      <c r="H83" s="627" t="n"/>
      <c r="I83" s="627" t="n">
        <v>267665</v>
      </c>
      <c r="J83" s="223" t="inlineStr">
        <is>
          <t>អនុញ្ញាត (បានប្រកាស)</t>
        </is>
      </c>
      <c r="K83" s="223" t="n"/>
      <c r="L83" s="626">
        <f>I83</f>
        <v/>
      </c>
      <c r="M83" s="598">
        <f>I83-L83</f>
        <v/>
      </c>
      <c r="N83" s="223" t="n"/>
      <c r="O83" s="228">
        <f>U83=E83</f>
        <v/>
      </c>
      <c r="P83" s="228">
        <f>MONTH(F83)-MONTH(T83)</f>
        <v/>
      </c>
      <c r="Q83" s="228">
        <f>$B$5=X83</f>
        <v/>
      </c>
      <c r="R83" s="228">
        <f>I83-AD83</f>
        <v/>
      </c>
      <c r="S83" s="371" t="n"/>
      <c r="T83" s="372" t="n">
        <v>45646</v>
      </c>
      <c r="U83" s="371" t="n">
        <v>266917</v>
      </c>
      <c r="V83" s="371" t="n">
        <v>0</v>
      </c>
      <c r="W83" s="371" t="inlineStr">
        <is>
          <t>បុគ្គលជាប់អាករ</t>
        </is>
      </c>
      <c r="X83" s="371" t="inlineStr">
        <is>
          <t>L001-901640009</t>
        </is>
      </c>
      <c r="Y83" s="371" t="inlineStr">
        <is>
          <t>ហូលីដេ ឌីហ្សាញ (ខេមបូឌា) ឯ.ក</t>
        </is>
      </c>
      <c r="Z83" s="373" t="n">
        <v>2944319</v>
      </c>
      <c r="AA83" s="373" t="n">
        <v>2676654</v>
      </c>
      <c r="AB83" s="371" t="n">
        <v>0</v>
      </c>
      <c r="AC83" s="371" t="inlineStr">
        <is>
          <t>-</t>
        </is>
      </c>
      <c r="AD83" s="373" t="n">
        <v>267665</v>
      </c>
      <c r="AE83" s="371" t="n"/>
      <c r="AF83" s="625" t="n"/>
    </row>
    <row r="84">
      <c r="A84" s="222">
        <f>A83+1</f>
        <v/>
      </c>
      <c r="B84" s="224" t="inlineStr">
        <is>
          <t>Plastics Cable Ties, Bopp Packing Tape</t>
        </is>
      </c>
      <c r="C84" s="224" t="inlineStr">
        <is>
          <t>XINYUANXIN PAPER</t>
        </is>
      </c>
      <c r="D84" s="225" t="inlineStr">
        <is>
          <t>K006-902300227</t>
        </is>
      </c>
      <c r="E84" s="359" t="inlineStr">
        <is>
          <t>XYX250160</t>
        </is>
      </c>
      <c r="F84" s="338" t="n">
        <v>45774</v>
      </c>
      <c r="G84" s="226" t="n"/>
      <c r="H84" s="627" t="n"/>
      <c r="I84" s="627" t="n">
        <v>6997244</v>
      </c>
      <c r="J84" s="223" t="inlineStr">
        <is>
          <t>អនុញ្ញាត (បានប្រកាស)</t>
        </is>
      </c>
      <c r="K84" s="223" t="n"/>
      <c r="L84" s="626">
        <f>I84</f>
        <v/>
      </c>
      <c r="M84" s="598">
        <f>I84-L84</f>
        <v/>
      </c>
      <c r="N84" s="223" t="inlineStr">
        <is>
          <t>បានពិនិត្យវិក្កយបត្រ</t>
        </is>
      </c>
      <c r="O84" s="228">
        <f>U84=E84</f>
        <v/>
      </c>
      <c r="P84" s="228">
        <f>MONTH(F84)-MONTH(T84)</f>
        <v/>
      </c>
      <c r="Q84" s="228">
        <f>$B$5=X84</f>
        <v/>
      </c>
      <c r="R84" s="228">
        <f>I84-AD84</f>
        <v/>
      </c>
      <c r="S84" s="371" t="n"/>
      <c r="T84" s="372" t="n">
        <v>45774</v>
      </c>
      <c r="U84" s="371" t="inlineStr">
        <is>
          <t>XYX250160</t>
        </is>
      </c>
      <c r="V84" s="371" t="n">
        <v>0</v>
      </c>
      <c r="W84" s="371" t="inlineStr">
        <is>
          <t>បុគ្គលជាប់អាករ</t>
        </is>
      </c>
      <c r="X84" s="371" t="inlineStr">
        <is>
          <t>L001-901640009</t>
        </is>
      </c>
      <c r="Y84" s="371" t="inlineStr">
        <is>
          <t>ហូលីដេ ឌីហ្សាញ (ខេមបូឌា) ឯ.ក</t>
        </is>
      </c>
      <c r="Z84" s="373" t="n">
        <v>76969684</v>
      </c>
      <c r="AA84" s="373" t="n">
        <v>69972440</v>
      </c>
      <c r="AB84" s="371" t="n">
        <v>0</v>
      </c>
      <c r="AC84" s="371" t="inlineStr">
        <is>
          <t>-</t>
        </is>
      </c>
      <c r="AD84" s="373" t="n">
        <v>6997244</v>
      </c>
      <c r="AE84" s="371" t="n">
        <v>0</v>
      </c>
      <c r="AF84" s="625" t="n">
        <v>0</v>
      </c>
      <c r="AG84" s="205" t="n">
        <v>0</v>
      </c>
      <c r="AH84" s="205" t="n">
        <v>0</v>
      </c>
      <c r="AI84" s="205" t="n">
        <v>0</v>
      </c>
      <c r="AJ84" s="205" t="n">
        <v>0</v>
      </c>
      <c r="AK84" s="205" t="n">
        <v>0</v>
      </c>
      <c r="AL84" s="205" t="n">
        <v>0.01</v>
      </c>
      <c r="AM84" s="205" t="n">
        <v>0</v>
      </c>
      <c r="AN84" s="205" t="inlineStr">
        <is>
          <t>Plastic Cable Ties, Bopp Packing Tape...</t>
        </is>
      </c>
      <c r="AO84" s="205" t="inlineStr">
        <is>
          <t>បានប្រកាសនិងបង់ពន្ធ</t>
        </is>
      </c>
    </row>
    <row r="85">
      <c r="A85" s="222">
        <f>A84+1</f>
        <v/>
      </c>
      <c r="B85" s="224" t="inlineStr">
        <is>
          <t>Plastics Cable Ties, Bopp Packing Tape</t>
        </is>
      </c>
      <c r="C85" s="224" t="inlineStr">
        <is>
          <t>XINYUANXIN PAPER</t>
        </is>
      </c>
      <c r="D85" s="225" t="inlineStr">
        <is>
          <t>K006-902300227</t>
        </is>
      </c>
      <c r="E85" s="359" t="inlineStr">
        <is>
          <t>XYX250234</t>
        </is>
      </c>
      <c r="F85" s="338" t="n">
        <v>45804</v>
      </c>
      <c r="G85" s="226" t="n"/>
      <c r="H85" s="627" t="n"/>
      <c r="I85" s="627" t="n">
        <v>3194394</v>
      </c>
      <c r="J85" s="223" t="inlineStr">
        <is>
          <t>អនុញ្ញាត (បានប្រកាស)</t>
        </is>
      </c>
      <c r="K85" s="223" t="n"/>
      <c r="L85" s="626">
        <f>I85</f>
        <v/>
      </c>
      <c r="M85" s="598">
        <f>I85-L85</f>
        <v/>
      </c>
      <c r="N85" s="223" t="n"/>
      <c r="O85" s="228">
        <f>U85=E85</f>
        <v/>
      </c>
      <c r="P85" s="228">
        <f>MONTH(F85)-MONTH(T85)</f>
        <v/>
      </c>
      <c r="Q85" s="228">
        <f>$B$5=X85</f>
        <v/>
      </c>
      <c r="R85" s="228">
        <f>I85-AD85</f>
        <v/>
      </c>
      <c r="S85" s="371" t="n"/>
      <c r="T85" s="372" t="n">
        <v>45804</v>
      </c>
      <c r="U85" s="371" t="inlineStr">
        <is>
          <t>XYX250234</t>
        </is>
      </c>
      <c r="V85" s="371" t="n">
        <v>0</v>
      </c>
      <c r="W85" s="371" t="inlineStr">
        <is>
          <t>បុគ្គលជាប់អាករ</t>
        </is>
      </c>
      <c r="X85" s="371" t="inlineStr">
        <is>
          <t>L001-901640009</t>
        </is>
      </c>
      <c r="Y85" s="371" t="inlineStr">
        <is>
          <t>ហូលីដេ ឌីហ្សាញ (ខេមបូឌា) ឯ.ក</t>
        </is>
      </c>
      <c r="Z85" s="373" t="n">
        <v>35138334</v>
      </c>
      <c r="AA85" s="373" t="n">
        <v>31943940</v>
      </c>
      <c r="AB85" s="371" t="n">
        <v>0</v>
      </c>
      <c r="AC85" s="371" t="inlineStr">
        <is>
          <t>-</t>
        </is>
      </c>
      <c r="AD85" s="373" t="n">
        <v>3194394</v>
      </c>
      <c r="AE85" s="371" t="n">
        <v>0</v>
      </c>
      <c r="AF85" s="625" t="n">
        <v>0</v>
      </c>
      <c r="AG85" s="205" t="n">
        <v>0</v>
      </c>
      <c r="AH85" s="205" t="n">
        <v>0</v>
      </c>
      <c r="AI85" s="205" t="n">
        <v>0</v>
      </c>
      <c r="AJ85" s="205" t="n">
        <v>0</v>
      </c>
      <c r="AK85" s="205" t="n">
        <v>0</v>
      </c>
      <c r="AL85" s="205" t="n">
        <v>0.01</v>
      </c>
      <c r="AM85" s="205" t="n">
        <v>0</v>
      </c>
      <c r="AN85" s="205" t="inlineStr">
        <is>
          <t>Plastic Cable Ties, Bopp Packing Tape</t>
        </is>
      </c>
      <c r="AO85" s="205" t="inlineStr">
        <is>
          <t>បានប្រកាសនិងបង់ពន្ធ</t>
        </is>
      </c>
    </row>
    <row r="86">
      <c r="A86" s="222">
        <f>A85+1</f>
        <v/>
      </c>
      <c r="B86" s="224" t="inlineStr">
        <is>
          <t>Lift-On&amp;Lift-Off-Im</t>
        </is>
      </c>
      <c r="C86" s="224" t="inlineStr">
        <is>
          <t>Port Autonome Du Sihanoukville</t>
        </is>
      </c>
      <c r="D86" s="225" t="inlineStr">
        <is>
          <t>L001-100044638</t>
        </is>
      </c>
      <c r="E86" s="359" t="n">
        <v>253250</v>
      </c>
      <c r="F86" s="338" t="n">
        <v>45630</v>
      </c>
      <c r="G86" s="226" t="n"/>
      <c r="H86" s="627" t="n"/>
      <c r="I86" s="627" t="n">
        <v>35061</v>
      </c>
      <c r="J86" s="223" t="inlineStr">
        <is>
          <t>អនុញ្ញាត (បានប្រកាស)</t>
        </is>
      </c>
      <c r="K86" s="223" t="n"/>
      <c r="L86" s="626">
        <f>I86</f>
        <v/>
      </c>
      <c r="M86" s="598">
        <f>I86-L86</f>
        <v/>
      </c>
      <c r="N86" s="223" t="n"/>
      <c r="O86" s="228">
        <f>U86=E86</f>
        <v/>
      </c>
      <c r="P86" s="228">
        <f>MONTH(F86)-MONTH(T86)</f>
        <v/>
      </c>
      <c r="Q86" s="228">
        <f>$B$5=X86</f>
        <v/>
      </c>
      <c r="R86" s="228">
        <f>I86-AD86</f>
        <v/>
      </c>
      <c r="S86" s="371" t="n"/>
      <c r="T86" s="372" t="n">
        <v>45630</v>
      </c>
      <c r="U86" s="371" t="n">
        <v>253250</v>
      </c>
      <c r="V86" s="371" t="n">
        <v>0</v>
      </c>
      <c r="W86" s="371" t="inlineStr">
        <is>
          <t>បុគ្គលជាប់អាករ</t>
        </is>
      </c>
      <c r="X86" s="371" t="inlineStr">
        <is>
          <t>L001-901640009</t>
        </is>
      </c>
      <c r="Y86" s="371" t="inlineStr">
        <is>
          <t>ហូលីដេ ឌីហ្សាញ (ខេមបូឌា) ឯ.ក</t>
        </is>
      </c>
      <c r="Z86" s="373" t="n">
        <v>385671</v>
      </c>
      <c r="AA86" s="373" t="n">
        <v>350610</v>
      </c>
      <c r="AB86" s="371" t="n">
        <v>0</v>
      </c>
      <c r="AC86" s="371" t="inlineStr">
        <is>
          <t>-</t>
        </is>
      </c>
      <c r="AD86" s="373" t="n">
        <v>35061</v>
      </c>
      <c r="AE86" s="371" t="n"/>
      <c r="AF86" s="625" t="n"/>
    </row>
    <row r="87">
      <c r="A87" s="222">
        <f>A86+1</f>
        <v/>
      </c>
      <c r="B87" s="224" t="inlineStr">
        <is>
          <t>Trucking Fee-Im</t>
        </is>
      </c>
      <c r="C87" s="224" t="inlineStr">
        <is>
          <t>BRILLIANT TRANSPORT AND TRADING Co., Ltd.</t>
        </is>
      </c>
      <c r="D87" s="225" t="inlineStr">
        <is>
          <t>K002-100089305</t>
        </is>
      </c>
      <c r="E87" s="359" t="inlineStr">
        <is>
          <t>BTT24-0002469</t>
        </is>
      </c>
      <c r="F87" s="338" t="n">
        <v>45630</v>
      </c>
      <c r="G87" s="226" t="n"/>
      <c r="H87" s="627" t="n"/>
      <c r="I87" s="627" t="n">
        <v>257920</v>
      </c>
      <c r="J87" s="223" t="inlineStr">
        <is>
          <t>អនុញ្ញាត (បានប្រកាស)</t>
        </is>
      </c>
      <c r="K87" s="223" t="n"/>
      <c r="L87" s="626">
        <f>I87</f>
        <v/>
      </c>
      <c r="M87" s="598">
        <f>I87-L87</f>
        <v/>
      </c>
      <c r="N87" s="223" t="n"/>
      <c r="O87" s="228">
        <f>U87=E87</f>
        <v/>
      </c>
      <c r="P87" s="228">
        <f>MONTH(F87)-MONTH(T87)</f>
        <v/>
      </c>
      <c r="Q87" s="228">
        <f>$B$5=X87</f>
        <v/>
      </c>
      <c r="R87" s="228">
        <f>I87-AD87</f>
        <v/>
      </c>
      <c r="S87" s="371" t="n"/>
      <c r="T87" s="372" t="n">
        <v>45630</v>
      </c>
      <c r="U87" s="371" t="inlineStr">
        <is>
          <t>BTT24-0002469</t>
        </is>
      </c>
      <c r="V87" s="371" t="n">
        <v>0</v>
      </c>
      <c r="W87" s="371" t="inlineStr">
        <is>
          <t>បុគ្គលជាប់អាករ</t>
        </is>
      </c>
      <c r="X87" s="371" t="inlineStr">
        <is>
          <t>L001-901640009</t>
        </is>
      </c>
      <c r="Y87" s="371" t="inlineStr">
        <is>
          <t>ហូលីដេ ឌីហ្សាញ (ខេមបូឌា) ឯ.ក</t>
        </is>
      </c>
      <c r="Z87" s="373" t="n">
        <v>2837120</v>
      </c>
      <c r="AA87" s="373" t="n">
        <v>2579200</v>
      </c>
      <c r="AB87" s="371" t="n">
        <v>0</v>
      </c>
      <c r="AC87" s="371" t="inlineStr">
        <is>
          <t>-</t>
        </is>
      </c>
      <c r="AD87" s="373" t="n">
        <v>257920</v>
      </c>
      <c r="AE87" s="371" t="n">
        <v>0</v>
      </c>
      <c r="AF87" s="625" t="n">
        <v>0</v>
      </c>
      <c r="AG87" s="205" t="n">
        <v>0</v>
      </c>
      <c r="AH87" s="205" t="n">
        <v>0</v>
      </c>
      <c r="AI87" s="205" t="n">
        <v>0</v>
      </c>
      <c r="AJ87" s="205" t="n">
        <v>0</v>
      </c>
      <c r="AK87" s="205" t="n">
        <v>0</v>
      </c>
      <c r="AL87" s="205" t="n">
        <v>0.01</v>
      </c>
      <c r="AM87" s="205" t="n">
        <v>0</v>
      </c>
      <c r="AN87" s="205" t="inlineStr">
        <is>
          <t>Truking / Service</t>
        </is>
      </c>
    </row>
    <row r="88">
      <c r="A88" s="222">
        <f>A87+1</f>
        <v/>
      </c>
      <c r="B88" s="224" t="inlineStr">
        <is>
          <t>Big Plywood 15MM</t>
        </is>
      </c>
      <c r="C88" s="224" t="inlineStr">
        <is>
          <t>GUOXING BUILDING MATERIAL CO., LTD.</t>
        </is>
      </c>
      <c r="D88" s="225" t="inlineStr">
        <is>
          <t>K009-902203491</t>
        </is>
      </c>
      <c r="E88" s="359" t="inlineStr">
        <is>
          <t>GX25-0080</t>
        </is>
      </c>
      <c r="F88" s="338" t="n">
        <v>45793</v>
      </c>
      <c r="G88" s="226" t="n"/>
      <c r="H88" s="627" t="n"/>
      <c r="I88" s="627" t="n">
        <v>696348</v>
      </c>
      <c r="J88" s="223" t="inlineStr">
        <is>
          <t>អនុញ្ញាត (បានប្រកាស)</t>
        </is>
      </c>
      <c r="K88" s="223" t="n"/>
      <c r="L88" s="626">
        <f>I88</f>
        <v/>
      </c>
      <c r="M88" s="598">
        <f>I88-L88</f>
        <v/>
      </c>
      <c r="N88" s="223" t="n"/>
      <c r="O88" s="228">
        <f>U88=E88</f>
        <v/>
      </c>
      <c r="P88" s="228">
        <f>MONTH(F88)-MONTH(T88)</f>
        <v/>
      </c>
      <c r="Q88" s="228">
        <f>$B$5=X88</f>
        <v/>
      </c>
      <c r="R88" s="228">
        <f>I88-AD88</f>
        <v/>
      </c>
      <c r="S88" s="371" t="n"/>
      <c r="T88" s="372" t="n">
        <v>45793</v>
      </c>
      <c r="U88" s="371" t="inlineStr">
        <is>
          <t>GX25-0080</t>
        </is>
      </c>
      <c r="V88" s="371" t="n">
        <v>0</v>
      </c>
      <c r="W88" s="371" t="inlineStr">
        <is>
          <t>បុគ្គលជាប់អាករ</t>
        </is>
      </c>
      <c r="X88" s="371" t="inlineStr">
        <is>
          <t>L001-901640009</t>
        </is>
      </c>
      <c r="Y88" s="371" t="inlineStr">
        <is>
          <t>ហូលីដេ ឌីហ្សាញ (ខេមបូឌា) ឯ.ក</t>
        </is>
      </c>
      <c r="Z88" s="373" t="n">
        <v>7659828</v>
      </c>
      <c r="AA88" s="373" t="n">
        <v>6963480</v>
      </c>
      <c r="AB88" s="371" t="n">
        <v>0</v>
      </c>
      <c r="AC88" s="371" t="inlineStr">
        <is>
          <t>-</t>
        </is>
      </c>
      <c r="AD88" s="373" t="n">
        <v>696348</v>
      </c>
      <c r="AE88" s="371" t="n">
        <v>0</v>
      </c>
      <c r="AF88" s="625" t="n">
        <v>0</v>
      </c>
      <c r="AG88" s="205" t="n">
        <v>0</v>
      </c>
      <c r="AH88" s="205" t="n">
        <v>0</v>
      </c>
      <c r="AI88" s="205" t="n">
        <v>0</v>
      </c>
      <c r="AJ88" s="205" t="n">
        <v>0</v>
      </c>
      <c r="AK88" s="205" t="n">
        <v>0</v>
      </c>
      <c r="AL88" s="205" t="n">
        <v>0.01</v>
      </c>
      <c r="AM88" s="205" t="n">
        <v>0</v>
      </c>
      <c r="AN88" s="205" t="inlineStr">
        <is>
          <t>Big Plywood 15mm</t>
        </is>
      </c>
      <c r="AO88" s="205" t="inlineStr">
        <is>
          <t>បានប្រកាសនិងបង់ពន្ធ</t>
        </is>
      </c>
    </row>
    <row r="89">
      <c r="A89" s="222">
        <f>A88+1</f>
        <v/>
      </c>
      <c r="B89" s="224" t="inlineStr">
        <is>
          <t>Trucking Fee-Im</t>
        </is>
      </c>
      <c r="C89" s="224" t="inlineStr">
        <is>
          <t>BRILLIANT TRANSPORT AND TRADING Co., Ltd.</t>
        </is>
      </c>
      <c r="D89" s="225" t="inlineStr">
        <is>
          <t>K002-100089305</t>
        </is>
      </c>
      <c r="E89" s="359" t="inlineStr">
        <is>
          <t>BTT24-0002586</t>
        </is>
      </c>
      <c r="F89" s="338" t="n">
        <v>45646</v>
      </c>
      <c r="G89" s="226" t="n"/>
      <c r="H89" s="627" t="n"/>
      <c r="I89" s="627" t="n">
        <v>1880892</v>
      </c>
      <c r="J89" s="223" t="inlineStr">
        <is>
          <t>អនុញ្ញាត (បានប្រកាស)</t>
        </is>
      </c>
      <c r="K89" s="223" t="n"/>
      <c r="L89" s="626">
        <f>I89</f>
        <v/>
      </c>
      <c r="M89" s="598">
        <f>I89-L89</f>
        <v/>
      </c>
      <c r="N89" s="223" t="n"/>
      <c r="O89" s="228">
        <f>U89=E89</f>
        <v/>
      </c>
      <c r="P89" s="228">
        <f>MONTH(F89)-MONTH(T89)</f>
        <v/>
      </c>
      <c r="Q89" s="228">
        <f>$B$5=X89</f>
        <v/>
      </c>
      <c r="R89" s="228">
        <f>I89-AD89</f>
        <v/>
      </c>
      <c r="S89" s="371" t="n"/>
      <c r="T89" s="372" t="n">
        <v>45646</v>
      </c>
      <c r="U89" s="371" t="inlineStr">
        <is>
          <t>BTT24-0002586</t>
        </is>
      </c>
      <c r="V89" s="371" t="n">
        <v>0</v>
      </c>
      <c r="W89" s="371" t="inlineStr">
        <is>
          <t>បុគ្គលជាប់អាករ</t>
        </is>
      </c>
      <c r="X89" s="371" t="inlineStr">
        <is>
          <t>L001-901640009</t>
        </is>
      </c>
      <c r="Y89" s="371" t="inlineStr">
        <is>
          <t>ហូលីដេ ឌីហ្សាញ (ខេមបូឌា) ឯ.ក</t>
        </is>
      </c>
      <c r="Z89" s="373" t="n">
        <v>20689812</v>
      </c>
      <c r="AA89" s="373" t="n">
        <v>18808920</v>
      </c>
      <c r="AB89" s="371" t="n">
        <v>0</v>
      </c>
      <c r="AC89" s="371" t="inlineStr">
        <is>
          <t>-</t>
        </is>
      </c>
      <c r="AD89" s="373" t="n">
        <v>1880892</v>
      </c>
      <c r="AE89" s="371" t="n">
        <v>0</v>
      </c>
      <c r="AF89" s="625" t="n">
        <v>0</v>
      </c>
      <c r="AG89" s="205" t="n">
        <v>0</v>
      </c>
      <c r="AH89" s="205" t="n">
        <v>0</v>
      </c>
      <c r="AI89" s="205" t="n">
        <v>0</v>
      </c>
      <c r="AJ89" s="205" t="n">
        <v>0</v>
      </c>
      <c r="AK89" s="205" t="n">
        <v>0</v>
      </c>
      <c r="AL89" s="205" t="n">
        <v>0.01</v>
      </c>
      <c r="AM89" s="205" t="n">
        <v>0</v>
      </c>
      <c r="AN89" s="205" t="inlineStr">
        <is>
          <t>Truking / Service</t>
        </is>
      </c>
    </row>
    <row r="90">
      <c r="A90" s="222">
        <f>A89+1</f>
        <v/>
      </c>
      <c r="B90" s="224" t="inlineStr">
        <is>
          <t>Trucking Fee-Im</t>
        </is>
      </c>
      <c r="C90" s="224" t="inlineStr">
        <is>
          <t>BRILLIANT TRANSPORT AND TRADING Co., Ltd.</t>
        </is>
      </c>
      <c r="D90" s="225" t="inlineStr">
        <is>
          <t>K002-100089305</t>
        </is>
      </c>
      <c r="E90" s="359" t="inlineStr">
        <is>
          <t>BTT24-0002470</t>
        </is>
      </c>
      <c r="F90" s="338" t="n">
        <v>45630</v>
      </c>
      <c r="G90" s="226" t="n"/>
      <c r="H90" s="627" t="n"/>
      <c r="I90" s="627" t="n">
        <v>1192880</v>
      </c>
      <c r="J90" s="223" t="inlineStr">
        <is>
          <t>អនុញ្ញាត (បានប្រកាស)</t>
        </is>
      </c>
      <c r="K90" s="223" t="n"/>
      <c r="L90" s="626">
        <f>I90</f>
        <v/>
      </c>
      <c r="M90" s="598">
        <f>I90-L90</f>
        <v/>
      </c>
      <c r="N90" s="223" t="n"/>
      <c r="O90" s="228">
        <f>U90=E90</f>
        <v/>
      </c>
      <c r="P90" s="228">
        <f>MONTH(F90)-MONTH(T90)</f>
        <v/>
      </c>
      <c r="Q90" s="228">
        <f>$B$5=X90</f>
        <v/>
      </c>
      <c r="R90" s="228">
        <f>I90-AD90</f>
        <v/>
      </c>
      <c r="S90" s="371" t="n"/>
      <c r="T90" s="372" t="n">
        <v>45630</v>
      </c>
      <c r="U90" s="371" t="inlineStr">
        <is>
          <t>BTT24-0002470</t>
        </is>
      </c>
      <c r="V90" s="371" t="n">
        <v>0</v>
      </c>
      <c r="W90" s="371" t="inlineStr">
        <is>
          <t>បុគ្គលជាប់អាករ</t>
        </is>
      </c>
      <c r="X90" s="371" t="inlineStr">
        <is>
          <t>L001-901640009</t>
        </is>
      </c>
      <c r="Y90" s="371" t="inlineStr">
        <is>
          <t>ហូលីដេ ឌីហ្សាញ (ខេមបូឌា) ឯ.ក</t>
        </is>
      </c>
      <c r="Z90" s="373" t="n">
        <v>13121680</v>
      </c>
      <c r="AA90" s="373" t="n">
        <v>11928800</v>
      </c>
      <c r="AB90" s="371" t="n">
        <v>0</v>
      </c>
      <c r="AC90" s="371" t="inlineStr">
        <is>
          <t>-</t>
        </is>
      </c>
      <c r="AD90" s="373" t="n">
        <v>1192880</v>
      </c>
      <c r="AE90" s="371" t="n">
        <v>0</v>
      </c>
      <c r="AF90" s="625" t="n">
        <v>0</v>
      </c>
      <c r="AG90" s="205" t="n">
        <v>0</v>
      </c>
      <c r="AH90" s="205" t="n">
        <v>0</v>
      </c>
      <c r="AI90" s="205" t="n">
        <v>0</v>
      </c>
      <c r="AJ90" s="205" t="n">
        <v>0</v>
      </c>
      <c r="AK90" s="205" t="n">
        <v>0</v>
      </c>
      <c r="AL90" s="205" t="n">
        <v>0.01</v>
      </c>
      <c r="AM90" s="205" t="n">
        <v>0</v>
      </c>
      <c r="AN90" s="205" t="inlineStr">
        <is>
          <t>Truking / Service</t>
        </is>
      </c>
    </row>
    <row r="91">
      <c r="A91" s="222">
        <f>A90+1</f>
        <v/>
      </c>
      <c r="B91" s="224" t="inlineStr">
        <is>
          <t>Lift-On&amp;Lift-Off-Im</t>
        </is>
      </c>
      <c r="C91" s="224" t="inlineStr">
        <is>
          <t>Port Autonome Du Sihanoukville</t>
        </is>
      </c>
      <c r="D91" s="225" t="inlineStr">
        <is>
          <t>L001-100044638</t>
        </is>
      </c>
      <c r="E91" s="359" t="n">
        <v>253254</v>
      </c>
      <c r="F91" s="338" t="n">
        <v>45630</v>
      </c>
      <c r="G91" s="226" t="n"/>
      <c r="H91" s="627" t="n"/>
      <c r="I91" s="627" t="n">
        <v>140244</v>
      </c>
      <c r="J91" s="223" t="inlineStr">
        <is>
          <t>អនុញ្ញាត (បានប្រកាស)</t>
        </is>
      </c>
      <c r="K91" s="223" t="n"/>
      <c r="L91" s="626">
        <f>I91</f>
        <v/>
      </c>
      <c r="M91" s="598">
        <f>I91-L91</f>
        <v/>
      </c>
      <c r="N91" s="223" t="n"/>
      <c r="O91" s="228">
        <f>U91=E91</f>
        <v/>
      </c>
      <c r="P91" s="228">
        <f>MONTH(F91)-MONTH(T91)</f>
        <v/>
      </c>
      <c r="Q91" s="228">
        <f>$B$5=X91</f>
        <v/>
      </c>
      <c r="R91" s="228">
        <f>I91-AD91</f>
        <v/>
      </c>
      <c r="S91" s="371" t="n"/>
      <c r="T91" s="372" t="n">
        <v>45630</v>
      </c>
      <c r="U91" s="371" t="n">
        <v>253254</v>
      </c>
      <c r="V91" s="371" t="n">
        <v>0</v>
      </c>
      <c r="W91" s="371" t="inlineStr">
        <is>
          <t>បុគ្គលជាប់អាករ</t>
        </is>
      </c>
      <c r="X91" s="371" t="inlineStr">
        <is>
          <t>L001-901640009</t>
        </is>
      </c>
      <c r="Y91" s="371" t="inlineStr">
        <is>
          <t>ហូលីដេ ឌីហ្សាញ (ខេមបូឌា) ឯ.ក</t>
        </is>
      </c>
      <c r="Z91" s="373" t="n">
        <v>1542684</v>
      </c>
      <c r="AA91" s="373" t="n">
        <v>1402440</v>
      </c>
      <c r="AB91" s="371" t="n">
        <v>0</v>
      </c>
      <c r="AC91" s="371" t="inlineStr">
        <is>
          <t>-</t>
        </is>
      </c>
      <c r="AD91" s="373" t="n">
        <v>140244</v>
      </c>
      <c r="AE91" s="371" t="n"/>
      <c r="AF91" s="625" t="n"/>
    </row>
    <row r="92">
      <c r="A92" s="222">
        <f>A91+1</f>
        <v/>
      </c>
      <c r="B92" s="224" t="inlineStr">
        <is>
          <t>Terminal Handling Service-Im</t>
        </is>
      </c>
      <c r="C92" s="224" t="inlineStr">
        <is>
          <t>SITC CONTAINER LINES (CAMBODIA) Co., Ltd.</t>
        </is>
      </c>
      <c r="D92" s="225" t="inlineStr">
        <is>
          <t>L001-107035863</t>
        </is>
      </c>
      <c r="E92" s="359" t="inlineStr">
        <is>
          <t>SITC2024-037237</t>
        </is>
      </c>
      <c r="F92" s="338" t="n">
        <v>45627</v>
      </c>
      <c r="G92" s="226" t="n"/>
      <c r="H92" s="627" t="n"/>
      <c r="I92" s="627" t="n">
        <v>861992</v>
      </c>
      <c r="J92" s="223" t="inlineStr">
        <is>
          <t>អនុញ្ញាត (បានប្រកាស)</t>
        </is>
      </c>
      <c r="K92" s="223" t="n"/>
      <c r="L92" s="626">
        <f>I92</f>
        <v/>
      </c>
      <c r="M92" s="598">
        <f>I92-L92</f>
        <v/>
      </c>
      <c r="N92" s="223" t="n"/>
      <c r="O92" s="228">
        <f>U92=E92</f>
        <v/>
      </c>
      <c r="P92" s="228">
        <f>MONTH(F92)-MONTH(T92)</f>
        <v/>
      </c>
      <c r="Q92" s="228">
        <f>$B$5=X92</f>
        <v/>
      </c>
      <c r="R92" s="228">
        <f>I92-AD92</f>
        <v/>
      </c>
      <c r="S92" s="371" t="n"/>
      <c r="T92" s="372" t="n">
        <v>45627</v>
      </c>
      <c r="U92" s="371" t="inlineStr">
        <is>
          <t>SITC2024-037237</t>
        </is>
      </c>
      <c r="V92" s="371" t="n">
        <v>0</v>
      </c>
      <c r="W92" s="371" t="inlineStr">
        <is>
          <t>បុគ្គលជាប់អាករ</t>
        </is>
      </c>
      <c r="X92" s="371" t="inlineStr">
        <is>
          <t>L001-901640009</t>
        </is>
      </c>
      <c r="Y92" s="371" t="inlineStr">
        <is>
          <t>ហូលីដេ ឌីហ្សាញ (ខេមបូឌា) ឯ.ក</t>
        </is>
      </c>
      <c r="Z92" s="373" t="n">
        <v>9481912</v>
      </c>
      <c r="AA92" s="373" t="n">
        <v>8619920</v>
      </c>
      <c r="AB92" s="371" t="n">
        <v>0</v>
      </c>
      <c r="AC92" s="371" t="inlineStr">
        <is>
          <t>-</t>
        </is>
      </c>
      <c r="AD92" s="373" t="n">
        <v>861992</v>
      </c>
      <c r="AE92" s="371" t="n">
        <v>0</v>
      </c>
      <c r="AF92" s="625" t="n">
        <v>0</v>
      </c>
      <c r="AG92" s="205" t="n">
        <v>0</v>
      </c>
      <c r="AH92" s="205" t="n">
        <v>0</v>
      </c>
      <c r="AI92" s="205" t="n">
        <v>0</v>
      </c>
      <c r="AJ92" s="205" t="n">
        <v>0</v>
      </c>
      <c r="AK92" s="205" t="n">
        <v>0</v>
      </c>
      <c r="AL92" s="205" t="n">
        <v>0.01</v>
      </c>
      <c r="AM92" s="205" t="n">
        <v>0</v>
      </c>
      <c r="AN92" s="205" t="inlineStr">
        <is>
          <t>KHCIC,KHDOC,KHTHC,EMF,EIB</t>
        </is>
      </c>
    </row>
    <row r="93">
      <c r="A93" s="222">
        <f>A92+1</f>
        <v/>
      </c>
      <c r="B93" s="224" t="inlineStr">
        <is>
          <t>Trucking Fee-Im</t>
        </is>
      </c>
      <c r="C93" s="224" t="inlineStr">
        <is>
          <t>BRILLIANT TRANSPORT AND TRADING Co., Ltd.</t>
        </is>
      </c>
      <c r="D93" s="225" t="inlineStr">
        <is>
          <t>K002-100089305</t>
        </is>
      </c>
      <c r="E93" s="359" t="inlineStr">
        <is>
          <t>BTT24-0002468</t>
        </is>
      </c>
      <c r="F93" s="338" t="n">
        <v>45630</v>
      </c>
      <c r="G93" s="226" t="n"/>
      <c r="H93" s="627" t="n"/>
      <c r="I93" s="627" t="n">
        <v>959140</v>
      </c>
      <c r="J93" s="223" t="inlineStr">
        <is>
          <t>អនុញ្ញាត (បានប្រកាស)</t>
        </is>
      </c>
      <c r="K93" s="223" t="n"/>
      <c r="L93" s="626">
        <f>I93</f>
        <v/>
      </c>
      <c r="M93" s="598">
        <f>I93-L93</f>
        <v/>
      </c>
      <c r="N93" s="223" t="n"/>
      <c r="O93" s="228">
        <f>U93=E93</f>
        <v/>
      </c>
      <c r="P93" s="228">
        <f>MONTH(F93)-MONTH(T93)</f>
        <v/>
      </c>
      <c r="Q93" s="228">
        <f>$B$5=X93</f>
        <v/>
      </c>
      <c r="R93" s="228">
        <f>I93-AD93</f>
        <v/>
      </c>
      <c r="S93" s="371" t="n"/>
      <c r="T93" s="372" t="n">
        <v>45630</v>
      </c>
      <c r="U93" s="371" t="inlineStr">
        <is>
          <t>BTT24-0002468</t>
        </is>
      </c>
      <c r="V93" s="371" t="n">
        <v>0</v>
      </c>
      <c r="W93" s="371" t="inlineStr">
        <is>
          <t>បុគ្គលជាប់អាករ</t>
        </is>
      </c>
      <c r="X93" s="371" t="inlineStr">
        <is>
          <t>L001-901640009</t>
        </is>
      </c>
      <c r="Y93" s="371" t="inlineStr">
        <is>
          <t>ហូលីដេ ឌីហ្សាញ (ខេមបូឌា) ឯ.ក</t>
        </is>
      </c>
      <c r="Z93" s="373" t="n">
        <v>10550540</v>
      </c>
      <c r="AA93" s="373" t="n">
        <v>9591400</v>
      </c>
      <c r="AB93" s="371" t="n">
        <v>0</v>
      </c>
      <c r="AC93" s="371" t="inlineStr">
        <is>
          <t>-</t>
        </is>
      </c>
      <c r="AD93" s="373" t="n">
        <v>959140</v>
      </c>
      <c r="AE93" s="371" t="n">
        <v>0</v>
      </c>
      <c r="AF93" s="625" t="n">
        <v>0</v>
      </c>
      <c r="AG93" s="205" t="n">
        <v>0</v>
      </c>
      <c r="AH93" s="205" t="n">
        <v>0</v>
      </c>
      <c r="AI93" s="205" t="n">
        <v>0</v>
      </c>
      <c r="AJ93" s="205" t="n">
        <v>0</v>
      </c>
      <c r="AK93" s="205" t="n">
        <v>0</v>
      </c>
      <c r="AL93" s="205" t="n">
        <v>0.01</v>
      </c>
      <c r="AM93" s="205" t="n">
        <v>0</v>
      </c>
      <c r="AN93" s="205" t="inlineStr">
        <is>
          <t>Truking / Service</t>
        </is>
      </c>
    </row>
    <row r="94">
      <c r="A94" s="222">
        <f>A93+1</f>
        <v/>
      </c>
      <c r="B94" s="224" t="inlineStr">
        <is>
          <t>Storage charge-Im</t>
        </is>
      </c>
      <c r="C94" s="224" t="inlineStr">
        <is>
          <t>Port Autonome Du Sihanoukville</t>
        </is>
      </c>
      <c r="D94" s="225" t="inlineStr">
        <is>
          <t>L001-100044638</t>
        </is>
      </c>
      <c r="E94" s="359" t="n">
        <v>253839</v>
      </c>
      <c r="F94" s="338" t="n">
        <v>45631</v>
      </c>
      <c r="G94" s="226" t="n"/>
      <c r="H94" s="627" t="n"/>
      <c r="I94" s="627" t="n">
        <v>29009</v>
      </c>
      <c r="J94" s="223" t="inlineStr">
        <is>
          <t>អនុញ្ញាត (បានប្រកាស)</t>
        </is>
      </c>
      <c r="K94" s="223" t="n"/>
      <c r="L94" s="626">
        <f>I94</f>
        <v/>
      </c>
      <c r="M94" s="598">
        <f>I94-L94</f>
        <v/>
      </c>
      <c r="N94" s="223" t="n"/>
      <c r="O94" s="228">
        <f>U94=E94</f>
        <v/>
      </c>
      <c r="P94" s="228">
        <f>MONTH(F94)-MONTH(T94)</f>
        <v/>
      </c>
      <c r="Q94" s="228">
        <f>$B$5=X94</f>
        <v/>
      </c>
      <c r="R94" s="228">
        <f>I94-AD94</f>
        <v/>
      </c>
      <c r="S94" s="371" t="n"/>
      <c r="T94" s="372" t="n">
        <v>45631</v>
      </c>
      <c r="U94" s="371" t="n">
        <v>253839</v>
      </c>
      <c r="V94" s="371" t="n">
        <v>0</v>
      </c>
      <c r="W94" s="371" t="inlineStr">
        <is>
          <t>បុគ្គលជាប់អាករ</t>
        </is>
      </c>
      <c r="X94" s="371" t="inlineStr">
        <is>
          <t>L001-901640009</t>
        </is>
      </c>
      <c r="Y94" s="371" t="inlineStr">
        <is>
          <t>ហូលីដេ ឌីហ្សាញ (ខេមបូឌា) ឯ.ក</t>
        </is>
      </c>
      <c r="Z94" s="373" t="n">
        <v>319097</v>
      </c>
      <c r="AA94" s="373" t="n">
        <v>290088</v>
      </c>
      <c r="AB94" s="371" t="n">
        <v>0</v>
      </c>
      <c r="AC94" s="371" t="inlineStr">
        <is>
          <t>-</t>
        </is>
      </c>
      <c r="AD94" s="373" t="n">
        <v>29009</v>
      </c>
      <c r="AE94" s="371" t="n"/>
      <c r="AF94" s="625" t="n"/>
    </row>
    <row r="95">
      <c r="A95" s="222">
        <f>A94+1</f>
        <v/>
      </c>
      <c r="B95" s="224" t="inlineStr">
        <is>
          <t>Storage charge-Im</t>
        </is>
      </c>
      <c r="C95" s="224" t="inlineStr">
        <is>
          <t>Port Autonome Du Sihanoukville</t>
        </is>
      </c>
      <c r="D95" s="225" t="inlineStr">
        <is>
          <t>L001-100044638</t>
        </is>
      </c>
      <c r="E95" s="359" t="n">
        <v>253838</v>
      </c>
      <c r="F95" s="338" t="n">
        <v>45631</v>
      </c>
      <c r="G95" s="226" t="n"/>
      <c r="H95" s="627" t="n"/>
      <c r="I95" s="627" t="n">
        <v>14504</v>
      </c>
      <c r="J95" s="223" t="inlineStr">
        <is>
          <t>អនុញ្ញាត (បានប្រកាស)</t>
        </is>
      </c>
      <c r="K95" s="223" t="n"/>
      <c r="L95" s="626">
        <f>I95</f>
        <v/>
      </c>
      <c r="M95" s="598">
        <f>I95-L95</f>
        <v/>
      </c>
      <c r="N95" s="223" t="n"/>
      <c r="O95" s="228">
        <f>U95=E95</f>
        <v/>
      </c>
      <c r="P95" s="228">
        <f>MONTH(F95)-MONTH(T95)</f>
        <v/>
      </c>
      <c r="Q95" s="228">
        <f>$B$5=X95</f>
        <v/>
      </c>
      <c r="R95" s="228">
        <f>I95-AD95</f>
        <v/>
      </c>
      <c r="S95" s="371" t="n"/>
      <c r="T95" s="372" t="n">
        <v>45631</v>
      </c>
      <c r="U95" s="371" t="n">
        <v>253838</v>
      </c>
      <c r="V95" s="371" t="n">
        <v>0</v>
      </c>
      <c r="W95" s="371" t="inlineStr">
        <is>
          <t>បុគ្គលជាប់អាករ</t>
        </is>
      </c>
      <c r="X95" s="371" t="inlineStr">
        <is>
          <t>L001-901640009</t>
        </is>
      </c>
      <c r="Y95" s="371" t="inlineStr">
        <is>
          <t>ហូលីដេ ឌីហ្សាញ (ខេមបូឌា) ឯ.ក</t>
        </is>
      </c>
      <c r="Z95" s="373" t="n">
        <v>159548</v>
      </c>
      <c r="AA95" s="373" t="n">
        <v>145044</v>
      </c>
      <c r="AB95" s="371" t="n">
        <v>0</v>
      </c>
      <c r="AC95" s="371" t="inlineStr">
        <is>
          <t>-</t>
        </is>
      </c>
      <c r="AD95" s="373" t="n">
        <v>14504</v>
      </c>
      <c r="AE95" s="371" t="n"/>
      <c r="AF95" s="625" t="n"/>
    </row>
    <row r="96">
      <c r="A96" s="222">
        <f>A95+1</f>
        <v/>
      </c>
      <c r="B96" s="224" t="inlineStr">
        <is>
          <t>Storage charge-Im</t>
        </is>
      </c>
      <c r="C96" s="224" t="inlineStr">
        <is>
          <t>Port Autonome Du Sihanoukville</t>
        </is>
      </c>
      <c r="D96" s="225" t="inlineStr">
        <is>
          <t>L001-100044638</t>
        </is>
      </c>
      <c r="E96" s="359" t="n">
        <v>252858</v>
      </c>
      <c r="F96" s="338" t="n">
        <v>45630</v>
      </c>
      <c r="G96" s="226" t="n"/>
      <c r="H96" s="627" t="n"/>
      <c r="I96" s="627" t="n">
        <v>4836</v>
      </c>
      <c r="J96" s="223" t="inlineStr">
        <is>
          <t>អនុញ្ញាត (បានប្រកាស)</t>
        </is>
      </c>
      <c r="K96" s="223" t="n"/>
      <c r="L96" s="626">
        <f>I96</f>
        <v/>
      </c>
      <c r="M96" s="598">
        <f>I96-L96</f>
        <v/>
      </c>
      <c r="N96" s="223" t="n"/>
      <c r="O96" s="228">
        <f>U96=E96</f>
        <v/>
      </c>
      <c r="P96" s="228">
        <f>MONTH(F96)-MONTH(T96)</f>
        <v/>
      </c>
      <c r="Q96" s="228">
        <f>$B$5=X96</f>
        <v/>
      </c>
      <c r="R96" s="228">
        <f>I96-AD96</f>
        <v/>
      </c>
      <c r="S96" s="371" t="n"/>
      <c r="T96" s="372" t="n">
        <v>45630</v>
      </c>
      <c r="U96" s="371" t="n">
        <v>252858</v>
      </c>
      <c r="V96" s="371" t="n">
        <v>0</v>
      </c>
      <c r="W96" s="371" t="inlineStr">
        <is>
          <t>បុគ្គលជាប់អាករ</t>
        </is>
      </c>
      <c r="X96" s="371" t="inlineStr">
        <is>
          <t>L001-901640009</t>
        </is>
      </c>
      <c r="Y96" s="371" t="inlineStr">
        <is>
          <t>ហូលីដេ ឌីហ្សាញ (ខេមបូឌា) ឯ.ក</t>
        </is>
      </c>
      <c r="Z96" s="373" t="n">
        <v>53196</v>
      </c>
      <c r="AA96" s="373" t="n">
        <v>48360</v>
      </c>
      <c r="AB96" s="371" t="n">
        <v>0</v>
      </c>
      <c r="AC96" s="371" t="inlineStr">
        <is>
          <t>-</t>
        </is>
      </c>
      <c r="AD96" s="373" t="n">
        <v>4836</v>
      </c>
      <c r="AE96" s="371" t="n"/>
      <c r="AF96" s="625" t="n"/>
    </row>
    <row r="97">
      <c r="A97" s="222">
        <f>A96+1</f>
        <v/>
      </c>
      <c r="B97" s="224" t="inlineStr">
        <is>
          <t>Lift-On&amp;Lift-Off-Im</t>
        </is>
      </c>
      <c r="C97" s="224" t="inlineStr">
        <is>
          <t>Port Autonome Du Sihanoukville</t>
        </is>
      </c>
      <c r="D97" s="225" t="inlineStr">
        <is>
          <t>L001-100044638</t>
        </is>
      </c>
      <c r="E97" s="359" t="n">
        <v>252495</v>
      </c>
      <c r="F97" s="338" t="n">
        <v>45629</v>
      </c>
      <c r="G97" s="226" t="n"/>
      <c r="H97" s="627" t="n"/>
      <c r="I97" s="627" t="n">
        <v>520128</v>
      </c>
      <c r="J97" s="223" t="inlineStr">
        <is>
          <t>អនុញ្ញាត (បានប្រកាស)</t>
        </is>
      </c>
      <c r="K97" s="223" t="n"/>
      <c r="L97" s="626">
        <f>I97</f>
        <v/>
      </c>
      <c r="M97" s="598">
        <f>I97-L97</f>
        <v/>
      </c>
      <c r="N97" s="223" t="n"/>
      <c r="O97" s="228">
        <f>U97=E97</f>
        <v/>
      </c>
      <c r="P97" s="228">
        <f>MONTH(F97)-MONTH(T97)</f>
        <v/>
      </c>
      <c r="Q97" s="228">
        <f>$B$5=X97</f>
        <v/>
      </c>
      <c r="R97" s="228">
        <f>I97-AD97</f>
        <v/>
      </c>
      <c r="S97" s="371" t="n"/>
      <c r="T97" s="372" t="n">
        <v>45629</v>
      </c>
      <c r="U97" s="371" t="n">
        <v>252495</v>
      </c>
      <c r="V97" s="371" t="n">
        <v>0</v>
      </c>
      <c r="W97" s="371" t="inlineStr">
        <is>
          <t>បុគ្គលជាប់អាករ</t>
        </is>
      </c>
      <c r="X97" s="371" t="inlineStr">
        <is>
          <t>L001-901640009</t>
        </is>
      </c>
      <c r="Y97" s="371" t="inlineStr">
        <is>
          <t>ហូលីដេ ឌីហ្សាញ (ខេមបូឌា) ឯ.ក</t>
        </is>
      </c>
      <c r="Z97" s="373" t="n">
        <v>5721408</v>
      </c>
      <c r="AA97" s="373" t="n">
        <v>5201280</v>
      </c>
      <c r="AB97" s="371" t="n">
        <v>0</v>
      </c>
      <c r="AC97" s="371" t="inlineStr">
        <is>
          <t>-</t>
        </is>
      </c>
      <c r="AD97" s="373" t="n">
        <v>520128</v>
      </c>
      <c r="AE97" s="371" t="n"/>
      <c r="AF97" s="625" t="n"/>
    </row>
    <row r="98">
      <c r="A98" s="222">
        <f>A97+1</f>
        <v/>
      </c>
      <c r="B98" s="224" t="inlineStr">
        <is>
          <t>Trucking Fee-Im</t>
        </is>
      </c>
      <c r="C98" s="224" t="inlineStr">
        <is>
          <t>BRILLIANT TRANSPORT AND TRADING Co., Ltd.</t>
        </is>
      </c>
      <c r="D98" s="225" t="inlineStr">
        <is>
          <t>K002-100089305</t>
        </is>
      </c>
      <c r="E98" s="359" t="inlineStr">
        <is>
          <t>BTT24-0002467</t>
        </is>
      </c>
      <c r="F98" s="338" t="n">
        <v>45629</v>
      </c>
      <c r="G98" s="226" t="n"/>
      <c r="H98" s="627" t="n"/>
      <c r="I98" s="627" t="n">
        <v>2390976</v>
      </c>
      <c r="J98" s="223" t="inlineStr">
        <is>
          <t>អនុញ្ញាត (បានប្រកាស)</t>
        </is>
      </c>
      <c r="K98" s="223" t="n"/>
      <c r="L98" s="626">
        <f>I98</f>
        <v/>
      </c>
      <c r="M98" s="598">
        <f>I98-L98</f>
        <v/>
      </c>
      <c r="N98" s="223" t="n"/>
      <c r="O98" s="228">
        <f>U98=E98</f>
        <v/>
      </c>
      <c r="P98" s="228">
        <f>MONTH(F98)-MONTH(T98)</f>
        <v/>
      </c>
      <c r="Q98" s="228">
        <f>$B$5=X98</f>
        <v/>
      </c>
      <c r="R98" s="228">
        <f>I98-AD98</f>
        <v/>
      </c>
      <c r="S98" s="371" t="n"/>
      <c r="T98" s="372" t="n">
        <v>45629</v>
      </c>
      <c r="U98" s="371" t="inlineStr">
        <is>
          <t>BTT24-0002467</t>
        </is>
      </c>
      <c r="V98" s="371" t="n">
        <v>0</v>
      </c>
      <c r="W98" s="371" t="inlineStr">
        <is>
          <t>បុគ្គលជាប់អាករ</t>
        </is>
      </c>
      <c r="X98" s="371" t="inlineStr">
        <is>
          <t>L001-901640009</t>
        </is>
      </c>
      <c r="Y98" s="371" t="inlineStr">
        <is>
          <t>ហូលីដេ ឌីហ្សាញ (ខេមបូឌា) ឯ.ក</t>
        </is>
      </c>
      <c r="Z98" s="373" t="n">
        <v>26300736</v>
      </c>
      <c r="AA98" s="373" t="n">
        <v>23909760</v>
      </c>
      <c r="AB98" s="371" t="n">
        <v>0</v>
      </c>
      <c r="AC98" s="371" t="inlineStr">
        <is>
          <t>-</t>
        </is>
      </c>
      <c r="AD98" s="373" t="n">
        <v>2390976</v>
      </c>
      <c r="AE98" s="371" t="n">
        <v>0</v>
      </c>
      <c r="AF98" s="625" t="n">
        <v>0</v>
      </c>
      <c r="AG98" s="205" t="n">
        <v>0</v>
      </c>
      <c r="AH98" s="205" t="n">
        <v>0</v>
      </c>
      <c r="AI98" s="205" t="n">
        <v>0</v>
      </c>
      <c r="AJ98" s="205" t="n">
        <v>0</v>
      </c>
      <c r="AK98" s="205" t="n">
        <v>0</v>
      </c>
      <c r="AL98" s="205" t="n">
        <v>0.01</v>
      </c>
      <c r="AM98" s="205" t="n">
        <v>0</v>
      </c>
      <c r="AN98" s="205" t="inlineStr">
        <is>
          <t>Truking / Service</t>
        </is>
      </c>
    </row>
    <row r="99">
      <c r="A99" s="222">
        <f>A98+1</f>
        <v/>
      </c>
      <c r="B99" s="224" t="inlineStr">
        <is>
          <t>Protective Case</t>
        </is>
      </c>
      <c r="C99" s="224" t="inlineStr">
        <is>
          <t>HENG CAI (CAMBODIA) PRINTING Co., Ltd.</t>
        </is>
      </c>
      <c r="D99" s="225" t="inlineStr">
        <is>
          <t>K010-901504622</t>
        </is>
      </c>
      <c r="E99" s="359" t="n">
        <v>2500044</v>
      </c>
      <c r="F99" s="338" t="n">
        <v>45747</v>
      </c>
      <c r="G99" s="226" t="n"/>
      <c r="H99" s="627" t="n"/>
      <c r="I99" s="627" t="n">
        <v>1444800</v>
      </c>
      <c r="J99" s="223" t="inlineStr">
        <is>
          <t>អនុញ្ញាត (បានប្រកាស)</t>
        </is>
      </c>
      <c r="K99" s="223" t="n"/>
      <c r="L99" s="626">
        <f>I99</f>
        <v/>
      </c>
      <c r="M99" s="598">
        <f>I99-L99</f>
        <v/>
      </c>
      <c r="N99" s="223" t="n"/>
      <c r="O99" s="228">
        <f>U99=E99</f>
        <v/>
      </c>
      <c r="P99" s="228">
        <f>MONTH(F99)-MONTH(T99)</f>
        <v/>
      </c>
      <c r="Q99" s="228">
        <f>$B$5=X99</f>
        <v/>
      </c>
      <c r="R99" s="228">
        <f>I99-AD99</f>
        <v/>
      </c>
      <c r="S99" s="371" t="n"/>
      <c r="T99" s="372" t="n">
        <v>45747</v>
      </c>
      <c r="U99" s="371" t="n">
        <v>2500044</v>
      </c>
      <c r="V99" s="371" t="n">
        <v>0</v>
      </c>
      <c r="W99" s="371" t="inlineStr">
        <is>
          <t>បុគ្គលជាប់អាករ</t>
        </is>
      </c>
      <c r="X99" s="371" t="inlineStr">
        <is>
          <t>L001-901640009</t>
        </is>
      </c>
      <c r="Y99" s="371" t="inlineStr">
        <is>
          <t>ហូលីដេ ឌីហ្សាញ (ខេមបូឌា) ឯ.ក</t>
        </is>
      </c>
      <c r="Z99" s="373" t="n">
        <v>15892800</v>
      </c>
      <c r="AA99" s="373" t="n">
        <v>14448000</v>
      </c>
      <c r="AB99" s="371" t="n">
        <v>0</v>
      </c>
      <c r="AC99" s="371" t="inlineStr">
        <is>
          <t>-</t>
        </is>
      </c>
      <c r="AD99" s="373" t="n">
        <v>1444800</v>
      </c>
      <c r="AE99" s="371" t="n">
        <v>0</v>
      </c>
      <c r="AF99" s="625" t="n">
        <v>0</v>
      </c>
      <c r="AG99" s="205" t="n">
        <v>0</v>
      </c>
      <c r="AH99" s="205" t="n">
        <v>0</v>
      </c>
      <c r="AI99" s="205" t="n">
        <v>0</v>
      </c>
      <c r="AJ99" s="205" t="n">
        <v>0</v>
      </c>
      <c r="AK99" s="205" t="n">
        <v>0</v>
      </c>
      <c r="AL99" s="205" t="n">
        <v>0.01</v>
      </c>
      <c r="AM99" s="205" t="n">
        <v>0</v>
      </c>
      <c r="AN99" s="205" t="inlineStr">
        <is>
          <t>Protective case</t>
        </is>
      </c>
      <c r="AO99" s="205" t="inlineStr">
        <is>
          <t>បានប្រកាសនិងបង់ពន្ធ</t>
        </is>
      </c>
    </row>
    <row r="100">
      <c r="A100" s="222">
        <f>A99+1</f>
        <v/>
      </c>
      <c r="B100" s="224" t="inlineStr">
        <is>
          <t>Protective Case</t>
        </is>
      </c>
      <c r="C100" s="224" t="inlineStr">
        <is>
          <t>HENG CAI (CAMBODIA) PRINTING Co., Ltd.</t>
        </is>
      </c>
      <c r="D100" s="225" t="inlineStr">
        <is>
          <t>K010-901504622</t>
        </is>
      </c>
      <c r="E100" s="359" t="n">
        <v>2500067</v>
      </c>
      <c r="F100" s="338" t="n">
        <v>45800</v>
      </c>
      <c r="G100" s="226" t="n"/>
      <c r="H100" s="627" t="n"/>
      <c r="I100" s="627" t="n">
        <v>235376</v>
      </c>
      <c r="J100" s="223" t="inlineStr">
        <is>
          <t>អនុញ្ញាត (បានប្រកាស)</t>
        </is>
      </c>
      <c r="K100" s="223" t="n"/>
      <c r="L100" s="626">
        <f>I100</f>
        <v/>
      </c>
      <c r="M100" s="598">
        <f>I100-L100</f>
        <v/>
      </c>
      <c r="N100" s="223" t="n"/>
      <c r="O100" s="228">
        <f>U100=E100</f>
        <v/>
      </c>
      <c r="P100" s="228">
        <f>MONTH(F100)-MONTH(T100)</f>
        <v/>
      </c>
      <c r="Q100" s="228">
        <f>$B$5=X100</f>
        <v/>
      </c>
      <c r="R100" s="228">
        <f>I100-AD100</f>
        <v/>
      </c>
      <c r="S100" s="371" t="n"/>
      <c r="T100" s="372" t="n">
        <v>45800</v>
      </c>
      <c r="U100" s="371" t="n">
        <v>2500067</v>
      </c>
      <c r="V100" s="371" t="n">
        <v>0</v>
      </c>
      <c r="W100" s="371" t="inlineStr">
        <is>
          <t>បុគ្គលជាប់អាករ</t>
        </is>
      </c>
      <c r="X100" s="371" t="inlineStr">
        <is>
          <t>L001-901640009</t>
        </is>
      </c>
      <c r="Y100" s="371" t="inlineStr">
        <is>
          <t>ហូលីដេ ឌីហ្សាញ (ខេមបូឌា) ឯ.ក</t>
        </is>
      </c>
      <c r="Z100" s="373" t="n">
        <v>2589140</v>
      </c>
      <c r="AA100" s="373" t="n">
        <v>2353764</v>
      </c>
      <c r="AB100" s="371" t="n">
        <v>0</v>
      </c>
      <c r="AC100" s="371" t="inlineStr">
        <is>
          <t>-</t>
        </is>
      </c>
      <c r="AD100" s="373" t="n">
        <v>235376</v>
      </c>
      <c r="AE100" s="371" t="n">
        <v>0</v>
      </c>
      <c r="AF100" s="625" t="n">
        <v>0</v>
      </c>
      <c r="AG100" s="205" t="n">
        <v>0</v>
      </c>
      <c r="AH100" s="205" t="n">
        <v>0</v>
      </c>
      <c r="AI100" s="205" t="n">
        <v>0</v>
      </c>
      <c r="AJ100" s="205" t="n">
        <v>0</v>
      </c>
      <c r="AK100" s="205" t="n">
        <v>0</v>
      </c>
      <c r="AL100" s="205" t="n">
        <v>0.01</v>
      </c>
      <c r="AM100" s="205" t="n">
        <v>0</v>
      </c>
      <c r="AN100" s="205" t="inlineStr">
        <is>
          <t>Protective case</t>
        </is>
      </c>
      <c r="AO100" s="205" t="inlineStr">
        <is>
          <t>បានប្រកាសនិងបង់ពន្ធ</t>
        </is>
      </c>
    </row>
    <row r="101">
      <c r="A101" s="222">
        <f>A100+1</f>
        <v/>
      </c>
      <c r="B101" s="224" t="inlineStr">
        <is>
          <t>Lift-On&amp;Lift-Off-Im</t>
        </is>
      </c>
      <c r="C101" s="224" t="inlineStr">
        <is>
          <t>Port Autonome Du Sihanoukville</t>
        </is>
      </c>
      <c r="D101" s="225" t="inlineStr">
        <is>
          <t>L001-100044638</t>
        </is>
      </c>
      <c r="E101" s="359" t="n">
        <v>253242</v>
      </c>
      <c r="F101" s="338" t="n">
        <v>45630</v>
      </c>
      <c r="G101" s="226" t="n"/>
      <c r="H101" s="627" t="n"/>
      <c r="I101" s="627" t="n">
        <v>175305</v>
      </c>
      <c r="J101" s="223" t="inlineStr">
        <is>
          <t>អនុញ្ញាត (បានប្រកាស)</t>
        </is>
      </c>
      <c r="K101" s="223" t="n"/>
      <c r="L101" s="626">
        <f>I101</f>
        <v/>
      </c>
      <c r="M101" s="598">
        <f>I101-L101</f>
        <v/>
      </c>
      <c r="N101" s="223" t="n"/>
      <c r="O101" s="228">
        <f>U101=E101</f>
        <v/>
      </c>
      <c r="P101" s="228">
        <f>MONTH(F101)-MONTH(T101)</f>
        <v/>
      </c>
      <c r="Q101" s="228">
        <f>$B$5=X101</f>
        <v/>
      </c>
      <c r="R101" s="228">
        <f>I101-AD101</f>
        <v/>
      </c>
      <c r="S101" s="371" t="n"/>
      <c r="T101" s="372" t="n">
        <v>45630</v>
      </c>
      <c r="U101" s="371" t="n">
        <v>253242</v>
      </c>
      <c r="V101" s="371" t="n">
        <v>0</v>
      </c>
      <c r="W101" s="371" t="inlineStr">
        <is>
          <t>បុគ្គលជាប់អាករ</t>
        </is>
      </c>
      <c r="X101" s="371" t="inlineStr">
        <is>
          <t>L001-901640009</t>
        </is>
      </c>
      <c r="Y101" s="371" t="inlineStr">
        <is>
          <t>ហូលីដេ ឌីហ្សាញ (ខេមបូឌា) ឯ.ក</t>
        </is>
      </c>
      <c r="Z101" s="373" t="n">
        <v>1928355</v>
      </c>
      <c r="AA101" s="373" t="n">
        <v>1753050</v>
      </c>
      <c r="AB101" s="371" t="n">
        <v>0</v>
      </c>
      <c r="AC101" s="371" t="inlineStr">
        <is>
          <t>-</t>
        </is>
      </c>
      <c r="AD101" s="373" t="n">
        <v>175305</v>
      </c>
      <c r="AE101" s="371" t="n"/>
      <c r="AF101" s="625" t="n"/>
    </row>
    <row r="102">
      <c r="A102" s="222">
        <f>A101+1</f>
        <v/>
      </c>
      <c r="B102" s="224" t="inlineStr">
        <is>
          <t>Lift-On&amp;Lift-Off-Im</t>
        </is>
      </c>
      <c r="C102" s="224" t="inlineStr">
        <is>
          <t>Port Autonome Du Sihanoukville</t>
        </is>
      </c>
      <c r="D102" s="225" t="inlineStr">
        <is>
          <t>L001-100044638</t>
        </is>
      </c>
      <c r="E102" s="359" t="n">
        <v>264225</v>
      </c>
      <c r="F102" s="338" t="n">
        <v>45644</v>
      </c>
      <c r="G102" s="226" t="n"/>
      <c r="H102" s="627" t="n"/>
      <c r="I102" s="627" t="n">
        <v>206277</v>
      </c>
      <c r="J102" s="223" t="inlineStr">
        <is>
          <t>អនុញ្ញាត (បានប្រកាស)</t>
        </is>
      </c>
      <c r="K102" s="223" t="n"/>
      <c r="L102" s="626">
        <f>I102</f>
        <v/>
      </c>
      <c r="M102" s="598">
        <f>I102-L102</f>
        <v/>
      </c>
      <c r="N102" s="223" t="n"/>
      <c r="O102" s="228">
        <f>U102=E102</f>
        <v/>
      </c>
      <c r="P102" s="228">
        <f>MONTH(F102)-MONTH(T102)</f>
        <v/>
      </c>
      <c r="Q102" s="228">
        <f>$B$5=X102</f>
        <v/>
      </c>
      <c r="R102" s="228">
        <f>I102-AD102</f>
        <v/>
      </c>
      <c r="S102" s="371" t="n"/>
      <c r="T102" s="372" t="n">
        <v>45644</v>
      </c>
      <c r="U102" s="371" t="n">
        <v>264225</v>
      </c>
      <c r="V102" s="371" t="n">
        <v>0</v>
      </c>
      <c r="W102" s="371" t="inlineStr">
        <is>
          <t>បុគ្គលជាប់អាករ</t>
        </is>
      </c>
      <c r="X102" s="371" t="inlineStr">
        <is>
          <t>L001-901640009</t>
        </is>
      </c>
      <c r="Y102" s="371" t="inlineStr">
        <is>
          <t>ហូលីដេ ឌីហ្សាញ (ខេមបូឌា) ឯ.ក</t>
        </is>
      </c>
      <c r="Z102" s="373" t="n">
        <v>2269050</v>
      </c>
      <c r="AA102" s="373" t="n">
        <v>2062773</v>
      </c>
      <c r="AB102" s="371" t="n">
        <v>0</v>
      </c>
      <c r="AC102" s="371" t="inlineStr">
        <is>
          <t>-</t>
        </is>
      </c>
      <c r="AD102" s="373" t="n">
        <v>206277</v>
      </c>
      <c r="AE102" s="371" t="n"/>
      <c r="AF102" s="625" t="n"/>
    </row>
    <row r="103">
      <c r="A103" s="222">
        <f>A102+1</f>
        <v/>
      </c>
      <c r="B103" s="224" t="inlineStr">
        <is>
          <t>Terminal Handling Service-Im</t>
        </is>
      </c>
      <c r="C103" s="224" t="inlineStr">
        <is>
          <t>SITC CONTAINER LINES (CAMBODIA) Co., Ltd.</t>
        </is>
      </c>
      <c r="D103" s="225" t="inlineStr">
        <is>
          <t>L001-107035863</t>
        </is>
      </c>
      <c r="E103" s="359" t="inlineStr">
        <is>
          <t>SITC2024-038868</t>
        </is>
      </c>
      <c r="F103" s="338" t="n">
        <v>45638</v>
      </c>
      <c r="G103" s="226" t="n"/>
      <c r="H103" s="627" t="n"/>
      <c r="I103" s="627" t="n">
        <v>1108416</v>
      </c>
      <c r="J103" s="223" t="inlineStr">
        <is>
          <t>អនុញ្ញាត (បានប្រកាស)</t>
        </is>
      </c>
      <c r="K103" s="223" t="n"/>
      <c r="L103" s="626">
        <f>I103</f>
        <v/>
      </c>
      <c r="M103" s="598">
        <f>I103-L103</f>
        <v/>
      </c>
      <c r="N103" s="223" t="n"/>
      <c r="O103" s="228">
        <f>U103=E103</f>
        <v/>
      </c>
      <c r="P103" s="228">
        <f>MONTH(F103)-MONTH(T103)</f>
        <v/>
      </c>
      <c r="Q103" s="228">
        <f>$B$5=X103</f>
        <v/>
      </c>
      <c r="R103" s="228">
        <f>I103-AD103</f>
        <v/>
      </c>
      <c r="S103" s="371" t="n"/>
      <c r="T103" s="372" t="n">
        <v>45638</v>
      </c>
      <c r="U103" s="371" t="inlineStr">
        <is>
          <t>SITC2024-038868</t>
        </is>
      </c>
      <c r="V103" s="371" t="n">
        <v>0</v>
      </c>
      <c r="W103" s="371" t="inlineStr">
        <is>
          <t>បុគ្គលជាប់អាករ</t>
        </is>
      </c>
      <c r="X103" s="371" t="inlineStr">
        <is>
          <t>L001-901640009</t>
        </is>
      </c>
      <c r="Y103" s="371" t="inlineStr">
        <is>
          <t>ហូលីដេ ឌីហ្សាញ (ខេមបូឌា) ឯ.ក</t>
        </is>
      </c>
      <c r="Z103" s="373" t="n">
        <v>12192576</v>
      </c>
      <c r="AA103" s="373" t="n">
        <v>11084160</v>
      </c>
      <c r="AB103" s="371" t="n">
        <v>0</v>
      </c>
      <c r="AC103" s="371" t="inlineStr">
        <is>
          <t>-</t>
        </is>
      </c>
      <c r="AD103" s="373" t="n">
        <v>1108416</v>
      </c>
      <c r="AE103" s="371" t="n">
        <v>0</v>
      </c>
      <c r="AF103" s="625" t="n">
        <v>0</v>
      </c>
      <c r="AG103" s="205" t="n">
        <v>0</v>
      </c>
      <c r="AH103" s="205" t="n">
        <v>0</v>
      </c>
      <c r="AI103" s="205" t="n">
        <v>0</v>
      </c>
      <c r="AJ103" s="205" t="n">
        <v>0</v>
      </c>
      <c r="AK103" s="205" t="n">
        <v>0</v>
      </c>
      <c r="AL103" s="205" t="n">
        <v>0.01</v>
      </c>
      <c r="AM103" s="205" t="n">
        <v>0</v>
      </c>
      <c r="AN103" s="205" t="inlineStr">
        <is>
          <t>EIB,EMF,KHCIC,KHDOC,KHTHC</t>
        </is>
      </c>
    </row>
    <row r="104">
      <c r="A104" s="222">
        <f>A103+1</f>
        <v/>
      </c>
      <c r="B104" s="224" t="inlineStr">
        <is>
          <t>Trucking Fee-Im</t>
        </is>
      </c>
      <c r="C104" s="224" t="inlineStr">
        <is>
          <t>BRILLIANT TRANSPORT AND TRADING Co., Ltd.</t>
        </is>
      </c>
      <c r="D104" s="225" t="inlineStr">
        <is>
          <t>K002-100089305</t>
        </is>
      </c>
      <c r="E104" s="359" t="inlineStr">
        <is>
          <t>BTT24-0002585</t>
        </is>
      </c>
      <c r="F104" s="338" t="n">
        <v>45644</v>
      </c>
      <c r="G104" s="226" t="n"/>
      <c r="H104" s="627" t="n"/>
      <c r="I104" s="627" t="n">
        <v>2231655</v>
      </c>
      <c r="J104" s="223" t="inlineStr">
        <is>
          <t>អនុញ្ញាត (បានប្រកាស)</t>
        </is>
      </c>
      <c r="K104" s="223" t="n"/>
      <c r="L104" s="626">
        <f>I104</f>
        <v/>
      </c>
      <c r="M104" s="598">
        <f>I104-L104</f>
        <v/>
      </c>
      <c r="N104" s="223" t="n"/>
      <c r="O104" s="228">
        <f>U104=E104</f>
        <v/>
      </c>
      <c r="P104" s="228">
        <f>MONTH(F104)-MONTH(T104)</f>
        <v/>
      </c>
      <c r="Q104" s="228">
        <f>$B$5=X104</f>
        <v/>
      </c>
      <c r="R104" s="228">
        <f>I104-AD104</f>
        <v/>
      </c>
      <c r="S104" s="371" t="n"/>
      <c r="T104" s="372" t="n">
        <v>45644</v>
      </c>
      <c r="U104" s="371" t="inlineStr">
        <is>
          <t>BTT24-0002585</t>
        </is>
      </c>
      <c r="V104" s="371" t="n">
        <v>0</v>
      </c>
      <c r="W104" s="371" t="inlineStr">
        <is>
          <t>បុគ្គលជាប់អាករ</t>
        </is>
      </c>
      <c r="X104" s="371" t="inlineStr">
        <is>
          <t>L001-901640009</t>
        </is>
      </c>
      <c r="Y104" s="371" t="inlineStr">
        <is>
          <t>ហូលីដេ ឌីហ្សាញ (ខេមបូឌា) ឯ.ក</t>
        </is>
      </c>
      <c r="Z104" s="373" t="n">
        <v>24548205</v>
      </c>
      <c r="AA104" s="373" t="n">
        <v>22316550</v>
      </c>
      <c r="AB104" s="371" t="n">
        <v>0</v>
      </c>
      <c r="AC104" s="371" t="inlineStr">
        <is>
          <t>-</t>
        </is>
      </c>
      <c r="AD104" s="373" t="n">
        <v>2231655</v>
      </c>
      <c r="AE104" s="371" t="n">
        <v>0</v>
      </c>
      <c r="AF104" s="625" t="n">
        <v>0</v>
      </c>
      <c r="AG104" s="205" t="n">
        <v>0</v>
      </c>
      <c r="AH104" s="205" t="n">
        <v>0</v>
      </c>
      <c r="AI104" s="205" t="n">
        <v>0</v>
      </c>
      <c r="AJ104" s="205" t="n">
        <v>0</v>
      </c>
      <c r="AK104" s="205" t="n">
        <v>0</v>
      </c>
      <c r="AL104" s="205" t="n">
        <v>0.01</v>
      </c>
      <c r="AM104" s="205" t="n">
        <v>0</v>
      </c>
      <c r="AN104" s="205" t="inlineStr">
        <is>
          <t>Truking / Service</t>
        </is>
      </c>
    </row>
    <row r="105">
      <c r="A105" s="222">
        <f>A104+1</f>
        <v/>
      </c>
      <c r="B105" s="224" t="inlineStr">
        <is>
          <t>Lift-On&amp;Lift-Off-Im</t>
        </is>
      </c>
      <c r="C105" s="224" t="inlineStr">
        <is>
          <t>Port Autonome Du Sihanoukville</t>
        </is>
      </c>
      <c r="D105" s="225" t="inlineStr">
        <is>
          <t>L001-100044638</t>
        </is>
      </c>
      <c r="E105" s="359" t="n">
        <v>264000</v>
      </c>
      <c r="F105" s="338" t="n">
        <v>45643</v>
      </c>
      <c r="G105" s="226" t="n"/>
      <c r="H105" s="627" t="n"/>
      <c r="I105" s="627" t="n">
        <v>337596</v>
      </c>
      <c r="J105" s="223" t="inlineStr">
        <is>
          <t>អនុញ្ញាត (បានប្រកាស)</t>
        </is>
      </c>
      <c r="K105" s="223" t="n"/>
      <c r="L105" s="626">
        <f>I105</f>
        <v/>
      </c>
      <c r="M105" s="598">
        <f>I105-L105</f>
        <v/>
      </c>
      <c r="N105" s="223" t="n"/>
      <c r="O105" s="228">
        <f>U105=E105</f>
        <v/>
      </c>
      <c r="P105" s="228">
        <f>MONTH(F105)-MONTH(T105)</f>
        <v/>
      </c>
      <c r="Q105" s="228">
        <f>$B$5=X105</f>
        <v/>
      </c>
      <c r="R105" s="228">
        <f>I105-AD105</f>
        <v/>
      </c>
      <c r="S105" s="371" t="n"/>
      <c r="T105" s="372" t="n">
        <v>45643</v>
      </c>
      <c r="U105" s="371" t="n">
        <v>264000</v>
      </c>
      <c r="V105" s="371" t="n">
        <v>0</v>
      </c>
      <c r="W105" s="371" t="inlineStr">
        <is>
          <t>បុគ្គលជាប់អាករ</t>
        </is>
      </c>
      <c r="X105" s="371" t="inlineStr">
        <is>
          <t>L001-901640009</t>
        </is>
      </c>
      <c r="Y105" s="371" t="inlineStr">
        <is>
          <t>ហូលីដេ ឌីហ្សាញ (ខេមបូឌា) ឯ.ក</t>
        </is>
      </c>
      <c r="Z105" s="373" t="n">
        <v>3713556</v>
      </c>
      <c r="AA105" s="373" t="n">
        <v>3375960</v>
      </c>
      <c r="AB105" s="371" t="n">
        <v>0</v>
      </c>
      <c r="AC105" s="371" t="inlineStr">
        <is>
          <t>-</t>
        </is>
      </c>
      <c r="AD105" s="373" t="n">
        <v>337596</v>
      </c>
      <c r="AE105" s="371" t="n"/>
      <c r="AF105" s="625" t="n"/>
    </row>
    <row r="106">
      <c r="A106" s="222">
        <f>A105+1</f>
        <v/>
      </c>
      <c r="B106" s="224" t="inlineStr">
        <is>
          <t>Terminal Handling Service-Im</t>
        </is>
      </c>
      <c r="C106" s="224" t="inlineStr">
        <is>
          <t>SITC CONTAINER LINES (CAMBODIA) Co., Ltd.</t>
        </is>
      </c>
      <c r="D106" s="225" t="inlineStr">
        <is>
          <t>L001-107035863</t>
        </is>
      </c>
      <c r="E106" s="359" t="inlineStr">
        <is>
          <t>SITC2024-039126</t>
        </is>
      </c>
      <c r="F106" s="338" t="n">
        <v>45639</v>
      </c>
      <c r="G106" s="226" t="n"/>
      <c r="H106" s="627" t="n"/>
      <c r="I106" s="627" t="n">
        <v>2026584</v>
      </c>
      <c r="J106" s="223" t="inlineStr">
        <is>
          <t>អនុញ្ញាត (បានប្រកាស)</t>
        </is>
      </c>
      <c r="K106" s="223" t="n"/>
      <c r="L106" s="626">
        <f>I106</f>
        <v/>
      </c>
      <c r="M106" s="598">
        <f>I106-L106</f>
        <v/>
      </c>
      <c r="N106" s="223" t="n"/>
      <c r="O106" s="228">
        <f>U106=E106</f>
        <v/>
      </c>
      <c r="P106" s="228">
        <f>MONTH(F106)-MONTH(T106)</f>
        <v/>
      </c>
      <c r="Q106" s="228">
        <f>$B$5=X106</f>
        <v/>
      </c>
      <c r="R106" s="228">
        <f>I106-AD106</f>
        <v/>
      </c>
      <c r="S106" s="371" t="n"/>
      <c r="T106" s="372" t="n">
        <v>45639</v>
      </c>
      <c r="U106" s="371" t="inlineStr">
        <is>
          <t>SITC2024-039126</t>
        </is>
      </c>
      <c r="V106" s="371" t="n">
        <v>0</v>
      </c>
      <c r="W106" s="371" t="inlineStr">
        <is>
          <t>បុគ្គលជាប់អាករ</t>
        </is>
      </c>
      <c r="X106" s="371" t="inlineStr">
        <is>
          <t>L001-901640009</t>
        </is>
      </c>
      <c r="Y106" s="371" t="inlineStr">
        <is>
          <t>ហូលីដេ ឌីហ្សាញ (ខេមបូឌា) ឯ.ក</t>
        </is>
      </c>
      <c r="Z106" s="373" t="n">
        <v>22292424</v>
      </c>
      <c r="AA106" s="373" t="n">
        <v>20265840</v>
      </c>
      <c r="AB106" s="371" t="n">
        <v>0</v>
      </c>
      <c r="AC106" s="371" t="inlineStr">
        <is>
          <t>-</t>
        </is>
      </c>
      <c r="AD106" s="373" t="n">
        <v>2026584</v>
      </c>
      <c r="AE106" s="371" t="n">
        <v>0</v>
      </c>
      <c r="AF106" s="625" t="n">
        <v>0</v>
      </c>
      <c r="AG106" s="205" t="n">
        <v>0</v>
      </c>
      <c r="AH106" s="205" t="n">
        <v>0</v>
      </c>
      <c r="AI106" s="205" t="n">
        <v>0</v>
      </c>
      <c r="AJ106" s="205" t="n">
        <v>0</v>
      </c>
      <c r="AK106" s="205" t="n">
        <v>0</v>
      </c>
      <c r="AL106" s="205" t="n">
        <v>0.01</v>
      </c>
      <c r="AM106" s="205" t="n">
        <v>0</v>
      </c>
      <c r="AN106" s="205" t="inlineStr">
        <is>
          <t>KHTHC,KHCIC,KHTHC,EIB,KHDOC,KHCIC,EIB,EMF,EMF</t>
        </is>
      </c>
    </row>
    <row r="107">
      <c r="A107" s="222">
        <f>A106+1</f>
        <v/>
      </c>
      <c r="B107" s="224" t="inlineStr">
        <is>
          <t>Trucking Fee-Im</t>
        </is>
      </c>
      <c r="C107" s="224" t="inlineStr">
        <is>
          <t>BRILLIANT TRANSPORT AND TRADING Co., Ltd.</t>
        </is>
      </c>
      <c r="D107" s="225" t="inlineStr">
        <is>
          <t>K002-100089305</t>
        </is>
      </c>
      <c r="E107" s="359" t="inlineStr">
        <is>
          <t>BTT24-0002584</t>
        </is>
      </c>
      <c r="F107" s="338" t="n">
        <v>45643</v>
      </c>
      <c r="G107" s="226" t="n"/>
      <c r="H107" s="627" t="n"/>
      <c r="I107" s="627" t="n">
        <v>2347096</v>
      </c>
      <c r="J107" s="223" t="inlineStr">
        <is>
          <t>អនុញ្ញាត (បានប្រកាស)</t>
        </is>
      </c>
      <c r="K107" s="223" t="n"/>
      <c r="L107" s="626">
        <f>I107</f>
        <v/>
      </c>
      <c r="M107" s="598">
        <f>I107-L107</f>
        <v/>
      </c>
      <c r="N107" s="223" t="n"/>
      <c r="O107" s="228">
        <f>U107=E107</f>
        <v/>
      </c>
      <c r="P107" s="228">
        <f>MONTH(F107)-MONTH(T107)</f>
        <v/>
      </c>
      <c r="Q107" s="228">
        <f>$B$5=X107</f>
        <v/>
      </c>
      <c r="R107" s="228">
        <f>I107-AD107</f>
        <v/>
      </c>
      <c r="S107" s="371" t="n"/>
      <c r="T107" s="372" t="n">
        <v>45643</v>
      </c>
      <c r="U107" s="371" t="inlineStr">
        <is>
          <t>BTT24-0002584</t>
        </is>
      </c>
      <c r="V107" s="371" t="n">
        <v>0</v>
      </c>
      <c r="W107" s="371" t="inlineStr">
        <is>
          <t>បុគ្គលជាប់អាករ</t>
        </is>
      </c>
      <c r="X107" s="371" t="inlineStr">
        <is>
          <t>L001-901640009</t>
        </is>
      </c>
      <c r="Y107" s="371" t="inlineStr">
        <is>
          <t>ហូលីដេ ឌីហ្សាញ (ខេមបូឌា) ឯ.ក</t>
        </is>
      </c>
      <c r="Z107" s="373" t="n">
        <v>25818056</v>
      </c>
      <c r="AA107" s="373" t="n">
        <v>23470960</v>
      </c>
      <c r="AB107" s="371" t="n">
        <v>0</v>
      </c>
      <c r="AC107" s="371" t="inlineStr">
        <is>
          <t>-</t>
        </is>
      </c>
      <c r="AD107" s="373" t="n">
        <v>2347096</v>
      </c>
      <c r="AE107" s="371" t="n">
        <v>0</v>
      </c>
      <c r="AF107" s="625" t="n">
        <v>0</v>
      </c>
      <c r="AG107" s="205" t="n">
        <v>0</v>
      </c>
      <c r="AH107" s="205" t="n">
        <v>0</v>
      </c>
      <c r="AI107" s="205" t="n">
        <v>0</v>
      </c>
      <c r="AJ107" s="205" t="n">
        <v>0</v>
      </c>
      <c r="AK107" s="205" t="n">
        <v>0</v>
      </c>
      <c r="AL107" s="205" t="n">
        <v>0.01</v>
      </c>
      <c r="AM107" s="205" t="n">
        <v>0</v>
      </c>
      <c r="AN107" s="205" t="inlineStr">
        <is>
          <t>Truking / Service</t>
        </is>
      </c>
    </row>
    <row r="108">
      <c r="A108" s="222">
        <f>A107+1</f>
        <v/>
      </c>
      <c r="B108" s="224" t="inlineStr">
        <is>
          <t>Lift-On&amp;Lift-Off-Im</t>
        </is>
      </c>
      <c r="C108" s="224" t="inlineStr">
        <is>
          <t>Port Autonome Du Sihanoukville</t>
        </is>
      </c>
      <c r="D108" s="225" t="inlineStr">
        <is>
          <t>L001-100044638</t>
        </is>
      </c>
      <c r="E108" s="359" t="n">
        <v>256639</v>
      </c>
      <c r="F108" s="338" t="n">
        <v>45635</v>
      </c>
      <c r="G108" s="226" t="n"/>
      <c r="H108" s="627" t="n"/>
      <c r="I108" s="627" t="n">
        <v>175175</v>
      </c>
      <c r="J108" s="223" t="inlineStr">
        <is>
          <t>អនុញ្ញាត (បានប្រកាស)</t>
        </is>
      </c>
      <c r="K108" s="223" t="n"/>
      <c r="L108" s="626">
        <f>I108</f>
        <v/>
      </c>
      <c r="M108" s="598">
        <f>I108-L108</f>
        <v/>
      </c>
      <c r="N108" s="223" t="n"/>
      <c r="O108" s="228">
        <f>U108=E108</f>
        <v/>
      </c>
      <c r="P108" s="228">
        <f>MONTH(F108)-MONTH(T108)</f>
        <v/>
      </c>
      <c r="Q108" s="228">
        <f>$B$5=X108</f>
        <v/>
      </c>
      <c r="R108" s="228">
        <f>I108-AD108</f>
        <v/>
      </c>
      <c r="S108" s="371" t="n"/>
      <c r="T108" s="372" t="n">
        <v>45635</v>
      </c>
      <c r="U108" s="371" t="n">
        <v>256639</v>
      </c>
      <c r="V108" s="371" t="n">
        <v>0</v>
      </c>
      <c r="W108" s="371" t="inlineStr">
        <is>
          <t>បុគ្គលជាប់អាករ</t>
        </is>
      </c>
      <c r="X108" s="371" t="inlineStr">
        <is>
          <t>L001-901640009</t>
        </is>
      </c>
      <c r="Y108" s="371" t="inlineStr">
        <is>
          <t>ហូលីដេ ឌីហ្សាញ (ខេមបូឌា) ឯ.ក</t>
        </is>
      </c>
      <c r="Z108" s="373" t="n">
        <v>1926920</v>
      </c>
      <c r="AA108" s="373" t="n">
        <v>1751745</v>
      </c>
      <c r="AB108" s="371" t="n">
        <v>0</v>
      </c>
      <c r="AC108" s="371" t="inlineStr">
        <is>
          <t>-</t>
        </is>
      </c>
      <c r="AD108" s="373" t="n">
        <v>175175</v>
      </c>
      <c r="AE108" s="371" t="n"/>
      <c r="AF108" s="625" t="n"/>
    </row>
    <row r="109">
      <c r="A109" s="222">
        <f>A108+1</f>
        <v/>
      </c>
      <c r="B109" s="224" t="inlineStr">
        <is>
          <t>Tax Filling for 09-2024</t>
        </is>
      </c>
      <c r="C109" s="224" t="inlineStr">
        <is>
          <t>L S CONSULTING CO., LTD.</t>
        </is>
      </c>
      <c r="D109" s="225" t="inlineStr">
        <is>
          <t>K010-901700169</t>
        </is>
      </c>
      <c r="E109" s="359" t="inlineStr">
        <is>
          <t>24-00887</t>
        </is>
      </c>
      <c r="F109" s="338" t="n">
        <v>45570</v>
      </c>
      <c r="G109" s="226" t="n"/>
      <c r="H109" s="627" t="n"/>
      <c r="I109" s="627" t="n">
        <v>121770</v>
      </c>
      <c r="J109" s="223" t="inlineStr">
        <is>
          <t>អនុញ្ញាត (បានប្រកាស)</t>
        </is>
      </c>
      <c r="K109" s="223" t="n"/>
      <c r="L109" s="626">
        <f>I109</f>
        <v/>
      </c>
      <c r="M109" s="598">
        <f>I109-L109</f>
        <v/>
      </c>
      <c r="N109" s="223" t="n"/>
      <c r="O109" s="228">
        <f>U109=E109</f>
        <v/>
      </c>
      <c r="P109" s="228">
        <f>MONTH(F109)-MONTH(T109)</f>
        <v/>
      </c>
      <c r="Q109" s="228">
        <f>$B$5=X109</f>
        <v/>
      </c>
      <c r="R109" s="228">
        <f>I109-AD109</f>
        <v/>
      </c>
      <c r="S109" s="371" t="n"/>
      <c r="T109" s="372" t="n">
        <v>45570</v>
      </c>
      <c r="U109" s="371" t="inlineStr">
        <is>
          <t>24-00887</t>
        </is>
      </c>
      <c r="V109" s="371" t="n">
        <v>0</v>
      </c>
      <c r="W109" s="371" t="inlineStr">
        <is>
          <t>បុគ្គលជាប់អាករ</t>
        </is>
      </c>
      <c r="X109" s="371" t="inlineStr">
        <is>
          <t>L001-901640009</t>
        </is>
      </c>
      <c r="Y109" s="371" t="inlineStr">
        <is>
          <t>ហូលីដេ ឌីហ្សាញ (ខេមបូឌា) ឯ.ក</t>
        </is>
      </c>
      <c r="Z109" s="373" t="n">
        <v>1339470</v>
      </c>
      <c r="AA109" s="373" t="n">
        <v>1217700</v>
      </c>
      <c r="AB109" s="371" t="n">
        <v>0</v>
      </c>
      <c r="AC109" s="371" t="inlineStr">
        <is>
          <t>-</t>
        </is>
      </c>
      <c r="AD109" s="373" t="n">
        <v>121770</v>
      </c>
      <c r="AE109" s="371" t="n">
        <v>0</v>
      </c>
      <c r="AF109" s="625" t="n">
        <v>0</v>
      </c>
      <c r="AG109" s="205" t="n">
        <v>0</v>
      </c>
      <c r="AH109" s="205" t="n">
        <v>0</v>
      </c>
      <c r="AI109" s="205" t="n">
        <v>0</v>
      </c>
      <c r="AJ109" s="205" t="n">
        <v>0</v>
      </c>
      <c r="AK109" s="205" t="n">
        <v>0</v>
      </c>
      <c r="AL109" s="205" t="n">
        <v>0.01</v>
      </c>
      <c r="AM109" s="205" t="n">
        <v>0</v>
      </c>
      <c r="AN109" s="205" t="inlineStr">
        <is>
          <t>Tax Filling fee</t>
        </is>
      </c>
      <c r="AO109" s="205" t="inlineStr">
        <is>
          <t>បានប្រកាសនិងបង់ពន្ធ</t>
        </is>
      </c>
    </row>
    <row r="110">
      <c r="A110" s="222">
        <f>A109+1</f>
        <v/>
      </c>
      <c r="B110" s="224" t="inlineStr">
        <is>
          <t>Trucking Fee-Im</t>
        </is>
      </c>
      <c r="C110" s="224" t="inlineStr">
        <is>
          <t>BRILLIANT TRANSPORT AND TRADING Co., Ltd.</t>
        </is>
      </c>
      <c r="D110" s="225" t="inlineStr">
        <is>
          <t>K002-100089305</t>
        </is>
      </c>
      <c r="E110" s="359" t="inlineStr">
        <is>
          <t>BTT24-0002533</t>
        </is>
      </c>
      <c r="F110" s="338" t="n">
        <v>45635</v>
      </c>
      <c r="G110" s="226" t="n"/>
      <c r="H110" s="627" t="n"/>
      <c r="I110" s="627" t="n">
        <v>1191992</v>
      </c>
      <c r="J110" s="223" t="inlineStr">
        <is>
          <t>អនុញ្ញាត (បានប្រកាស)</t>
        </is>
      </c>
      <c r="K110" s="223" t="n"/>
      <c r="L110" s="626">
        <f>I110</f>
        <v/>
      </c>
      <c r="M110" s="598">
        <f>I110-L110</f>
        <v/>
      </c>
      <c r="N110" s="223" t="n"/>
      <c r="O110" s="228">
        <f>U110=E110</f>
        <v/>
      </c>
      <c r="P110" s="228">
        <f>MONTH(F110)-MONTH(T110)</f>
        <v/>
      </c>
      <c r="Q110" s="228">
        <f>$B$5=X110</f>
        <v/>
      </c>
      <c r="R110" s="228">
        <f>I110-AD110</f>
        <v/>
      </c>
      <c r="S110" s="371" t="inlineStr">
        <is>
          <t>មិនបានប្រកាស</t>
        </is>
      </c>
      <c r="T110" s="372" t="n">
        <v>45635</v>
      </c>
      <c r="U110" s="371" t="inlineStr">
        <is>
          <t>BTT24-0002533</t>
        </is>
      </c>
      <c r="V110" s="371" t="n">
        <v>0</v>
      </c>
      <c r="W110" s="371" t="inlineStr">
        <is>
          <t>បុគ្គលជាប់អាករ</t>
        </is>
      </c>
      <c r="X110" s="371" t="inlineStr">
        <is>
          <t>L001-901640009</t>
        </is>
      </c>
      <c r="Y110" s="371" t="inlineStr">
        <is>
          <t>ហូលីដេ ឌីហ្សាញ (ខេមបូឌា) ឯ.ក</t>
        </is>
      </c>
      <c r="Z110" s="373" t="n">
        <v>13111912</v>
      </c>
      <c r="AA110" s="373" t="n">
        <v>11919920</v>
      </c>
      <c r="AB110" s="371" t="n">
        <v>0</v>
      </c>
      <c r="AC110" s="371" t="inlineStr">
        <is>
          <t>-</t>
        </is>
      </c>
      <c r="AD110" s="373" t="n">
        <v>1191992</v>
      </c>
      <c r="AE110" s="371" t="n">
        <v>0</v>
      </c>
      <c r="AF110" s="625" t="n">
        <v>0</v>
      </c>
      <c r="AG110" s="205" t="n">
        <v>0</v>
      </c>
      <c r="AH110" s="205" t="n">
        <v>0</v>
      </c>
      <c r="AI110" s="205" t="n">
        <v>0</v>
      </c>
      <c r="AJ110" s="205" t="n">
        <v>0</v>
      </c>
      <c r="AK110" s="205" t="n">
        <v>0</v>
      </c>
      <c r="AL110" s="205" t="n">
        <v>0.01</v>
      </c>
      <c r="AM110" s="205" t="n">
        <v>0</v>
      </c>
      <c r="AN110" s="205" t="inlineStr">
        <is>
          <t>Truking / Service</t>
        </is>
      </c>
    </row>
    <row r="111">
      <c r="A111" s="222">
        <f>A110+1</f>
        <v/>
      </c>
      <c r="B111" s="224" t="inlineStr">
        <is>
          <t>Lift-On&amp;Lift-Off-Im</t>
        </is>
      </c>
      <c r="C111" s="224" t="inlineStr">
        <is>
          <t>Port Autonome Du Sihanoukville</t>
        </is>
      </c>
      <c r="D111" s="225" t="inlineStr">
        <is>
          <t>L001-100044638</t>
        </is>
      </c>
      <c r="E111" s="359" t="n">
        <v>256938</v>
      </c>
      <c r="F111" s="338" t="n">
        <v>45635</v>
      </c>
      <c r="G111" s="226" t="n"/>
      <c r="H111" s="627" t="n"/>
      <c r="I111" s="627" t="n">
        <v>183631</v>
      </c>
      <c r="J111" s="223" t="inlineStr">
        <is>
          <t>អនុញ្ញាត (បានប្រកាស)</t>
        </is>
      </c>
      <c r="K111" s="223" t="n"/>
      <c r="L111" s="626">
        <f>I111</f>
        <v/>
      </c>
      <c r="M111" s="598">
        <f>I111-L111</f>
        <v/>
      </c>
      <c r="N111" s="223" t="n"/>
      <c r="O111" s="228">
        <f>U111=E111</f>
        <v/>
      </c>
      <c r="P111" s="228">
        <f>MONTH(F111)-MONTH(T111)</f>
        <v/>
      </c>
      <c r="Q111" s="228">
        <f>$B$5=X111</f>
        <v/>
      </c>
      <c r="R111" s="228">
        <f>I111-AD111</f>
        <v/>
      </c>
      <c r="S111" s="371" t="n"/>
      <c r="T111" s="372" t="n">
        <v>45635</v>
      </c>
      <c r="U111" s="371" t="n">
        <v>256938</v>
      </c>
      <c r="V111" s="371" t="n">
        <v>0</v>
      </c>
      <c r="W111" s="371" t="inlineStr">
        <is>
          <t>បុគ្គលជាប់អាករ</t>
        </is>
      </c>
      <c r="X111" s="371" t="inlineStr">
        <is>
          <t>L001-901640009</t>
        </is>
      </c>
      <c r="Y111" s="371" t="inlineStr">
        <is>
          <t>ហូលីដេ ឌីហ្សាញ (ខេមបូឌា) ឯ.ក</t>
        </is>
      </c>
      <c r="Z111" s="373" t="n">
        <v>2019943</v>
      </c>
      <c r="AA111" s="373" t="n">
        <v>1836312</v>
      </c>
      <c r="AB111" s="371" t="n">
        <v>0</v>
      </c>
      <c r="AC111" s="371" t="inlineStr">
        <is>
          <t>-</t>
        </is>
      </c>
      <c r="AD111" s="373" t="n">
        <v>183631</v>
      </c>
      <c r="AE111" s="371" t="n"/>
      <c r="AF111" s="625" t="n"/>
    </row>
    <row r="112">
      <c r="A112" s="222">
        <f>A111+1</f>
        <v/>
      </c>
      <c r="B112" s="224" t="inlineStr">
        <is>
          <t>Terminal Handling Service-Im</t>
        </is>
      </c>
      <c r="C112" s="224" t="inlineStr">
        <is>
          <t>SITC CONTAINER LINES (CAMBODIA) Co., Ltd.</t>
        </is>
      </c>
      <c r="D112" s="225" t="inlineStr">
        <is>
          <t>L001-107035863</t>
        </is>
      </c>
      <c r="E112" s="359" t="inlineStr">
        <is>
          <t>SITC2024-037686</t>
        </is>
      </c>
      <c r="F112" s="338" t="n">
        <v>45629</v>
      </c>
      <c r="G112" s="226" t="n"/>
      <c r="H112" s="627" t="n"/>
      <c r="I112" s="627" t="n">
        <v>991872</v>
      </c>
      <c r="J112" s="223" t="inlineStr">
        <is>
          <t>អនុញ្ញាត (បានប្រកាស)</t>
        </is>
      </c>
      <c r="K112" s="223" t="n"/>
      <c r="L112" s="626">
        <f>I112</f>
        <v/>
      </c>
      <c r="M112" s="598">
        <f>I112-L112</f>
        <v/>
      </c>
      <c r="N112" s="223" t="n"/>
      <c r="O112" s="228">
        <f>U112=E112</f>
        <v/>
      </c>
      <c r="P112" s="228">
        <f>MONTH(F112)-MONTH(T112)</f>
        <v/>
      </c>
      <c r="Q112" s="228">
        <f>$B$5=X112</f>
        <v/>
      </c>
      <c r="R112" s="228">
        <f>I112-AD112</f>
        <v/>
      </c>
      <c r="S112" s="371" t="inlineStr">
        <is>
          <t>មិនបានប្រកាស</t>
        </is>
      </c>
      <c r="T112" s="372" t="n">
        <v>45629</v>
      </c>
      <c r="U112" s="371" t="inlineStr">
        <is>
          <t>SITC2024-037686</t>
        </is>
      </c>
      <c r="V112" s="371" t="n">
        <v>0</v>
      </c>
      <c r="W112" s="371" t="inlineStr">
        <is>
          <t>បុគ្គលជាប់អាករ</t>
        </is>
      </c>
      <c r="X112" s="371" t="inlineStr">
        <is>
          <t>L001-901640009</t>
        </is>
      </c>
      <c r="Y112" s="371" t="inlineStr">
        <is>
          <t>ហូលីដេ ឌីហ្សាញ (ខេមបូឌា) ឯ.ក</t>
        </is>
      </c>
      <c r="Z112" s="373" t="n">
        <v>10910592</v>
      </c>
      <c r="AA112" s="373" t="n">
        <v>9918720</v>
      </c>
      <c r="AB112" s="371" t="n">
        <v>0</v>
      </c>
      <c r="AC112" s="371" t="inlineStr">
        <is>
          <t>-</t>
        </is>
      </c>
      <c r="AD112" s="373" t="n">
        <v>991872</v>
      </c>
      <c r="AE112" s="371" t="n">
        <v>0</v>
      </c>
      <c r="AF112" s="625" t="n">
        <v>0</v>
      </c>
      <c r="AG112" s="205" t="n">
        <v>0</v>
      </c>
      <c r="AH112" s="205" t="n">
        <v>0</v>
      </c>
      <c r="AI112" s="205" t="n">
        <v>0</v>
      </c>
      <c r="AJ112" s="205" t="n">
        <v>0</v>
      </c>
      <c r="AK112" s="205" t="n">
        <v>0</v>
      </c>
      <c r="AL112" s="205" t="n">
        <v>0.01</v>
      </c>
      <c r="AM112" s="205" t="n">
        <v>0</v>
      </c>
      <c r="AN112" s="205" t="inlineStr">
        <is>
          <t>EMF,KHTHC,EIB,KHCIC,KHDOC</t>
        </is>
      </c>
    </row>
    <row r="113">
      <c r="A113" s="222">
        <f>A112+1</f>
        <v/>
      </c>
      <c r="B113" s="224" t="inlineStr">
        <is>
          <t>Trucking Fee-Im</t>
        </is>
      </c>
      <c r="C113" s="224" t="inlineStr">
        <is>
          <t>BRILLIANT TRANSPORT AND TRADING Co., Ltd.</t>
        </is>
      </c>
      <c r="D113" s="225" t="inlineStr">
        <is>
          <t>K002-100089305</t>
        </is>
      </c>
      <c r="E113" s="359" t="inlineStr">
        <is>
          <t>BTT24-0002532</t>
        </is>
      </c>
      <c r="F113" s="338" t="n">
        <v>45635</v>
      </c>
      <c r="G113" s="226" t="n"/>
      <c r="H113" s="627" t="n"/>
      <c r="I113" s="627" t="n">
        <v>1989338</v>
      </c>
      <c r="J113" s="223" t="inlineStr">
        <is>
          <t>អនុញ្ញាត (បានប្រកាស)</t>
        </is>
      </c>
      <c r="K113" s="223" t="n"/>
      <c r="L113" s="626">
        <f>I113</f>
        <v/>
      </c>
      <c r="M113" s="598">
        <f>I113-L113</f>
        <v/>
      </c>
      <c r="N113" s="223" t="n"/>
      <c r="O113" s="228">
        <f>U113=E113</f>
        <v/>
      </c>
      <c r="P113" s="228">
        <f>MONTH(F113)-MONTH(T113)</f>
        <v/>
      </c>
      <c r="Q113" s="228">
        <f>$B$5=X113</f>
        <v/>
      </c>
      <c r="R113" s="228">
        <f>I113-AD113</f>
        <v/>
      </c>
      <c r="S113" s="371" t="n"/>
      <c r="T113" s="372" t="n">
        <v>45635</v>
      </c>
      <c r="U113" s="371" t="inlineStr">
        <is>
          <t>BTT24-0002532</t>
        </is>
      </c>
      <c r="V113" s="371" t="n">
        <v>0</v>
      </c>
      <c r="W113" s="371" t="inlineStr">
        <is>
          <t>បុគ្គលជាប់អាករ</t>
        </is>
      </c>
      <c r="X113" s="371" t="inlineStr">
        <is>
          <t>L001-901640009</t>
        </is>
      </c>
      <c r="Y113" s="371" t="inlineStr">
        <is>
          <t>ហូលីដេ ឌីហ្សាញ (ខេមបូឌា) ឯ.ក</t>
        </is>
      </c>
      <c r="Z113" s="373" t="n">
        <v>21882718</v>
      </c>
      <c r="AA113" s="373" t="n">
        <v>19893380</v>
      </c>
      <c r="AB113" s="371" t="n">
        <v>0</v>
      </c>
      <c r="AC113" s="371" t="inlineStr">
        <is>
          <t>-</t>
        </is>
      </c>
      <c r="AD113" s="373" t="n">
        <v>1989338</v>
      </c>
      <c r="AE113" s="371" t="n">
        <v>0</v>
      </c>
      <c r="AF113" s="625" t="n">
        <v>0</v>
      </c>
      <c r="AG113" s="205" t="n">
        <v>0</v>
      </c>
      <c r="AH113" s="205" t="n">
        <v>0</v>
      </c>
      <c r="AI113" s="205" t="n">
        <v>0</v>
      </c>
      <c r="AJ113" s="205" t="n">
        <v>0</v>
      </c>
      <c r="AK113" s="205" t="n">
        <v>0</v>
      </c>
      <c r="AL113" s="205" t="n">
        <v>0.01</v>
      </c>
      <c r="AM113" s="205" t="n">
        <v>0</v>
      </c>
      <c r="AN113" s="205" t="inlineStr">
        <is>
          <t>Truking / Service</t>
        </is>
      </c>
    </row>
    <row r="114">
      <c r="A114" s="222">
        <f>A113+1</f>
        <v/>
      </c>
      <c r="B114" s="224" t="inlineStr">
        <is>
          <t>Lift-On&amp;Lift-Off-Im</t>
        </is>
      </c>
      <c r="C114" s="224" t="inlineStr">
        <is>
          <t>Port Autonome Du Sihanoukville</t>
        </is>
      </c>
      <c r="D114" s="225" t="inlineStr">
        <is>
          <t>L001-100044638</t>
        </is>
      </c>
      <c r="E114" s="359" t="n">
        <v>255973</v>
      </c>
      <c r="F114" s="338" t="n">
        <v>45633</v>
      </c>
      <c r="G114" s="226" t="n"/>
      <c r="H114" s="627" t="n"/>
      <c r="I114" s="627" t="n">
        <v>210262</v>
      </c>
      <c r="J114" s="223" t="inlineStr">
        <is>
          <t>អនុញ្ញាត (បានប្រកាស)</t>
        </is>
      </c>
      <c r="K114" s="223" t="n"/>
      <c r="L114" s="626">
        <f>I114</f>
        <v/>
      </c>
      <c r="M114" s="598">
        <f>I114-L114</f>
        <v/>
      </c>
      <c r="N114" s="223" t="n"/>
      <c r="O114" s="228">
        <f>U114=E114</f>
        <v/>
      </c>
      <c r="P114" s="228">
        <f>MONTH(F114)-MONTH(T114)</f>
        <v/>
      </c>
      <c r="Q114" s="228">
        <f>$B$5=X114</f>
        <v/>
      </c>
      <c r="R114" s="228">
        <f>I114-AD114</f>
        <v/>
      </c>
      <c r="S114" s="371" t="inlineStr">
        <is>
          <t>មិនបានប្រកាស</t>
        </is>
      </c>
      <c r="T114" s="372" t="n">
        <v>45633</v>
      </c>
      <c r="U114" s="371" t="n">
        <v>255973</v>
      </c>
      <c r="V114" s="371" t="n">
        <v>0</v>
      </c>
      <c r="W114" s="371" t="inlineStr">
        <is>
          <t>បុគ្គលជាប់អាករ</t>
        </is>
      </c>
      <c r="X114" s="371" t="inlineStr">
        <is>
          <t>L001-901640009</t>
        </is>
      </c>
      <c r="Y114" s="371" t="inlineStr">
        <is>
          <t>ហូលីដេ ឌីហ្សាញ (ខេមបូឌា) ឯ.ក</t>
        </is>
      </c>
      <c r="Z114" s="373" t="n">
        <v>2312878</v>
      </c>
      <c r="AA114" s="373" t="n">
        <v>2102616</v>
      </c>
      <c r="AB114" s="371" t="n">
        <v>0</v>
      </c>
      <c r="AC114" s="371" t="inlineStr">
        <is>
          <t>-</t>
        </is>
      </c>
      <c r="AD114" s="373" t="n">
        <v>210262</v>
      </c>
      <c r="AE114" s="371" t="n"/>
      <c r="AF114" s="625" t="n"/>
    </row>
    <row r="115">
      <c r="A115" s="222">
        <f>A114+1</f>
        <v/>
      </c>
      <c r="B115" s="224" t="inlineStr">
        <is>
          <t>Terminal Handling Service-Im</t>
        </is>
      </c>
      <c r="C115" s="224" t="inlineStr">
        <is>
          <t>SITC CONTAINER LINES (CAMBODIA) Co., Ltd.</t>
        </is>
      </c>
      <c r="D115" s="225" t="inlineStr">
        <is>
          <t>L001-107035863</t>
        </is>
      </c>
      <c r="E115" s="359" t="inlineStr">
        <is>
          <t>SITC2024-037903</t>
        </is>
      </c>
      <c r="F115" s="338" t="n">
        <v>45629</v>
      </c>
      <c r="G115" s="226" t="n"/>
      <c r="H115" s="627" t="n"/>
      <c r="I115" s="627" t="n">
        <v>1282176</v>
      </c>
      <c r="J115" s="223" t="inlineStr">
        <is>
          <t>អនុញ្ញាត (បានប្រកាស)</t>
        </is>
      </c>
      <c r="K115" s="223" t="n"/>
      <c r="L115" s="626">
        <f>I115</f>
        <v/>
      </c>
      <c r="M115" s="598">
        <f>I115-L115</f>
        <v/>
      </c>
      <c r="N115" s="223" t="n"/>
      <c r="O115" s="228">
        <f>U115=E115</f>
        <v/>
      </c>
      <c r="P115" s="228">
        <f>MONTH(F115)-MONTH(T115)</f>
        <v/>
      </c>
      <c r="Q115" s="228">
        <f>$B$5=X115</f>
        <v/>
      </c>
      <c r="R115" s="228">
        <f>I115-AD115</f>
        <v/>
      </c>
      <c r="S115" s="371" t="n"/>
      <c r="T115" s="372" t="n">
        <v>45629</v>
      </c>
      <c r="U115" s="371" t="inlineStr">
        <is>
          <t>SITC2024-037903</t>
        </is>
      </c>
      <c r="V115" s="371" t="n">
        <v>0</v>
      </c>
      <c r="W115" s="371" t="inlineStr">
        <is>
          <t>បុគ្គលជាប់អាករ</t>
        </is>
      </c>
      <c r="X115" s="371" t="inlineStr">
        <is>
          <t>L001-901640009</t>
        </is>
      </c>
      <c r="Y115" s="371" t="inlineStr">
        <is>
          <t>ហូលីដេ ឌីហ្សាញ (ខេមបូឌា) ឯ.ក</t>
        </is>
      </c>
      <c r="Z115" s="373" t="n">
        <v>14103936</v>
      </c>
      <c r="AA115" s="373" t="n">
        <v>12821760</v>
      </c>
      <c r="AB115" s="371" t="n">
        <v>0</v>
      </c>
      <c r="AC115" s="371" t="inlineStr">
        <is>
          <t>-</t>
        </is>
      </c>
      <c r="AD115" s="373" t="n">
        <v>1282176</v>
      </c>
      <c r="AE115" s="371" t="n">
        <v>0</v>
      </c>
      <c r="AF115" s="625" t="n">
        <v>0</v>
      </c>
      <c r="AG115" s="205" t="n">
        <v>0</v>
      </c>
      <c r="AH115" s="205" t="n">
        <v>0</v>
      </c>
      <c r="AI115" s="205" t="n">
        <v>0</v>
      </c>
      <c r="AJ115" s="205" t="n">
        <v>0</v>
      </c>
      <c r="AK115" s="205" t="n">
        <v>0</v>
      </c>
      <c r="AL115" s="205" t="n">
        <v>0.01</v>
      </c>
      <c r="AM115" s="205" t="n">
        <v>0</v>
      </c>
      <c r="AN115" s="205" t="inlineStr">
        <is>
          <t>EMF,KHCIC,EIB,KHTHC,KHDOC</t>
        </is>
      </c>
    </row>
    <row r="116">
      <c r="A116" s="222">
        <f>A115+1</f>
        <v/>
      </c>
      <c r="B116" s="224" t="inlineStr">
        <is>
          <t>Trucking Fee-Im</t>
        </is>
      </c>
      <c r="C116" s="224" t="inlineStr">
        <is>
          <t>BRILLIANT TRANSPORT AND TRADING Co., Ltd.</t>
        </is>
      </c>
      <c r="D116" s="225" t="inlineStr">
        <is>
          <t>K002-100089305</t>
        </is>
      </c>
      <c r="E116" s="359" t="inlineStr">
        <is>
          <t>BTT24-0002472</t>
        </is>
      </c>
      <c r="F116" s="338" t="n">
        <v>45632</v>
      </c>
      <c r="G116" s="226" t="n"/>
      <c r="H116" s="627" t="n"/>
      <c r="I116" s="627" t="n">
        <v>1446052</v>
      </c>
      <c r="J116" s="223" t="inlineStr">
        <is>
          <t>អនុញ្ញាត (បានប្រកាស)</t>
        </is>
      </c>
      <c r="K116" s="223" t="n"/>
      <c r="L116" s="626">
        <f>I116</f>
        <v/>
      </c>
      <c r="M116" s="598">
        <f>I116-L116</f>
        <v/>
      </c>
      <c r="N116" s="223" t="n"/>
      <c r="O116" s="228">
        <f>U116=E116</f>
        <v/>
      </c>
      <c r="P116" s="228">
        <f>MONTH(F116)-MONTH(T116)</f>
        <v/>
      </c>
      <c r="Q116" s="228">
        <f>$B$5=X116</f>
        <v/>
      </c>
      <c r="R116" s="228">
        <f>I116-AD116</f>
        <v/>
      </c>
      <c r="S116" s="371" t="n"/>
      <c r="T116" s="372" t="n">
        <v>45632</v>
      </c>
      <c r="U116" s="371" t="inlineStr">
        <is>
          <t>BTT24-0002472</t>
        </is>
      </c>
      <c r="V116" s="371" t="n">
        <v>0</v>
      </c>
      <c r="W116" s="371" t="inlineStr">
        <is>
          <t>បុគ្គលជាប់អាករ</t>
        </is>
      </c>
      <c r="X116" s="371" t="inlineStr">
        <is>
          <t>L001-901640009</t>
        </is>
      </c>
      <c r="Y116" s="371" t="inlineStr">
        <is>
          <t>ហូលីដេ ឌីហ្សាញ (ខេមបូឌា) ឯ.ក</t>
        </is>
      </c>
      <c r="Z116" s="373" t="n">
        <v>15906572</v>
      </c>
      <c r="AA116" s="373" t="n">
        <v>14460520</v>
      </c>
      <c r="AB116" s="371" t="n">
        <v>0</v>
      </c>
      <c r="AC116" s="371" t="inlineStr">
        <is>
          <t>-</t>
        </is>
      </c>
      <c r="AD116" s="373" t="n">
        <v>1446052</v>
      </c>
      <c r="AE116" s="371" t="n">
        <v>0</v>
      </c>
      <c r="AF116" s="625" t="n">
        <v>0</v>
      </c>
      <c r="AG116" s="205" t="n">
        <v>0</v>
      </c>
      <c r="AH116" s="205" t="n">
        <v>0</v>
      </c>
      <c r="AI116" s="205" t="n">
        <v>0</v>
      </c>
      <c r="AJ116" s="205" t="n">
        <v>0</v>
      </c>
      <c r="AK116" s="205" t="n">
        <v>0</v>
      </c>
      <c r="AL116" s="205" t="n">
        <v>0.01</v>
      </c>
      <c r="AM116" s="205" t="n">
        <v>0</v>
      </c>
      <c r="AN116" s="205" t="inlineStr">
        <is>
          <t>Truking / Service</t>
        </is>
      </c>
    </row>
    <row r="117">
      <c r="A117" s="222">
        <f>A116+1</f>
        <v/>
      </c>
      <c r="B117" s="224" t="inlineStr">
        <is>
          <t>Lift-On&amp;Lift-Off-Im</t>
        </is>
      </c>
      <c r="C117" s="224" t="inlineStr">
        <is>
          <t>Port Autonome Du Sihanoukville</t>
        </is>
      </c>
      <c r="D117" s="225" t="inlineStr">
        <is>
          <t>L001-100044638</t>
        </is>
      </c>
      <c r="E117" s="359" t="n">
        <v>253246</v>
      </c>
      <c r="F117" s="338" t="n">
        <v>45630</v>
      </c>
      <c r="G117" s="226" t="n"/>
      <c r="H117" s="627" t="n"/>
      <c r="I117" s="627" t="n">
        <v>35061</v>
      </c>
      <c r="J117" s="223" t="inlineStr">
        <is>
          <t>អនុញ្ញាត (បានប្រកាស)</t>
        </is>
      </c>
      <c r="K117" s="223" t="n"/>
      <c r="L117" s="626">
        <f>I117</f>
        <v/>
      </c>
      <c r="M117" s="598">
        <f>I117-L117</f>
        <v/>
      </c>
      <c r="N117" s="223" t="n"/>
      <c r="O117" s="228">
        <f>U117=E117</f>
        <v/>
      </c>
      <c r="P117" s="228">
        <f>MONTH(F117)-MONTH(T117)</f>
        <v/>
      </c>
      <c r="Q117" s="228">
        <f>$B$5=X117</f>
        <v/>
      </c>
      <c r="R117" s="228">
        <f>I117-AD117</f>
        <v/>
      </c>
      <c r="S117" s="371" t="n"/>
      <c r="T117" s="372" t="n">
        <v>45630</v>
      </c>
      <c r="U117" s="371" t="n">
        <v>253246</v>
      </c>
      <c r="V117" s="371" t="n">
        <v>0</v>
      </c>
      <c r="W117" s="371" t="inlineStr">
        <is>
          <t>បុគ្គលជាប់អាករ</t>
        </is>
      </c>
      <c r="X117" s="371" t="inlineStr">
        <is>
          <t>L001-901640009</t>
        </is>
      </c>
      <c r="Y117" s="371" t="inlineStr">
        <is>
          <t>ហូលីដេ ឌីហ្សាញ (ខេមបូឌា) ឯ.ក</t>
        </is>
      </c>
      <c r="Z117" s="373" t="n">
        <v>385671</v>
      </c>
      <c r="AA117" s="373" t="n">
        <v>350610</v>
      </c>
      <c r="AB117" s="371" t="n">
        <v>0</v>
      </c>
      <c r="AC117" s="371" t="inlineStr">
        <is>
          <t>-</t>
        </is>
      </c>
      <c r="AD117" s="373" t="n">
        <v>35061</v>
      </c>
      <c r="AE117" s="371" t="n"/>
      <c r="AF117" s="625" t="n"/>
    </row>
    <row r="118">
      <c r="A118" s="222">
        <f>A117+1</f>
        <v/>
      </c>
      <c r="B118" s="224" t="inlineStr">
        <is>
          <t>Trucking Fee-Im</t>
        </is>
      </c>
      <c r="C118" s="224" t="inlineStr">
        <is>
          <t>BRILLIANT TRANSPORT AND TRADING Co., Ltd.</t>
        </is>
      </c>
      <c r="D118" s="225" t="inlineStr">
        <is>
          <t>K002-100089305</t>
        </is>
      </c>
      <c r="E118" s="359" t="inlineStr">
        <is>
          <t>BTT24-0002471</t>
        </is>
      </c>
      <c r="F118" s="338" t="n">
        <v>45630</v>
      </c>
      <c r="G118" s="226" t="n"/>
      <c r="H118" s="627" t="n"/>
      <c r="I118" s="627" t="n">
        <v>257920</v>
      </c>
      <c r="J118" s="223" t="inlineStr">
        <is>
          <t>អនុញ្ញាត (បានប្រកាស)</t>
        </is>
      </c>
      <c r="K118" s="223" t="n"/>
      <c r="L118" s="626">
        <f>I118</f>
        <v/>
      </c>
      <c r="M118" s="598">
        <f>I118-L118</f>
        <v/>
      </c>
      <c r="N118" s="223" t="n"/>
      <c r="O118" s="228">
        <f>U118=E118</f>
        <v/>
      </c>
      <c r="P118" s="228">
        <f>MONTH(F118)-MONTH(T118)</f>
        <v/>
      </c>
      <c r="Q118" s="228">
        <f>$B$5=X118</f>
        <v/>
      </c>
      <c r="R118" s="228">
        <f>I118-AD118</f>
        <v/>
      </c>
      <c r="S118" s="371" t="n"/>
      <c r="T118" s="372" t="n">
        <v>45630</v>
      </c>
      <c r="U118" s="371" t="inlineStr">
        <is>
          <t>BTT24-0002471</t>
        </is>
      </c>
      <c r="V118" s="371" t="n">
        <v>0</v>
      </c>
      <c r="W118" s="371" t="inlineStr">
        <is>
          <t>បុគ្គលជាប់អាករ</t>
        </is>
      </c>
      <c r="X118" s="371" t="inlineStr">
        <is>
          <t>L001-901640009</t>
        </is>
      </c>
      <c r="Y118" s="371" t="inlineStr">
        <is>
          <t>ហូលីដេ ឌីហ្សាញ (ខេមបូឌា) ឯ.ក</t>
        </is>
      </c>
      <c r="Z118" s="373" t="n">
        <v>2837120</v>
      </c>
      <c r="AA118" s="373" t="n">
        <v>2579200</v>
      </c>
      <c r="AB118" s="371" t="n">
        <v>0</v>
      </c>
      <c r="AC118" s="371" t="inlineStr">
        <is>
          <t>-</t>
        </is>
      </c>
      <c r="AD118" s="373" t="n">
        <v>257920</v>
      </c>
      <c r="AE118" s="371" t="n">
        <v>0</v>
      </c>
      <c r="AF118" s="625" t="n">
        <v>0</v>
      </c>
      <c r="AG118" s="205" t="n">
        <v>0</v>
      </c>
      <c r="AH118" s="205" t="n">
        <v>0</v>
      </c>
      <c r="AI118" s="205" t="n">
        <v>0</v>
      </c>
      <c r="AJ118" s="205" t="n">
        <v>0</v>
      </c>
      <c r="AK118" s="205" t="n">
        <v>0</v>
      </c>
      <c r="AL118" s="205" t="n">
        <v>0.01</v>
      </c>
      <c r="AM118" s="205" t="n">
        <v>0</v>
      </c>
      <c r="AN118" s="205" t="inlineStr">
        <is>
          <t>Truking / Service</t>
        </is>
      </c>
    </row>
    <row r="119">
      <c r="A119" s="222">
        <f>A118+1</f>
        <v/>
      </c>
      <c r="B119" s="224" t="inlineStr">
        <is>
          <t>Tax Filling for 10-2024</t>
        </is>
      </c>
      <c r="C119" s="224" t="inlineStr">
        <is>
          <t>L S CONSULTING CO., LTD.</t>
        </is>
      </c>
      <c r="D119" s="225" t="inlineStr">
        <is>
          <t>K010-901700169</t>
        </is>
      </c>
      <c r="E119" s="359" t="inlineStr">
        <is>
          <t>24-00985</t>
        </is>
      </c>
      <c r="F119" s="338" t="n">
        <v>45602</v>
      </c>
      <c r="G119" s="226" t="n"/>
      <c r="H119" s="627" t="n"/>
      <c r="I119" s="627" t="n">
        <v>121920</v>
      </c>
      <c r="J119" s="223" t="inlineStr">
        <is>
          <t>អនុញ្ញាត (បានប្រកាស)</t>
        </is>
      </c>
      <c r="K119" s="223" t="n"/>
      <c r="L119" s="626">
        <f>I119</f>
        <v/>
      </c>
      <c r="M119" s="598">
        <f>I119-L119</f>
        <v/>
      </c>
      <c r="N119" s="223" t="n"/>
      <c r="O119" s="228">
        <f>U119=E119</f>
        <v/>
      </c>
      <c r="P119" s="228">
        <f>MONTH(F119)-MONTH(T119)</f>
        <v/>
      </c>
      <c r="Q119" s="228">
        <f>$B$5=X119</f>
        <v/>
      </c>
      <c r="R119" s="228">
        <f>I119-AD119</f>
        <v/>
      </c>
      <c r="S119" s="371" t="n"/>
      <c r="T119" s="372" t="n">
        <v>45602</v>
      </c>
      <c r="U119" s="371" t="inlineStr">
        <is>
          <t>24-00985</t>
        </is>
      </c>
      <c r="V119" s="371" t="n">
        <v>0</v>
      </c>
      <c r="W119" s="371" t="inlineStr">
        <is>
          <t>បុគ្គលជាប់អាករ</t>
        </is>
      </c>
      <c r="X119" s="371" t="inlineStr">
        <is>
          <t>L001-901640009</t>
        </is>
      </c>
      <c r="Y119" s="371" t="inlineStr">
        <is>
          <t>ហូលីដេ ឌីហ្សាញ (ខេមបូឌា) ឯ.ក</t>
        </is>
      </c>
      <c r="Z119" s="373" t="n">
        <v>1341120</v>
      </c>
      <c r="AA119" s="373" t="n">
        <v>1219200</v>
      </c>
      <c r="AB119" s="371" t="n">
        <v>0</v>
      </c>
      <c r="AC119" s="371" t="inlineStr">
        <is>
          <t>-</t>
        </is>
      </c>
      <c r="AD119" s="373" t="n">
        <v>121920</v>
      </c>
      <c r="AE119" s="371" t="n">
        <v>0</v>
      </c>
      <c r="AF119" s="625" t="n">
        <v>0</v>
      </c>
      <c r="AG119" s="205" t="n">
        <v>0</v>
      </c>
      <c r="AH119" s="205" t="n">
        <v>0</v>
      </c>
      <c r="AI119" s="205" t="n">
        <v>0</v>
      </c>
      <c r="AJ119" s="205" t="n">
        <v>0</v>
      </c>
      <c r="AK119" s="205" t="n">
        <v>0</v>
      </c>
      <c r="AL119" s="205" t="n">
        <v>0.01</v>
      </c>
      <c r="AM119" s="205" t="n">
        <v>0</v>
      </c>
      <c r="AN119" s="205" t="inlineStr">
        <is>
          <t>Tax Filling fee</t>
        </is>
      </c>
      <c r="AO119" s="205" t="inlineStr">
        <is>
          <t>បានប្រកាសនិងបង់ពន្ធ</t>
        </is>
      </c>
    </row>
    <row r="120">
      <c r="A120" s="222">
        <f>A119+1</f>
        <v/>
      </c>
      <c r="B120" s="224" t="inlineStr">
        <is>
          <t>Trucking Fee-Im</t>
        </is>
      </c>
      <c r="C120" s="224" t="inlineStr">
        <is>
          <t>BRILLIANT TRANSPORT AND TRADING Co., Ltd.</t>
        </is>
      </c>
      <c r="D120" s="225" t="inlineStr">
        <is>
          <t>K002-100089305</t>
        </is>
      </c>
      <c r="E120" s="359" t="inlineStr">
        <is>
          <t>BTT25-0000184</t>
        </is>
      </c>
      <c r="F120" s="338" t="n">
        <v>45677</v>
      </c>
      <c r="G120" s="226" t="n"/>
      <c r="H120" s="627" t="n"/>
      <c r="I120" s="627" t="n">
        <v>2598540</v>
      </c>
      <c r="J120" s="223" t="inlineStr">
        <is>
          <t>អនុញ្ញាត (បានប្រកាស)</t>
        </is>
      </c>
      <c r="K120" s="223" t="n"/>
      <c r="L120" s="626">
        <f>I120</f>
        <v/>
      </c>
      <c r="M120" s="598">
        <f>I120-L120</f>
        <v/>
      </c>
      <c r="N120" s="223" t="n"/>
      <c r="O120" s="228">
        <f>U120=E120</f>
        <v/>
      </c>
      <c r="P120" s="228">
        <f>MONTH(F120)-MONTH(T120)</f>
        <v/>
      </c>
      <c r="Q120" s="228">
        <f>$B$5=X120</f>
        <v/>
      </c>
      <c r="R120" s="228">
        <f>I120-AD120</f>
        <v/>
      </c>
      <c r="S120" s="371" t="n"/>
      <c r="T120" s="372" t="n">
        <v>45677</v>
      </c>
      <c r="U120" s="371" t="inlineStr">
        <is>
          <t>BTT25-0000184</t>
        </is>
      </c>
      <c r="V120" s="371" t="n">
        <v>0</v>
      </c>
      <c r="W120" s="371" t="inlineStr">
        <is>
          <t>បុគ្គលជាប់អាករ</t>
        </is>
      </c>
      <c r="X120" s="371" t="inlineStr">
        <is>
          <t>L001-901640009</t>
        </is>
      </c>
      <c r="Y120" s="371" t="inlineStr">
        <is>
          <t>ហូលីដេ ឌីហ្សាញ (ខេមបូឌា) ឯ.ក</t>
        </is>
      </c>
      <c r="Z120" s="373" t="n">
        <v>28583940</v>
      </c>
      <c r="AA120" s="373" t="n">
        <v>25985400</v>
      </c>
      <c r="AB120" s="371" t="n">
        <v>0</v>
      </c>
      <c r="AC120" s="371" t="inlineStr">
        <is>
          <t>-</t>
        </is>
      </c>
      <c r="AD120" s="373" t="n">
        <v>2598540</v>
      </c>
      <c r="AE120" s="371" t="n">
        <v>0</v>
      </c>
      <c r="AF120" s="625" t="n">
        <v>0</v>
      </c>
      <c r="AG120" s="205" t="n">
        <v>0</v>
      </c>
      <c r="AH120" s="205" t="n">
        <v>0</v>
      </c>
      <c r="AI120" s="205" t="n">
        <v>0</v>
      </c>
      <c r="AJ120" s="205" t="n">
        <v>0</v>
      </c>
      <c r="AK120" s="205" t="n">
        <v>0</v>
      </c>
      <c r="AL120" s="205" t="n">
        <v>0.01</v>
      </c>
      <c r="AM120" s="205" t="n">
        <v>0</v>
      </c>
      <c r="AN120" s="205" t="inlineStr">
        <is>
          <t>Truking / Service</t>
        </is>
      </c>
    </row>
    <row r="121">
      <c r="A121" s="222">
        <f>A120+1</f>
        <v/>
      </c>
      <c r="B121" s="224" t="inlineStr">
        <is>
          <t>Trucking Fee-Im</t>
        </is>
      </c>
      <c r="C121" s="224" t="inlineStr">
        <is>
          <t>BRILLIANT TRANSPORT AND TRADING Co., Ltd.</t>
        </is>
      </c>
      <c r="D121" s="225" t="inlineStr">
        <is>
          <t>K002-100089305</t>
        </is>
      </c>
      <c r="E121" s="359" t="inlineStr">
        <is>
          <t>BTT25-0000195</t>
        </is>
      </c>
      <c r="F121" s="338" t="n">
        <v>45678</v>
      </c>
      <c r="G121" s="226" t="n"/>
      <c r="H121" s="627" t="n"/>
      <c r="I121" s="627" t="n">
        <v>3295722</v>
      </c>
      <c r="J121" s="223" t="inlineStr">
        <is>
          <t>អនុញ្ញាត (បានប្រកាស)</t>
        </is>
      </c>
      <c r="K121" s="223" t="n"/>
      <c r="L121" s="626">
        <f>I121</f>
        <v/>
      </c>
      <c r="M121" s="598">
        <f>I121-L121</f>
        <v/>
      </c>
      <c r="N121" s="223" t="n"/>
      <c r="O121" s="228">
        <f>U121=E121</f>
        <v/>
      </c>
      <c r="P121" s="228">
        <f>MONTH(F121)-MONTH(T121)</f>
        <v/>
      </c>
      <c r="Q121" s="228">
        <f>$B$5=X121</f>
        <v/>
      </c>
      <c r="R121" s="228">
        <f>I121-AD121</f>
        <v/>
      </c>
      <c r="S121" s="371" t="n"/>
      <c r="T121" s="372" t="n">
        <v>45678</v>
      </c>
      <c r="U121" s="371" t="inlineStr">
        <is>
          <t>BTT25-0000195</t>
        </is>
      </c>
      <c r="V121" s="371" t="n">
        <v>0</v>
      </c>
      <c r="W121" s="371" t="inlineStr">
        <is>
          <t>បុគ្គលជាប់អាករ</t>
        </is>
      </c>
      <c r="X121" s="371" t="inlineStr">
        <is>
          <t>L001-901640009</t>
        </is>
      </c>
      <c r="Y121" s="371" t="inlineStr">
        <is>
          <t>ហូលីដេ ឌីហ្សាញ (ខេមបូឌា) ឯ.ក</t>
        </is>
      </c>
      <c r="Z121" s="373" t="n">
        <v>36252942</v>
      </c>
      <c r="AA121" s="373" t="n">
        <v>32957220</v>
      </c>
      <c r="AB121" s="371" t="n">
        <v>0</v>
      </c>
      <c r="AC121" s="371" t="inlineStr">
        <is>
          <t>-</t>
        </is>
      </c>
      <c r="AD121" s="373" t="n">
        <v>3295722</v>
      </c>
      <c r="AE121" s="371" t="n">
        <v>0</v>
      </c>
      <c r="AF121" s="625" t="n">
        <v>0</v>
      </c>
      <c r="AG121" s="205" t="n">
        <v>0</v>
      </c>
      <c r="AH121" s="205" t="n">
        <v>0</v>
      </c>
      <c r="AI121" s="205" t="n">
        <v>0</v>
      </c>
      <c r="AJ121" s="205" t="n">
        <v>0</v>
      </c>
      <c r="AK121" s="205" t="n">
        <v>0</v>
      </c>
      <c r="AL121" s="205" t="n">
        <v>0.01</v>
      </c>
      <c r="AM121" s="205" t="n">
        <v>0</v>
      </c>
      <c r="AN121" s="205" t="inlineStr">
        <is>
          <t>Truking / Service</t>
        </is>
      </c>
    </row>
    <row r="122">
      <c r="A122" s="222">
        <f>A121+1</f>
        <v/>
      </c>
      <c r="B122" s="224" t="inlineStr">
        <is>
          <t>Trucking Fee-Im</t>
        </is>
      </c>
      <c r="C122" s="224" t="inlineStr">
        <is>
          <t>BRILLIANT TRANSPORT AND TRADING Co., Ltd.</t>
        </is>
      </c>
      <c r="D122" s="225" t="inlineStr">
        <is>
          <t>K002-100089305</t>
        </is>
      </c>
      <c r="E122" s="359" t="inlineStr">
        <is>
          <t>BTT25-0000194</t>
        </is>
      </c>
      <c r="F122" s="338" t="n">
        <v>45678</v>
      </c>
      <c r="G122" s="226" t="n"/>
      <c r="H122" s="627" t="n"/>
      <c r="I122" s="627" t="n">
        <v>2360994</v>
      </c>
      <c r="J122" s="223" t="inlineStr">
        <is>
          <t>អនុញ្ញាត (បានប្រកាស)</t>
        </is>
      </c>
      <c r="K122" s="223" t="n"/>
      <c r="L122" s="626">
        <f>I122</f>
        <v/>
      </c>
      <c r="M122" s="598">
        <f>I122-L122</f>
        <v/>
      </c>
      <c r="N122" s="223" t="n"/>
      <c r="O122" s="228">
        <f>U122=E122</f>
        <v/>
      </c>
      <c r="P122" s="228">
        <f>MONTH(F122)-MONTH(T122)</f>
        <v/>
      </c>
      <c r="Q122" s="228">
        <f>$B$5=X122</f>
        <v/>
      </c>
      <c r="R122" s="228">
        <f>I122-AD122</f>
        <v/>
      </c>
      <c r="S122" s="371" t="n"/>
      <c r="T122" s="372" t="n">
        <v>45678</v>
      </c>
      <c r="U122" s="371" t="inlineStr">
        <is>
          <t>BTT25-0000194</t>
        </is>
      </c>
      <c r="V122" s="371" t="n">
        <v>0</v>
      </c>
      <c r="W122" s="371" t="inlineStr">
        <is>
          <t>បុគ្គលជាប់អាករ</t>
        </is>
      </c>
      <c r="X122" s="371" t="inlineStr">
        <is>
          <t>L001-901640009</t>
        </is>
      </c>
      <c r="Y122" s="371" t="inlineStr">
        <is>
          <t>ហូលីដេ ឌីហ្សាញ (ខេមបូឌា) ឯ.ក</t>
        </is>
      </c>
      <c r="Z122" s="373" t="n">
        <v>25970934</v>
      </c>
      <c r="AA122" s="373" t="n">
        <v>23609940</v>
      </c>
      <c r="AB122" s="371" t="n">
        <v>0</v>
      </c>
      <c r="AC122" s="371" t="inlineStr">
        <is>
          <t>-</t>
        </is>
      </c>
      <c r="AD122" s="373" t="n">
        <v>2360994</v>
      </c>
      <c r="AE122" s="371" t="n">
        <v>0</v>
      </c>
      <c r="AF122" s="625" t="n">
        <v>0</v>
      </c>
      <c r="AG122" s="205" t="n">
        <v>0</v>
      </c>
      <c r="AH122" s="205" t="n">
        <v>0</v>
      </c>
      <c r="AI122" s="205" t="n">
        <v>0</v>
      </c>
      <c r="AJ122" s="205" t="n">
        <v>0</v>
      </c>
      <c r="AK122" s="205" t="n">
        <v>0</v>
      </c>
      <c r="AL122" s="205" t="n">
        <v>0.01</v>
      </c>
      <c r="AM122" s="205" t="n">
        <v>0</v>
      </c>
      <c r="AN122" s="205" t="inlineStr">
        <is>
          <t>Truking / Service</t>
        </is>
      </c>
    </row>
    <row r="123">
      <c r="A123" s="222">
        <f>A122+1</f>
        <v/>
      </c>
      <c r="B123" s="224" t="inlineStr">
        <is>
          <t>Trucking Fee-Im</t>
        </is>
      </c>
      <c r="C123" s="224" t="inlineStr">
        <is>
          <t>BRILLIANT TRANSPORT AND TRADING Co., Ltd.</t>
        </is>
      </c>
      <c r="D123" s="225" t="inlineStr">
        <is>
          <t>K002-100089305</t>
        </is>
      </c>
      <c r="E123" s="359" t="inlineStr">
        <is>
          <t>BTT25-0000193</t>
        </is>
      </c>
      <c r="F123" s="338" t="n">
        <v>45678</v>
      </c>
      <c r="G123" s="226" t="n"/>
      <c r="H123" s="627" t="n"/>
      <c r="I123" s="627" t="n">
        <v>3996768</v>
      </c>
      <c r="J123" s="223" t="inlineStr">
        <is>
          <t>អនុញ្ញាត (បានប្រកាស)</t>
        </is>
      </c>
      <c r="K123" s="223" t="n"/>
      <c r="L123" s="626">
        <f>I123</f>
        <v/>
      </c>
      <c r="M123" s="598">
        <f>I123-L123</f>
        <v/>
      </c>
      <c r="N123" s="223" t="n"/>
      <c r="O123" s="228">
        <f>U123=E123</f>
        <v/>
      </c>
      <c r="P123" s="228">
        <f>MONTH(F123)-MONTH(T123)</f>
        <v/>
      </c>
      <c r="Q123" s="228">
        <f>$B$5=X123</f>
        <v/>
      </c>
      <c r="R123" s="228">
        <f>I123-AD123</f>
        <v/>
      </c>
      <c r="S123" s="371" t="n"/>
      <c r="T123" s="372" t="n">
        <v>45678</v>
      </c>
      <c r="U123" s="371" t="inlineStr">
        <is>
          <t>BTT25-0000193</t>
        </is>
      </c>
      <c r="V123" s="371" t="n">
        <v>0</v>
      </c>
      <c r="W123" s="371" t="inlineStr">
        <is>
          <t>បុគ្គលជាប់អាករ</t>
        </is>
      </c>
      <c r="X123" s="371" t="inlineStr">
        <is>
          <t>L001-901640009</t>
        </is>
      </c>
      <c r="Y123" s="371" t="inlineStr">
        <is>
          <t>ហូលីដេ ឌីហ្សាញ (ខេមបូឌា) ឯ.ក</t>
        </is>
      </c>
      <c r="Z123" s="373" t="n">
        <v>43964448</v>
      </c>
      <c r="AA123" s="373" t="n">
        <v>39967680</v>
      </c>
      <c r="AB123" s="371" t="n">
        <v>0</v>
      </c>
      <c r="AC123" s="371" t="inlineStr">
        <is>
          <t>-</t>
        </is>
      </c>
      <c r="AD123" s="373" t="n">
        <v>3996768</v>
      </c>
      <c r="AE123" s="371" t="n">
        <v>0</v>
      </c>
      <c r="AF123" s="625" t="n">
        <v>0</v>
      </c>
      <c r="AG123" s="205" t="n">
        <v>0</v>
      </c>
      <c r="AH123" s="205" t="n">
        <v>0</v>
      </c>
      <c r="AI123" s="205" t="n">
        <v>0</v>
      </c>
      <c r="AJ123" s="205" t="n">
        <v>0</v>
      </c>
      <c r="AK123" s="205" t="n">
        <v>0</v>
      </c>
      <c r="AL123" s="205" t="n">
        <v>0.01</v>
      </c>
      <c r="AM123" s="205" t="n">
        <v>0</v>
      </c>
      <c r="AN123" s="205" t="inlineStr">
        <is>
          <t>Truking / Service</t>
        </is>
      </c>
    </row>
    <row r="124">
      <c r="A124" s="222">
        <f>A123+1</f>
        <v/>
      </c>
      <c r="B124" s="224" t="inlineStr">
        <is>
          <t>Trucking Fee-Im</t>
        </is>
      </c>
      <c r="C124" s="224" t="inlineStr">
        <is>
          <t>BRILLIANT TRANSPORT AND TRADING Co., Ltd.</t>
        </is>
      </c>
      <c r="D124" s="225" t="inlineStr">
        <is>
          <t>K002-100089305</t>
        </is>
      </c>
      <c r="E124" s="359" t="inlineStr">
        <is>
          <t>BTT25-0000192</t>
        </is>
      </c>
      <c r="F124" s="338" t="n">
        <v>45678</v>
      </c>
      <c r="G124" s="226" t="n"/>
      <c r="H124" s="627" t="n"/>
      <c r="I124" s="627" t="n">
        <v>2127312</v>
      </c>
      <c r="J124" s="223" t="inlineStr">
        <is>
          <t>អនុញ្ញាត (បានប្រកាស)</t>
        </is>
      </c>
      <c r="K124" s="223" t="n"/>
      <c r="L124" s="626">
        <f>I124</f>
        <v/>
      </c>
      <c r="M124" s="598">
        <f>I124-L124</f>
        <v/>
      </c>
      <c r="N124" s="223" t="n"/>
      <c r="O124" s="228">
        <f>U124=E124</f>
        <v/>
      </c>
      <c r="P124" s="228">
        <f>MONTH(F124)-MONTH(T124)</f>
        <v/>
      </c>
      <c r="Q124" s="228">
        <f>$B$5=X124</f>
        <v/>
      </c>
      <c r="R124" s="228">
        <f>I124-AD124</f>
        <v/>
      </c>
      <c r="S124" s="371" t="inlineStr">
        <is>
          <t>Wrong invoice number</t>
        </is>
      </c>
      <c r="T124" s="372" t="n">
        <v>45678</v>
      </c>
      <c r="U124" s="371" t="inlineStr">
        <is>
          <t>BTT25-0000192</t>
        </is>
      </c>
      <c r="V124" s="371" t="n">
        <v>0</v>
      </c>
      <c r="W124" s="371" t="inlineStr">
        <is>
          <t>បុគ្គលជាប់អាករ</t>
        </is>
      </c>
      <c r="X124" s="371" t="inlineStr">
        <is>
          <t>L001-901640009</t>
        </is>
      </c>
      <c r="Y124" s="371" t="inlineStr">
        <is>
          <t>ហូលីដេ ឌីហ្សាញ (ខេមបូឌា) ឯ.ក</t>
        </is>
      </c>
      <c r="Z124" s="373" t="n">
        <v>23400432</v>
      </c>
      <c r="AA124" s="373" t="n">
        <v>21273120</v>
      </c>
      <c r="AB124" s="371" t="n">
        <v>0</v>
      </c>
      <c r="AC124" s="371" t="inlineStr">
        <is>
          <t>-</t>
        </is>
      </c>
      <c r="AD124" s="373" t="n">
        <v>2127312</v>
      </c>
      <c r="AE124" s="371" t="n">
        <v>0</v>
      </c>
      <c r="AF124" s="625" t="n">
        <v>0</v>
      </c>
      <c r="AG124" s="205" t="n">
        <v>0</v>
      </c>
      <c r="AH124" s="205" t="n">
        <v>0</v>
      </c>
      <c r="AI124" s="205" t="n">
        <v>0</v>
      </c>
      <c r="AJ124" s="205" t="n">
        <v>0</v>
      </c>
      <c r="AK124" s="205" t="n">
        <v>0</v>
      </c>
      <c r="AL124" s="205" t="n">
        <v>0.01</v>
      </c>
      <c r="AM124" s="205" t="n">
        <v>0</v>
      </c>
      <c r="AN124" s="205" t="inlineStr">
        <is>
          <t>Truking / Service</t>
        </is>
      </c>
    </row>
    <row r="125">
      <c r="A125" s="222">
        <f>A124+1</f>
        <v/>
      </c>
      <c r="B125" s="224" t="inlineStr">
        <is>
          <t>Trucking Fee-Im</t>
        </is>
      </c>
      <c r="C125" s="224" t="inlineStr">
        <is>
          <t>BRILLIANT TRANSPORT AND TRADING Co., Ltd.</t>
        </is>
      </c>
      <c r="D125" s="225" t="inlineStr">
        <is>
          <t>K002-100089305</t>
        </is>
      </c>
      <c r="E125" s="359" t="inlineStr">
        <is>
          <t>BTT25-0000191</t>
        </is>
      </c>
      <c r="F125" s="338" t="n">
        <v>45678</v>
      </c>
      <c r="G125" s="226" t="n"/>
      <c r="H125" s="627" t="n"/>
      <c r="I125" s="627" t="n">
        <v>1893630</v>
      </c>
      <c r="J125" s="223" t="inlineStr">
        <is>
          <t>អនុញ្ញាត (បានប្រកាស)</t>
        </is>
      </c>
      <c r="K125" s="223" t="n"/>
      <c r="L125" s="626">
        <f>I125</f>
        <v/>
      </c>
      <c r="M125" s="598">
        <f>I125-L125</f>
        <v/>
      </c>
      <c r="N125" s="223" t="n"/>
      <c r="O125" s="228">
        <f>U125=E125</f>
        <v/>
      </c>
      <c r="P125" s="228">
        <f>MONTH(F125)-MONTH(T125)</f>
        <v/>
      </c>
      <c r="Q125" s="228">
        <f>$B$5=X125</f>
        <v/>
      </c>
      <c r="R125" s="228">
        <f>I125-AD125</f>
        <v/>
      </c>
      <c r="S125" s="371" t="n"/>
      <c r="T125" s="372" t="n">
        <v>45678</v>
      </c>
      <c r="U125" s="371" t="inlineStr">
        <is>
          <t>BTT25-0000191</t>
        </is>
      </c>
      <c r="V125" s="371" t="n">
        <v>0</v>
      </c>
      <c r="W125" s="371" t="inlineStr">
        <is>
          <t>បុគ្គលជាប់អាករ</t>
        </is>
      </c>
      <c r="X125" s="371" t="inlineStr">
        <is>
          <t>L001-901640009</t>
        </is>
      </c>
      <c r="Y125" s="371" t="inlineStr">
        <is>
          <t>ហូលីដេ ឌីហ្សាញ (ខេមបូឌា) ឯ.ក</t>
        </is>
      </c>
      <c r="Z125" s="373" t="n">
        <v>20829930</v>
      </c>
      <c r="AA125" s="373" t="n">
        <v>18936300</v>
      </c>
      <c r="AB125" s="371" t="n">
        <v>0</v>
      </c>
      <c r="AC125" s="371" t="inlineStr">
        <is>
          <t>-</t>
        </is>
      </c>
      <c r="AD125" s="373" t="n">
        <v>1893630</v>
      </c>
      <c r="AE125" s="371" t="n">
        <v>0</v>
      </c>
      <c r="AF125" s="625" t="n">
        <v>0</v>
      </c>
      <c r="AG125" s="205" t="n">
        <v>0</v>
      </c>
      <c r="AH125" s="205" t="n">
        <v>0</v>
      </c>
      <c r="AI125" s="205" t="n">
        <v>0</v>
      </c>
      <c r="AJ125" s="205" t="n">
        <v>0</v>
      </c>
      <c r="AK125" s="205" t="n">
        <v>0</v>
      </c>
      <c r="AL125" s="205" t="n">
        <v>0.01</v>
      </c>
      <c r="AM125" s="205" t="n">
        <v>0</v>
      </c>
      <c r="AN125" s="205" t="inlineStr">
        <is>
          <t>Truking / Service</t>
        </is>
      </c>
    </row>
    <row r="126">
      <c r="A126" s="222">
        <f>A125+1</f>
        <v/>
      </c>
      <c r="B126" s="224" t="inlineStr">
        <is>
          <t>Trucking Fee-Im</t>
        </is>
      </c>
      <c r="C126" s="224" t="inlineStr">
        <is>
          <t>BRILLIANT TRANSPORT AND TRADING Co., Ltd.</t>
        </is>
      </c>
      <c r="D126" s="225" t="inlineStr">
        <is>
          <t>K002-100089305</t>
        </is>
      </c>
      <c r="E126" s="359" t="inlineStr">
        <is>
          <t>BTT25-0000190</t>
        </is>
      </c>
      <c r="F126" s="338" t="n">
        <v>45678</v>
      </c>
      <c r="G126" s="226" t="n"/>
      <c r="H126" s="627" t="n"/>
      <c r="I126" s="627" t="n">
        <v>1893630</v>
      </c>
      <c r="J126" s="223" t="inlineStr">
        <is>
          <t>អនុញ្ញាត (បានប្រកាស)</t>
        </is>
      </c>
      <c r="K126" s="223" t="n"/>
      <c r="L126" s="626">
        <f>I126</f>
        <v/>
      </c>
      <c r="M126" s="598">
        <f>I126-L126</f>
        <v/>
      </c>
      <c r="N126" s="223" t="n"/>
      <c r="O126" s="228">
        <f>U126=E126</f>
        <v/>
      </c>
      <c r="P126" s="228">
        <f>MONTH(F126)-MONTH(T126)</f>
        <v/>
      </c>
      <c r="Q126" s="228">
        <f>$B$5=X126</f>
        <v/>
      </c>
      <c r="R126" s="228">
        <f>I126-AD126</f>
        <v/>
      </c>
      <c r="S126" s="371" t="n"/>
      <c r="T126" s="372" t="n">
        <v>45678</v>
      </c>
      <c r="U126" s="371" t="inlineStr">
        <is>
          <t>BTT25-0000190</t>
        </is>
      </c>
      <c r="V126" s="371" t="n">
        <v>0</v>
      </c>
      <c r="W126" s="371" t="inlineStr">
        <is>
          <t>បុគ្គលជាប់អាករ</t>
        </is>
      </c>
      <c r="X126" s="371" t="inlineStr">
        <is>
          <t>L001-901640009</t>
        </is>
      </c>
      <c r="Y126" s="371" t="inlineStr">
        <is>
          <t>ហូលីដេ ឌីហ្សាញ (ខេមបូឌា) ឯ.ក</t>
        </is>
      </c>
      <c r="Z126" s="373" t="n">
        <v>20829930</v>
      </c>
      <c r="AA126" s="373" t="n">
        <v>18936300</v>
      </c>
      <c r="AB126" s="371" t="n">
        <v>0</v>
      </c>
      <c r="AC126" s="371" t="inlineStr">
        <is>
          <t>-</t>
        </is>
      </c>
      <c r="AD126" s="373" t="n">
        <v>1893630</v>
      </c>
      <c r="AE126" s="371" t="n">
        <v>0</v>
      </c>
      <c r="AF126" s="625" t="n">
        <v>0</v>
      </c>
      <c r="AG126" s="205" t="n">
        <v>0</v>
      </c>
      <c r="AH126" s="205" t="n">
        <v>0</v>
      </c>
      <c r="AI126" s="205" t="n">
        <v>0</v>
      </c>
      <c r="AJ126" s="205" t="n">
        <v>0</v>
      </c>
      <c r="AK126" s="205" t="n">
        <v>0</v>
      </c>
      <c r="AL126" s="205" t="n">
        <v>0.01</v>
      </c>
      <c r="AM126" s="205" t="n">
        <v>0</v>
      </c>
      <c r="AN126" s="205" t="inlineStr">
        <is>
          <t>Truking / Service</t>
        </is>
      </c>
    </row>
    <row r="127">
      <c r="A127" s="222">
        <f>A126+1</f>
        <v/>
      </c>
      <c r="B127" s="224" t="inlineStr">
        <is>
          <t>Trucking Fee-Im</t>
        </is>
      </c>
      <c r="C127" s="224" t="inlineStr">
        <is>
          <t>BRILLIANT TRANSPORT AND TRADING Co., Ltd.</t>
        </is>
      </c>
      <c r="D127" s="225" t="inlineStr">
        <is>
          <t>K002-100089305</t>
        </is>
      </c>
      <c r="E127" s="359" t="inlineStr">
        <is>
          <t>BTT25-0000189</t>
        </is>
      </c>
      <c r="F127" s="338" t="n">
        <v>45677</v>
      </c>
      <c r="G127" s="226" t="n"/>
      <c r="H127" s="627" t="n"/>
      <c r="I127" s="627" t="n">
        <v>1896450</v>
      </c>
      <c r="J127" s="223" t="inlineStr">
        <is>
          <t>អនុញ្ញាត (បានប្រកាស)</t>
        </is>
      </c>
      <c r="K127" s="223" t="n"/>
      <c r="L127" s="626">
        <f>I127</f>
        <v/>
      </c>
      <c r="M127" s="598">
        <f>I127-L127</f>
        <v/>
      </c>
      <c r="N127" s="223" t="n"/>
      <c r="O127" s="228">
        <f>U127=E127</f>
        <v/>
      </c>
      <c r="P127" s="228">
        <f>MONTH(F127)-MONTH(T127)</f>
        <v/>
      </c>
      <c r="Q127" s="228">
        <f>$B$5=X127</f>
        <v/>
      </c>
      <c r="R127" s="228">
        <f>I127-AD127</f>
        <v/>
      </c>
      <c r="S127" s="371" t="n"/>
      <c r="T127" s="372" t="n">
        <v>45677</v>
      </c>
      <c r="U127" s="371" t="inlineStr">
        <is>
          <t>BTT25-0000189</t>
        </is>
      </c>
      <c r="V127" s="371" t="n">
        <v>0</v>
      </c>
      <c r="W127" s="371" t="inlineStr">
        <is>
          <t>បុគ្គលជាប់អាករ</t>
        </is>
      </c>
      <c r="X127" s="371" t="inlineStr">
        <is>
          <t>L001-901640009</t>
        </is>
      </c>
      <c r="Y127" s="371" t="inlineStr">
        <is>
          <t>ហូលីដេ ឌីហ្សាញ (ខេមបូឌា) ឯ.ក</t>
        </is>
      </c>
      <c r="Z127" s="373" t="n">
        <v>20860950</v>
      </c>
      <c r="AA127" s="373" t="n">
        <v>18964500</v>
      </c>
      <c r="AB127" s="371" t="n">
        <v>0</v>
      </c>
      <c r="AC127" s="371" t="inlineStr">
        <is>
          <t>-</t>
        </is>
      </c>
      <c r="AD127" s="373" t="n">
        <v>1896450</v>
      </c>
      <c r="AE127" s="371" t="n">
        <v>0</v>
      </c>
      <c r="AF127" s="625" t="n">
        <v>0</v>
      </c>
      <c r="AG127" s="205" t="n">
        <v>0</v>
      </c>
      <c r="AH127" s="205" t="n">
        <v>0</v>
      </c>
      <c r="AI127" s="205" t="n">
        <v>0</v>
      </c>
      <c r="AJ127" s="205" t="n">
        <v>0</v>
      </c>
      <c r="AK127" s="205" t="n">
        <v>0</v>
      </c>
      <c r="AL127" s="205" t="n">
        <v>0.01</v>
      </c>
      <c r="AM127" s="205" t="n">
        <v>0</v>
      </c>
      <c r="AN127" s="205" t="inlineStr">
        <is>
          <t>Truking / Service</t>
        </is>
      </c>
    </row>
    <row r="128">
      <c r="A128" s="222">
        <f>A127+1</f>
        <v/>
      </c>
      <c r="B128" s="224" t="inlineStr">
        <is>
          <t>Trucking Fee-Im</t>
        </is>
      </c>
      <c r="C128" s="224" t="inlineStr">
        <is>
          <t>BRILLIANT TRANSPORT AND TRADING Co., Ltd.</t>
        </is>
      </c>
      <c r="D128" s="225" t="inlineStr">
        <is>
          <t>K002-100089305</t>
        </is>
      </c>
      <c r="E128" s="359" t="inlineStr">
        <is>
          <t>BTT25-0000187</t>
        </is>
      </c>
      <c r="F128" s="338" t="n">
        <v>45677</v>
      </c>
      <c r="G128" s="226" t="n"/>
      <c r="H128" s="627" t="n"/>
      <c r="I128" s="627" t="n">
        <v>2054790</v>
      </c>
      <c r="J128" s="223" t="inlineStr">
        <is>
          <t>អនុញ្ញាត (បានប្រកាស)</t>
        </is>
      </c>
      <c r="K128" s="223" t="n"/>
      <c r="L128" s="626">
        <f>I128</f>
        <v/>
      </c>
      <c r="M128" s="598">
        <f>I128-L128</f>
        <v/>
      </c>
      <c r="N128" s="223" t="n"/>
      <c r="O128" s="228">
        <f>U128=E128</f>
        <v/>
      </c>
      <c r="P128" s="228">
        <f>MONTH(F128)-MONTH(T128)</f>
        <v/>
      </c>
      <c r="Q128" s="228">
        <f>$B$5=X128</f>
        <v/>
      </c>
      <c r="R128" s="228">
        <f>I128-AD128</f>
        <v/>
      </c>
      <c r="S128" s="371" t="n"/>
      <c r="T128" s="372" t="n">
        <v>45678</v>
      </c>
      <c r="U128" s="371" t="inlineStr">
        <is>
          <t>BTT25-0000187</t>
        </is>
      </c>
      <c r="V128" s="371" t="n">
        <v>0</v>
      </c>
      <c r="W128" s="371" t="inlineStr">
        <is>
          <t>បុគ្គលជាប់អាករ</t>
        </is>
      </c>
      <c r="X128" s="371" t="inlineStr">
        <is>
          <t>L001-901640009</t>
        </is>
      </c>
      <c r="Y128" s="371" t="inlineStr">
        <is>
          <t>ហូលីដេ ឌីហ្សាញ (ខេមបូឌា) ឯ.ក</t>
        </is>
      </c>
      <c r="Z128" s="373" t="n">
        <v>22602690</v>
      </c>
      <c r="AA128" s="373" t="n">
        <v>20547900</v>
      </c>
      <c r="AB128" s="371" t="n">
        <v>0</v>
      </c>
      <c r="AC128" s="371" t="inlineStr">
        <is>
          <t>-</t>
        </is>
      </c>
      <c r="AD128" s="373" t="n">
        <v>2054790</v>
      </c>
      <c r="AE128" s="371" t="n">
        <v>0</v>
      </c>
      <c r="AF128" s="625" t="n">
        <v>0</v>
      </c>
      <c r="AG128" s="205" t="n">
        <v>0</v>
      </c>
      <c r="AH128" s="205" t="n">
        <v>0</v>
      </c>
      <c r="AI128" s="205" t="n">
        <v>0</v>
      </c>
      <c r="AJ128" s="205" t="n">
        <v>0</v>
      </c>
      <c r="AK128" s="205" t="n">
        <v>0</v>
      </c>
      <c r="AL128" s="205" t="n">
        <v>0.01</v>
      </c>
      <c r="AM128" s="205" t="n">
        <v>0</v>
      </c>
      <c r="AN128" s="205" t="inlineStr">
        <is>
          <t>Truking / Service</t>
        </is>
      </c>
    </row>
    <row r="129">
      <c r="A129" s="222">
        <f>A128+1</f>
        <v/>
      </c>
      <c r="B129" s="224" t="inlineStr">
        <is>
          <t>Trucking Fee-Im</t>
        </is>
      </c>
      <c r="C129" s="224" t="inlineStr">
        <is>
          <t>BRILLIANT TRANSPORT AND TRADING Co., Ltd.</t>
        </is>
      </c>
      <c r="D129" s="225" t="inlineStr">
        <is>
          <t>K002-100089305</t>
        </is>
      </c>
      <c r="E129" s="359" t="inlineStr">
        <is>
          <t>BTT25-0000185</t>
        </is>
      </c>
      <c r="F129" s="338" t="n">
        <v>45677</v>
      </c>
      <c r="G129" s="226" t="n"/>
      <c r="H129" s="627" t="n"/>
      <c r="I129" s="627" t="n">
        <v>1662420</v>
      </c>
      <c r="J129" s="223" t="inlineStr">
        <is>
          <t>អនុញ្ញាត (បានប្រកាស)</t>
        </is>
      </c>
      <c r="K129" s="223" t="n"/>
      <c r="L129" s="626">
        <f>I129</f>
        <v/>
      </c>
      <c r="M129" s="598">
        <f>I129-L129</f>
        <v/>
      </c>
      <c r="N129" s="223" t="n"/>
      <c r="O129" s="228">
        <f>U129=E129</f>
        <v/>
      </c>
      <c r="P129" s="228">
        <f>MONTH(F129)-MONTH(T129)</f>
        <v/>
      </c>
      <c r="Q129" s="228">
        <f>$B$5=X129</f>
        <v/>
      </c>
      <c r="R129" s="228">
        <f>I129-AD129</f>
        <v/>
      </c>
      <c r="S129" s="371" t="n"/>
      <c r="T129" s="372" t="n">
        <v>45677</v>
      </c>
      <c r="U129" s="371" t="inlineStr">
        <is>
          <t>BTT25-0000185</t>
        </is>
      </c>
      <c r="V129" s="371" t="n">
        <v>0</v>
      </c>
      <c r="W129" s="371" t="inlineStr">
        <is>
          <t>បុគ្គលជាប់អាករ</t>
        </is>
      </c>
      <c r="X129" s="371" t="inlineStr">
        <is>
          <t>L001-901640009</t>
        </is>
      </c>
      <c r="Y129" s="371" t="inlineStr">
        <is>
          <t>ហូលីដេ ឌីហ្សាញ (ខេមបូឌា) ឯ.ក</t>
        </is>
      </c>
      <c r="Z129" s="373" t="n">
        <v>18286620</v>
      </c>
      <c r="AA129" s="373" t="n">
        <v>16624200</v>
      </c>
      <c r="AB129" s="371" t="n">
        <v>0</v>
      </c>
      <c r="AC129" s="371" t="inlineStr">
        <is>
          <t>-</t>
        </is>
      </c>
      <c r="AD129" s="373" t="n">
        <v>1662420</v>
      </c>
      <c r="AE129" s="371" t="n">
        <v>0</v>
      </c>
      <c r="AF129" s="625" t="n">
        <v>0</v>
      </c>
      <c r="AG129" s="205" t="n">
        <v>0</v>
      </c>
      <c r="AH129" s="205" t="n">
        <v>0</v>
      </c>
      <c r="AI129" s="205" t="n">
        <v>0</v>
      </c>
      <c r="AJ129" s="205" t="n">
        <v>0</v>
      </c>
      <c r="AK129" s="205" t="n">
        <v>0</v>
      </c>
      <c r="AL129" s="205" t="n">
        <v>0.01</v>
      </c>
      <c r="AM129" s="205" t="n">
        <v>0</v>
      </c>
      <c r="AN129" s="205" t="inlineStr">
        <is>
          <t>Truking / Service</t>
        </is>
      </c>
    </row>
    <row r="130">
      <c r="A130" s="222">
        <f>A129+1</f>
        <v/>
      </c>
      <c r="B130" s="224" t="inlineStr">
        <is>
          <t>Tax Filling for 11-2024</t>
        </is>
      </c>
      <c r="C130" s="224" t="inlineStr">
        <is>
          <t>L S CONSULTING CO., LTD.</t>
        </is>
      </c>
      <c r="D130" s="225" t="inlineStr">
        <is>
          <t>K010-901700169</t>
        </is>
      </c>
      <c r="E130" s="359" t="inlineStr">
        <is>
          <t>24-01085</t>
        </is>
      </c>
      <c r="F130" s="338" t="n">
        <v>45631</v>
      </c>
      <c r="G130" s="226" t="n"/>
      <c r="H130" s="627" t="n"/>
      <c r="I130" s="627" t="n">
        <v>120870</v>
      </c>
      <c r="J130" s="223" t="inlineStr">
        <is>
          <t>អនុញ្ញាត (បានប្រកាស)</t>
        </is>
      </c>
      <c r="K130" s="223" t="n"/>
      <c r="L130" s="626">
        <f>I130</f>
        <v/>
      </c>
      <c r="M130" s="598">
        <f>I130-L130</f>
        <v/>
      </c>
      <c r="N130" s="223" t="n"/>
      <c r="O130" s="228">
        <f>U130=E130</f>
        <v/>
      </c>
      <c r="P130" s="228">
        <f>MONTH(F130)-MONTH(T130)</f>
        <v/>
      </c>
      <c r="Q130" s="228">
        <f>$B$5=X130</f>
        <v/>
      </c>
      <c r="R130" s="228">
        <f>I130-AD130</f>
        <v/>
      </c>
      <c r="S130" s="371" t="n"/>
      <c r="T130" s="372" t="n">
        <v>45631</v>
      </c>
      <c r="U130" s="371" t="inlineStr">
        <is>
          <t>24-01085</t>
        </is>
      </c>
      <c r="V130" s="371" t="n">
        <v>0</v>
      </c>
      <c r="W130" s="371" t="inlineStr">
        <is>
          <t>បុគ្គលជាប់អាករ</t>
        </is>
      </c>
      <c r="X130" s="371" t="inlineStr">
        <is>
          <t>L001-901640009</t>
        </is>
      </c>
      <c r="Y130" s="371" t="inlineStr">
        <is>
          <t>ហូលីដេ ឌីហ្សាញ (ខេមបូឌា) ឯ.ក</t>
        </is>
      </c>
      <c r="Z130" s="373" t="n">
        <v>1329570</v>
      </c>
      <c r="AA130" s="373" t="n">
        <v>1208700</v>
      </c>
      <c r="AB130" s="371" t="n">
        <v>0</v>
      </c>
      <c r="AC130" s="371" t="inlineStr">
        <is>
          <t>-</t>
        </is>
      </c>
      <c r="AD130" s="373" t="n">
        <v>120870</v>
      </c>
      <c r="AE130" s="371" t="n">
        <v>0</v>
      </c>
      <c r="AF130" s="625" t="n">
        <v>0</v>
      </c>
      <c r="AG130" s="205" t="n">
        <v>0</v>
      </c>
      <c r="AH130" s="205" t="n">
        <v>0</v>
      </c>
      <c r="AI130" s="205" t="n">
        <v>0</v>
      </c>
      <c r="AJ130" s="205" t="n">
        <v>0</v>
      </c>
      <c r="AK130" s="205" t="n">
        <v>0</v>
      </c>
      <c r="AL130" s="205" t="n">
        <v>0.01</v>
      </c>
      <c r="AM130" s="205" t="n">
        <v>0</v>
      </c>
      <c r="AN130" s="205" t="inlineStr">
        <is>
          <t>Tax Filling fee</t>
        </is>
      </c>
      <c r="AO130" s="205" t="inlineStr">
        <is>
          <t>បានប្រកាសនិងបង់ពន្ធ</t>
        </is>
      </c>
    </row>
    <row r="131">
      <c r="A131" s="222">
        <f>A130+1</f>
        <v/>
      </c>
      <c r="B131" s="224" t="inlineStr">
        <is>
          <t>Tax Filling for 12-2024</t>
        </is>
      </c>
      <c r="C131" s="224" t="inlineStr">
        <is>
          <t>L S CONSULTING CO., LTD.</t>
        </is>
      </c>
      <c r="D131" s="225" t="inlineStr">
        <is>
          <t>K010-901700169</t>
        </is>
      </c>
      <c r="E131" s="359" t="inlineStr">
        <is>
          <t>25-00027</t>
        </is>
      </c>
      <c r="F131" s="338" t="n">
        <v>45663</v>
      </c>
      <c r="G131" s="226" t="n"/>
      <c r="H131" s="627" t="n"/>
      <c r="I131" s="627" t="n">
        <v>120990</v>
      </c>
      <c r="J131" s="223" t="inlineStr">
        <is>
          <t>អនុញ្ញាត (បានប្រកាស)</t>
        </is>
      </c>
      <c r="K131" s="223" t="n"/>
      <c r="L131" s="626">
        <f>I131</f>
        <v/>
      </c>
      <c r="M131" s="598">
        <f>I131-L131</f>
        <v/>
      </c>
      <c r="N131" s="223" t="n"/>
      <c r="O131" s="228">
        <f>U131=E131</f>
        <v/>
      </c>
      <c r="P131" s="228">
        <f>MONTH(F131)-MONTH(T131)</f>
        <v/>
      </c>
      <c r="Q131" s="228">
        <f>$B$5=X131</f>
        <v/>
      </c>
      <c r="R131" s="228">
        <f>I131-AD131</f>
        <v/>
      </c>
      <c r="S131" s="371" t="n"/>
      <c r="T131" s="372" t="n">
        <v>45663</v>
      </c>
      <c r="U131" s="371" t="inlineStr">
        <is>
          <t>25-00027</t>
        </is>
      </c>
      <c r="V131" s="371" t="n">
        <v>0</v>
      </c>
      <c r="W131" s="371" t="inlineStr">
        <is>
          <t>បុគ្គលជាប់អាករ</t>
        </is>
      </c>
      <c r="X131" s="371" t="inlineStr">
        <is>
          <t>L001-901640009</t>
        </is>
      </c>
      <c r="Y131" s="371" t="inlineStr">
        <is>
          <t>ហូលីដេ ឌីហ្សាញ (ខេមបូឌា) ឯ.ក</t>
        </is>
      </c>
      <c r="Z131" s="373" t="n">
        <v>1330890</v>
      </c>
      <c r="AA131" s="373" t="n">
        <v>1209900</v>
      </c>
      <c r="AB131" s="371" t="n">
        <v>0</v>
      </c>
      <c r="AC131" s="371" t="inlineStr">
        <is>
          <t>-</t>
        </is>
      </c>
      <c r="AD131" s="373" t="n">
        <v>120990</v>
      </c>
      <c r="AE131" s="371" t="n">
        <v>0</v>
      </c>
      <c r="AF131" s="625" t="n">
        <v>0</v>
      </c>
      <c r="AG131" s="205" t="n">
        <v>0</v>
      </c>
      <c r="AH131" s="205" t="n">
        <v>0</v>
      </c>
      <c r="AI131" s="205" t="n">
        <v>0</v>
      </c>
      <c r="AJ131" s="205" t="n">
        <v>0</v>
      </c>
      <c r="AK131" s="205" t="n">
        <v>0</v>
      </c>
      <c r="AL131" s="205" t="n">
        <v>0.01</v>
      </c>
      <c r="AM131" s="205" t="n">
        <v>0</v>
      </c>
      <c r="AN131" s="205" t="inlineStr">
        <is>
          <t>Tax Filling fee</t>
        </is>
      </c>
      <c r="AO131" s="205" t="inlineStr">
        <is>
          <t>បានប្រកាសនិងបង់ពន្ធ</t>
        </is>
      </c>
    </row>
    <row r="132">
      <c r="A132" s="222">
        <f>A131+1</f>
        <v/>
      </c>
      <c r="B132" s="224" t="inlineStr">
        <is>
          <t>Tax Filling &amp; Annual Income Tax Return 2024</t>
        </is>
      </c>
      <c r="C132" s="224" t="inlineStr">
        <is>
          <t>L S CONSULTING CO., LTD.</t>
        </is>
      </c>
      <c r="D132" s="225" t="inlineStr">
        <is>
          <t>K010-901700169</t>
        </is>
      </c>
      <c r="E132" s="359" t="inlineStr">
        <is>
          <t>25-00133</t>
        </is>
      </c>
      <c r="F132" s="338" t="n">
        <v>45693</v>
      </c>
      <c r="G132" s="226" t="n"/>
      <c r="H132" s="627" t="n"/>
      <c r="I132" s="627" t="n">
        <v>321600</v>
      </c>
      <c r="J132" s="223" t="inlineStr">
        <is>
          <t>អនុញ្ញាត (បានប្រកាស)</t>
        </is>
      </c>
      <c r="K132" s="223" t="n"/>
      <c r="L132" s="626">
        <f>I132</f>
        <v/>
      </c>
      <c r="M132" s="598">
        <f>I132-L132</f>
        <v/>
      </c>
      <c r="N132" s="223" t="n"/>
      <c r="O132" s="228">
        <f>U132=E132</f>
        <v/>
      </c>
      <c r="P132" s="228">
        <f>MONTH(F132)-MONTH(T132)</f>
        <v/>
      </c>
      <c r="Q132" s="228">
        <f>$B$5=X132</f>
        <v/>
      </c>
      <c r="R132" s="228">
        <f>I132-AD132</f>
        <v/>
      </c>
      <c r="S132" s="371" t="n"/>
      <c r="T132" s="372" t="n">
        <v>45693</v>
      </c>
      <c r="U132" s="371" t="inlineStr">
        <is>
          <t>25-00133</t>
        </is>
      </c>
      <c r="V132" s="371" t="n">
        <v>0</v>
      </c>
      <c r="W132" s="371" t="inlineStr">
        <is>
          <t>បុគ្គលជាប់អាករ</t>
        </is>
      </c>
      <c r="X132" s="371" t="inlineStr">
        <is>
          <t>L001-901640009</t>
        </is>
      </c>
      <c r="Y132" s="371" t="inlineStr">
        <is>
          <t>ហូលីដេ ឌីហ្សាញ (ខេមបូឌា) ឯ.ក</t>
        </is>
      </c>
      <c r="Z132" s="373" t="n">
        <v>3537600</v>
      </c>
      <c r="AA132" s="373" t="n">
        <v>3216000</v>
      </c>
      <c r="AB132" s="371" t="n">
        <v>0</v>
      </c>
      <c r="AC132" s="371" t="inlineStr">
        <is>
          <t>-</t>
        </is>
      </c>
      <c r="AD132" s="373" t="n">
        <v>321600</v>
      </c>
      <c r="AE132" s="371" t="n">
        <v>0</v>
      </c>
      <c r="AF132" s="625" t="n">
        <v>0</v>
      </c>
      <c r="AG132" s="205" t="n">
        <v>0</v>
      </c>
      <c r="AH132" s="205" t="n">
        <v>0</v>
      </c>
      <c r="AI132" s="205" t="n">
        <v>0</v>
      </c>
      <c r="AJ132" s="205" t="n">
        <v>0</v>
      </c>
      <c r="AK132" s="205" t="n">
        <v>0</v>
      </c>
      <c r="AL132" s="205" t="n">
        <v>0.01</v>
      </c>
      <c r="AM132" s="205" t="n">
        <v>0</v>
      </c>
      <c r="AN132" s="205" t="inlineStr">
        <is>
          <t>Tax Filling fee</t>
        </is>
      </c>
      <c r="AO132" s="205" t="inlineStr">
        <is>
          <t>បានប្រកាសនិងបង់ពន្ធ</t>
        </is>
      </c>
    </row>
    <row r="133">
      <c r="A133" s="222">
        <f>A132+1</f>
        <v/>
      </c>
      <c r="B133" s="224" t="inlineStr">
        <is>
          <t>Tax Filling 02-2025</t>
        </is>
      </c>
      <c r="C133" s="224" t="inlineStr">
        <is>
          <t>L S CONSULTING CO., LTD.</t>
        </is>
      </c>
      <c r="D133" s="225" t="inlineStr">
        <is>
          <t>K010-901700169</t>
        </is>
      </c>
      <c r="E133" s="359" t="inlineStr">
        <is>
          <t>25-00240</t>
        </is>
      </c>
      <c r="F133" s="338" t="n">
        <v>45721</v>
      </c>
      <c r="G133" s="226" t="n"/>
      <c r="H133" s="627" t="n"/>
      <c r="I133" s="627" t="n">
        <v>120330</v>
      </c>
      <c r="J133" s="223" t="inlineStr">
        <is>
          <t>អនុញ្ញាត (បានប្រកាស)</t>
        </is>
      </c>
      <c r="K133" s="223" t="n"/>
      <c r="L133" s="626">
        <f>I133</f>
        <v/>
      </c>
      <c r="M133" s="598">
        <f>I133-L133</f>
        <v/>
      </c>
      <c r="N133" s="223" t="n"/>
      <c r="O133" s="228">
        <f>U133=E133</f>
        <v/>
      </c>
      <c r="P133" s="228">
        <f>MONTH(F133)-MONTH(T133)</f>
        <v/>
      </c>
      <c r="Q133" s="228">
        <f>$B$5=X133</f>
        <v/>
      </c>
      <c r="R133" s="228">
        <f>I133-AD133</f>
        <v/>
      </c>
      <c r="S133" s="371" t="n"/>
      <c r="T133" s="372" t="n">
        <v>45721</v>
      </c>
      <c r="U133" s="371" t="inlineStr">
        <is>
          <t>25-00240</t>
        </is>
      </c>
      <c r="V133" s="371" t="n">
        <v>0</v>
      </c>
      <c r="W133" s="371" t="inlineStr">
        <is>
          <t>បុគ្គលជាប់អាករ</t>
        </is>
      </c>
      <c r="X133" s="371" t="inlineStr">
        <is>
          <t>L001-901640009</t>
        </is>
      </c>
      <c r="Y133" s="371" t="inlineStr">
        <is>
          <t>ហូលីដេ ឌីហ្សាញ (ខេមបូឌា) ឯ.ក</t>
        </is>
      </c>
      <c r="Z133" s="373" t="n">
        <v>1323630</v>
      </c>
      <c r="AA133" s="373" t="n">
        <v>1203300</v>
      </c>
      <c r="AB133" s="371" t="n">
        <v>0</v>
      </c>
      <c r="AC133" s="371" t="inlineStr">
        <is>
          <t>-</t>
        </is>
      </c>
      <c r="AD133" s="373" t="n">
        <v>120330</v>
      </c>
      <c r="AE133" s="371" t="n">
        <v>0</v>
      </c>
      <c r="AF133" s="625" t="n">
        <v>0</v>
      </c>
      <c r="AG133" s="205" t="n">
        <v>0</v>
      </c>
      <c r="AH133" s="205" t="n">
        <v>0</v>
      </c>
      <c r="AI133" s="205" t="n">
        <v>0</v>
      </c>
      <c r="AJ133" s="205" t="n">
        <v>0</v>
      </c>
      <c r="AK133" s="205" t="n">
        <v>0</v>
      </c>
      <c r="AL133" s="205" t="n">
        <v>0.01</v>
      </c>
      <c r="AM133" s="205" t="n">
        <v>0</v>
      </c>
      <c r="AN133" s="205" t="inlineStr">
        <is>
          <t>Tax Filling fee</t>
        </is>
      </c>
      <c r="AO133" s="205" t="inlineStr">
        <is>
          <t>បានប្រកាសនិងបង់ពន្ធ</t>
        </is>
      </c>
    </row>
    <row r="134">
      <c r="A134" s="222">
        <f>A133+1</f>
        <v/>
      </c>
      <c r="B134" s="224" t="inlineStr">
        <is>
          <t>Tax Filling 03-2025</t>
        </is>
      </c>
      <c r="C134" s="224" t="inlineStr">
        <is>
          <t>L S CONSULTING CO., LTD.</t>
        </is>
      </c>
      <c r="D134" s="225" t="inlineStr">
        <is>
          <t>K010-901700169</t>
        </is>
      </c>
      <c r="E134" s="359" t="inlineStr">
        <is>
          <t>25-00347</t>
        </is>
      </c>
      <c r="F134" s="338" t="n">
        <v>45752</v>
      </c>
      <c r="G134" s="226" t="n"/>
      <c r="H134" s="627" t="n"/>
      <c r="I134" s="627" t="n">
        <v>120090</v>
      </c>
      <c r="J134" s="223" t="inlineStr">
        <is>
          <t>អនុញ្ញាត (បានប្រកាស)</t>
        </is>
      </c>
      <c r="K134" s="223" t="n"/>
      <c r="L134" s="626">
        <f>I134</f>
        <v/>
      </c>
      <c r="M134" s="598">
        <f>I134-L134</f>
        <v/>
      </c>
      <c r="N134" s="223" t="n"/>
      <c r="O134" s="228">
        <f>U134=E134</f>
        <v/>
      </c>
      <c r="P134" s="228">
        <f>MONTH(F134)-MONTH(T134)</f>
        <v/>
      </c>
      <c r="Q134" s="228">
        <f>$B$5=X134</f>
        <v/>
      </c>
      <c r="R134" s="228">
        <f>I134-AD134</f>
        <v/>
      </c>
      <c r="S134" s="371" t="n"/>
      <c r="T134" s="372" t="n">
        <v>45752</v>
      </c>
      <c r="U134" s="371" t="inlineStr">
        <is>
          <t>25-00347</t>
        </is>
      </c>
      <c r="V134" s="371" t="n">
        <v>0</v>
      </c>
      <c r="W134" s="371" t="inlineStr">
        <is>
          <t>បុគ្គលជាប់អាករ</t>
        </is>
      </c>
      <c r="X134" s="371" t="inlineStr">
        <is>
          <t>L001-901640009</t>
        </is>
      </c>
      <c r="Y134" s="371" t="inlineStr">
        <is>
          <t>ហូលីដេ ឌីហ្សាញ (ខេមបូឌា) ឯ.ក</t>
        </is>
      </c>
      <c r="Z134" s="373" t="n">
        <v>1320990</v>
      </c>
      <c r="AA134" s="373" t="n">
        <v>1200900</v>
      </c>
      <c r="AB134" s="371" t="n">
        <v>0</v>
      </c>
      <c r="AC134" s="371" t="inlineStr">
        <is>
          <t>-</t>
        </is>
      </c>
      <c r="AD134" s="373" t="n">
        <v>120090</v>
      </c>
      <c r="AE134" s="371" t="n">
        <v>0</v>
      </c>
      <c r="AF134" s="625" t="n">
        <v>0</v>
      </c>
      <c r="AG134" s="205" t="n">
        <v>0</v>
      </c>
      <c r="AH134" s="205" t="n">
        <v>0</v>
      </c>
      <c r="AI134" s="205" t="n">
        <v>0</v>
      </c>
      <c r="AJ134" s="205" t="n">
        <v>0</v>
      </c>
      <c r="AK134" s="205" t="n">
        <v>0</v>
      </c>
      <c r="AL134" s="205" t="n">
        <v>0.01</v>
      </c>
      <c r="AM134" s="205" t="n">
        <v>0</v>
      </c>
      <c r="AN134" s="205" t="inlineStr">
        <is>
          <t>Tax Filling fee</t>
        </is>
      </c>
      <c r="AO134" s="205" t="inlineStr">
        <is>
          <t>បានប្រកាសនិងបង់ពន្ធ</t>
        </is>
      </c>
    </row>
    <row r="135">
      <c r="A135" s="222">
        <f>A134+1</f>
        <v/>
      </c>
      <c r="B135" s="224" t="inlineStr">
        <is>
          <t>Trucking Fee-Im</t>
        </is>
      </c>
      <c r="C135" s="224" t="inlineStr">
        <is>
          <t>BRILLIANT TRANSPORT AND TRADING Co., Ltd.</t>
        </is>
      </c>
      <c r="D135" s="225" t="inlineStr">
        <is>
          <t>K002-100089305</t>
        </is>
      </c>
      <c r="E135" s="359" t="inlineStr">
        <is>
          <t>BTT25-0000196</t>
        </is>
      </c>
      <c r="F135" s="338" t="n">
        <v>45678</v>
      </c>
      <c r="G135" s="226" t="n"/>
      <c r="H135" s="627" t="n"/>
      <c r="I135" s="627" t="n">
        <v>2828358</v>
      </c>
      <c r="J135" s="223" t="inlineStr">
        <is>
          <t>អនុញ្ញាត (បានប្រកាស)</t>
        </is>
      </c>
      <c r="K135" s="223" t="n"/>
      <c r="L135" s="626">
        <f>I135</f>
        <v/>
      </c>
      <c r="M135" s="598">
        <f>I135-L135</f>
        <v/>
      </c>
      <c r="N135" s="223" t="n"/>
      <c r="O135" s="228">
        <f>U135=E135</f>
        <v/>
      </c>
      <c r="P135" s="228">
        <f>MONTH(F135)-MONTH(T135)</f>
        <v/>
      </c>
      <c r="Q135" s="228">
        <f>$B$5=X135</f>
        <v/>
      </c>
      <c r="R135" s="228">
        <f>I135-AD135</f>
        <v/>
      </c>
      <c r="S135" s="371" t="n"/>
      <c r="T135" s="372" t="n">
        <v>45678</v>
      </c>
      <c r="U135" s="371" t="inlineStr">
        <is>
          <t>BTT25-0000196</t>
        </is>
      </c>
      <c r="V135" s="371" t="n">
        <v>0</v>
      </c>
      <c r="W135" s="371" t="inlineStr">
        <is>
          <t>បុគ្គលជាប់អាករ</t>
        </is>
      </c>
      <c r="X135" s="371" t="inlineStr">
        <is>
          <t>L001-901640009</t>
        </is>
      </c>
      <c r="Y135" s="371" t="inlineStr">
        <is>
          <t>ហូលីដេ ឌីហ្សាញ (ខេមបូឌា) ឯ.ក</t>
        </is>
      </c>
      <c r="Z135" s="373" t="n">
        <v>31111938</v>
      </c>
      <c r="AA135" s="373" t="n">
        <v>28283580</v>
      </c>
      <c r="AB135" s="371" t="n">
        <v>0</v>
      </c>
      <c r="AC135" s="371" t="inlineStr">
        <is>
          <t>-</t>
        </is>
      </c>
      <c r="AD135" s="373" t="n">
        <v>2828358</v>
      </c>
      <c r="AE135" s="371" t="n">
        <v>0</v>
      </c>
      <c r="AF135" s="625" t="n">
        <v>0</v>
      </c>
      <c r="AG135" s="205" t="n">
        <v>0</v>
      </c>
      <c r="AH135" s="205" t="n">
        <v>0</v>
      </c>
      <c r="AI135" s="205" t="n">
        <v>0</v>
      </c>
      <c r="AJ135" s="205" t="n">
        <v>0</v>
      </c>
      <c r="AK135" s="205" t="n">
        <v>0</v>
      </c>
      <c r="AL135" s="205" t="n">
        <v>0.01</v>
      </c>
      <c r="AM135" s="205" t="n">
        <v>0</v>
      </c>
      <c r="AN135" s="205" t="inlineStr">
        <is>
          <t>Truking / Service</t>
        </is>
      </c>
    </row>
    <row r="136">
      <c r="A136" s="222">
        <f>A135+1</f>
        <v/>
      </c>
      <c r="B136" s="224" t="inlineStr">
        <is>
          <t>Trucking Fee-Im</t>
        </is>
      </c>
      <c r="C136" s="224" t="inlineStr">
        <is>
          <t>BRILLIANT TRANSPORT AND TRADING Co., Ltd.</t>
        </is>
      </c>
      <c r="D136" s="225" t="inlineStr">
        <is>
          <t>K002-100089305</t>
        </is>
      </c>
      <c r="E136" s="359" t="inlineStr">
        <is>
          <t>BTT25-0000188</t>
        </is>
      </c>
      <c r="F136" s="338" t="n">
        <v>45677</v>
      </c>
      <c r="G136" s="226" t="n"/>
      <c r="H136" s="627" t="n"/>
      <c r="I136" s="627" t="n">
        <v>2364510</v>
      </c>
      <c r="J136" s="223" t="inlineStr">
        <is>
          <t>អនុញ្ញាត (បានប្រកាស)</t>
        </is>
      </c>
      <c r="K136" s="223" t="n"/>
      <c r="L136" s="626">
        <f>I136</f>
        <v/>
      </c>
      <c r="M136" s="598">
        <f>I136-L136</f>
        <v/>
      </c>
      <c r="N136" s="223" t="n"/>
      <c r="O136" s="228">
        <f>U136=E136</f>
        <v/>
      </c>
      <c r="P136" s="228">
        <f>MONTH(F136)-MONTH(T136)</f>
        <v/>
      </c>
      <c r="Q136" s="228">
        <f>$B$5=X136</f>
        <v/>
      </c>
      <c r="R136" s="228">
        <f>I136-AD136</f>
        <v/>
      </c>
      <c r="S136" s="371" t="n"/>
      <c r="T136" s="372" t="n">
        <v>45677</v>
      </c>
      <c r="U136" s="371" t="inlineStr">
        <is>
          <t>BTT25-0000188</t>
        </is>
      </c>
      <c r="V136" s="371" t="n">
        <v>0</v>
      </c>
      <c r="W136" s="371" t="inlineStr">
        <is>
          <t>បុគ្គលជាប់អាករ</t>
        </is>
      </c>
      <c r="X136" s="371" t="inlineStr">
        <is>
          <t>L001-901640009</t>
        </is>
      </c>
      <c r="Y136" s="371" t="inlineStr">
        <is>
          <t>ហូលីដេ ឌីហ្សាញ (ខេមបូឌា) ឯ.ក</t>
        </is>
      </c>
      <c r="Z136" s="373" t="n">
        <v>26009610</v>
      </c>
      <c r="AA136" s="373" t="n">
        <v>23645100</v>
      </c>
      <c r="AB136" s="371" t="n">
        <v>0</v>
      </c>
      <c r="AC136" s="371" t="inlineStr">
        <is>
          <t>-</t>
        </is>
      </c>
      <c r="AD136" s="373" t="n">
        <v>2364510</v>
      </c>
      <c r="AE136" s="371" t="n">
        <v>0</v>
      </c>
      <c r="AF136" s="625" t="n">
        <v>0</v>
      </c>
      <c r="AG136" s="205" t="n">
        <v>0</v>
      </c>
      <c r="AH136" s="205" t="n">
        <v>0</v>
      </c>
      <c r="AI136" s="205" t="n">
        <v>0</v>
      </c>
      <c r="AJ136" s="205" t="n">
        <v>0</v>
      </c>
      <c r="AK136" s="205" t="n">
        <v>0</v>
      </c>
      <c r="AL136" s="205" t="n">
        <v>0.01</v>
      </c>
      <c r="AM136" s="205" t="n">
        <v>0</v>
      </c>
      <c r="AN136" s="205" t="inlineStr">
        <is>
          <t>Truking / Service</t>
        </is>
      </c>
    </row>
    <row r="137">
      <c r="A137" s="222">
        <f>A136+1</f>
        <v/>
      </c>
      <c r="B137" s="224" t="inlineStr">
        <is>
          <t>Lift-On&amp;Lift-Off-Im</t>
        </is>
      </c>
      <c r="C137" s="224" t="inlineStr">
        <is>
          <t>Port Autonome Du Sihanoukville</t>
        </is>
      </c>
      <c r="D137" s="225" t="inlineStr">
        <is>
          <t>L001-100044638</t>
        </is>
      </c>
      <c r="E137" s="359" t="n">
        <v>202500014701</v>
      </c>
      <c r="F137" s="338" t="n">
        <v>45675</v>
      </c>
      <c r="G137" s="226" t="n"/>
      <c r="H137" s="627" t="n"/>
      <c r="I137" s="627" t="n">
        <v>175175</v>
      </c>
      <c r="J137" s="223" t="inlineStr">
        <is>
          <t>អនុញ្ញាត (បានប្រកាស)</t>
        </is>
      </c>
      <c r="K137" s="223" t="n"/>
      <c r="L137" s="626">
        <f>I137</f>
        <v/>
      </c>
      <c r="M137" s="598">
        <f>I137-L137</f>
        <v/>
      </c>
      <c r="N137" s="223" t="n"/>
      <c r="O137" s="228">
        <f>U137=E137</f>
        <v/>
      </c>
      <c r="P137" s="228">
        <f>MONTH(F137)-MONTH(T137)</f>
        <v/>
      </c>
      <c r="Q137" s="228">
        <f>$B$5=X137</f>
        <v/>
      </c>
      <c r="R137" s="228">
        <f>I137-AD137</f>
        <v/>
      </c>
      <c r="S137" s="371" t="n"/>
      <c r="T137" s="372" t="n">
        <v>45675</v>
      </c>
      <c r="U137" s="371" t="n">
        <v>202500014701</v>
      </c>
      <c r="V137" s="371" t="n">
        <v>0</v>
      </c>
      <c r="W137" s="371" t="inlineStr">
        <is>
          <t>បុគ្គលជាប់អាករ</t>
        </is>
      </c>
      <c r="X137" s="371" t="inlineStr">
        <is>
          <t>L001-901640009</t>
        </is>
      </c>
      <c r="Y137" s="371" t="inlineStr">
        <is>
          <t>ហូលីដេ ឌីហ្សាញ (ខេមបូឌា) ឯ.ក</t>
        </is>
      </c>
      <c r="Z137" s="373" t="n">
        <v>1926920</v>
      </c>
      <c r="AA137" s="373" t="n">
        <v>1751745</v>
      </c>
      <c r="AB137" s="371" t="n">
        <v>0</v>
      </c>
      <c r="AC137" s="371" t="inlineStr">
        <is>
          <t>-</t>
        </is>
      </c>
      <c r="AD137" s="373" t="n">
        <v>175175</v>
      </c>
      <c r="AE137" s="371" t="n">
        <v>0</v>
      </c>
      <c r="AF137" s="625" t="n">
        <v>0</v>
      </c>
      <c r="AG137" s="205" t="n">
        <v>0</v>
      </c>
      <c r="AH137" s="205" t="n">
        <v>0</v>
      </c>
      <c r="AI137" s="205" t="n">
        <v>0</v>
      </c>
      <c r="AJ137" s="205" t="n">
        <v>0</v>
      </c>
      <c r="AK137" s="205" t="n">
        <v>0</v>
      </c>
      <c r="AL137" s="205" t="n">
        <v>0.01</v>
      </c>
      <c r="AM137" s="205" t="n">
        <v>0</v>
      </c>
      <c r="AN137" s="205" t="inlineStr">
        <is>
          <t>LOLO</t>
        </is>
      </c>
    </row>
    <row r="138">
      <c r="A138" s="222">
        <f>A137+1</f>
        <v/>
      </c>
      <c r="B138" s="224" t="inlineStr">
        <is>
          <t>Lift-On&amp;Lift-Off-Im</t>
        </is>
      </c>
      <c r="C138" s="224" t="inlineStr">
        <is>
          <t>Port Autonome Du Sihanoukville</t>
        </is>
      </c>
      <c r="D138" s="225" t="inlineStr">
        <is>
          <t>L001-100044638</t>
        </is>
      </c>
      <c r="E138" s="359" t="n">
        <v>202500022891</v>
      </c>
      <c r="F138" s="338" t="n">
        <v>45686</v>
      </c>
      <c r="G138" s="226" t="n"/>
      <c r="H138" s="627" t="n"/>
      <c r="I138" s="627" t="n">
        <v>489636</v>
      </c>
      <c r="J138" s="223" t="inlineStr">
        <is>
          <t>អនុញ្ញាត (បានប្រកាស)</t>
        </is>
      </c>
      <c r="K138" s="223" t="n"/>
      <c r="L138" s="626">
        <f>I138</f>
        <v/>
      </c>
      <c r="M138" s="598">
        <f>I138-L138</f>
        <v/>
      </c>
      <c r="N138" s="223" t="n"/>
      <c r="O138" s="228">
        <f>U138=E138</f>
        <v/>
      </c>
      <c r="P138" s="228">
        <f>MONTH(F138)-MONTH(T138)</f>
        <v/>
      </c>
      <c r="Q138" s="228">
        <f>$B$5=X138</f>
        <v/>
      </c>
      <c r="R138" s="228">
        <f>I138-AD138</f>
        <v/>
      </c>
      <c r="S138" s="371" t="n"/>
      <c r="T138" s="372" t="n">
        <v>45686</v>
      </c>
      <c r="U138" s="371" t="n">
        <v>202500022891</v>
      </c>
      <c r="V138" s="371" t="n">
        <v>0</v>
      </c>
      <c r="W138" s="371" t="inlineStr">
        <is>
          <t>បុគ្គលជាប់អាករ</t>
        </is>
      </c>
      <c r="X138" s="371" t="inlineStr">
        <is>
          <t>L001-901640009</t>
        </is>
      </c>
      <c r="Y138" s="371" t="inlineStr">
        <is>
          <t>ហូលីដេ ឌីហ្សាញ (ខេមបូឌា) ឯ.ក</t>
        </is>
      </c>
      <c r="Z138" s="373" t="n">
        <v>5385996</v>
      </c>
      <c r="AA138" s="373" t="n">
        <v>4896360</v>
      </c>
      <c r="AB138" s="371" t="n">
        <v>0</v>
      </c>
      <c r="AC138" s="371" t="inlineStr">
        <is>
          <t>-</t>
        </is>
      </c>
      <c r="AD138" s="373" t="n">
        <v>489636</v>
      </c>
      <c r="AE138" s="371" t="n">
        <v>0</v>
      </c>
      <c r="AF138" s="625" t="n">
        <v>0</v>
      </c>
      <c r="AG138" s="205" t="n">
        <v>0</v>
      </c>
      <c r="AH138" s="205" t="n">
        <v>0</v>
      </c>
      <c r="AI138" s="205" t="n">
        <v>0</v>
      </c>
      <c r="AJ138" s="205" t="n">
        <v>0</v>
      </c>
      <c r="AK138" s="205" t="n">
        <v>0</v>
      </c>
      <c r="AL138" s="205" t="n">
        <v>0.01</v>
      </c>
      <c r="AM138" s="205" t="n">
        <v>0</v>
      </c>
      <c r="AN138" s="205" t="inlineStr">
        <is>
          <t>LOLO</t>
        </is>
      </c>
    </row>
    <row r="139">
      <c r="A139" s="222">
        <f>A138+1</f>
        <v/>
      </c>
      <c r="B139" s="224" t="inlineStr">
        <is>
          <t>Terminal Handling Service-Im</t>
        </is>
      </c>
      <c r="C139" s="224" t="inlineStr">
        <is>
          <t>SITC CONTAINER LINES (CAMBODIA) Co., Ltd.</t>
        </is>
      </c>
      <c r="D139" s="225" t="inlineStr">
        <is>
          <t>L001-107035863</t>
        </is>
      </c>
      <c r="E139" s="359" t="inlineStr">
        <is>
          <t>SITC2025-003610</t>
        </is>
      </c>
      <c r="F139" s="338" t="n">
        <v>45682</v>
      </c>
      <c r="G139" s="226" t="n"/>
      <c r="H139" s="627" t="n"/>
      <c r="I139" s="627" t="n">
        <v>2953616</v>
      </c>
      <c r="J139" s="223" t="inlineStr">
        <is>
          <t>អនុញ្ញាត (បានប្រកាស)</t>
        </is>
      </c>
      <c r="K139" s="223" t="n"/>
      <c r="L139" s="626">
        <f>I139</f>
        <v/>
      </c>
      <c r="M139" s="598">
        <f>I139-L139</f>
        <v/>
      </c>
      <c r="N139" s="223" t="n"/>
      <c r="O139" s="228">
        <f>U139=E139</f>
        <v/>
      </c>
      <c r="P139" s="228">
        <f>MONTH(F139)-MONTH(T139)</f>
        <v/>
      </c>
      <c r="Q139" s="228">
        <f>$B$5=X139</f>
        <v/>
      </c>
      <c r="R139" s="228">
        <f>I139-AD139</f>
        <v/>
      </c>
      <c r="S139" s="371" t="n"/>
      <c r="T139" s="372" t="n">
        <v>45682</v>
      </c>
      <c r="U139" s="371" t="inlineStr">
        <is>
          <t>SITC2025-003610</t>
        </is>
      </c>
      <c r="V139" s="371" t="n">
        <v>0</v>
      </c>
      <c r="W139" s="371" t="inlineStr">
        <is>
          <t>បុគ្គលជាប់អាករ</t>
        </is>
      </c>
      <c r="X139" s="371" t="inlineStr">
        <is>
          <t>L001-901640009</t>
        </is>
      </c>
      <c r="Y139" s="371" t="inlineStr">
        <is>
          <t>ហូលីដេ ឌីហ្សាញ (ខេមបូឌា) ឯ.ក</t>
        </is>
      </c>
      <c r="Z139" s="373" t="n">
        <v>32489776</v>
      </c>
      <c r="AA139" s="373" t="n">
        <v>29536160</v>
      </c>
      <c r="AB139" s="371" t="n">
        <v>0</v>
      </c>
      <c r="AC139" s="371" t="inlineStr">
        <is>
          <t>-</t>
        </is>
      </c>
      <c r="AD139" s="373" t="n">
        <v>2953616</v>
      </c>
      <c r="AE139" s="371" t="n">
        <v>0</v>
      </c>
      <c r="AF139" s="625" t="n">
        <v>0</v>
      </c>
      <c r="AG139" s="205" t="n">
        <v>0</v>
      </c>
      <c r="AH139" s="205" t="n">
        <v>0</v>
      </c>
      <c r="AI139" s="205" t="n">
        <v>0</v>
      </c>
      <c r="AJ139" s="205" t="n">
        <v>0</v>
      </c>
      <c r="AK139" s="205" t="n">
        <v>0</v>
      </c>
      <c r="AL139" s="205" t="n">
        <v>0.01</v>
      </c>
      <c r="AM139" s="205" t="n">
        <v>0</v>
      </c>
      <c r="AN139" s="205" t="inlineStr">
        <is>
          <t>KHDOC,KHTHC,EMF,EIB,KHCIC</t>
        </is>
      </c>
    </row>
    <row r="140">
      <c r="A140" s="222">
        <f>A139+1</f>
        <v/>
      </c>
      <c r="B140" s="224" t="inlineStr">
        <is>
          <t>Trucking Fee-Im</t>
        </is>
      </c>
      <c r="C140" s="224" t="inlineStr">
        <is>
          <t>BRILLIANT TRANSPORT AND TRADING Co., Ltd.</t>
        </is>
      </c>
      <c r="D140" s="225" t="inlineStr">
        <is>
          <t>K002-100089305</t>
        </is>
      </c>
      <c r="E140" s="359" t="inlineStr">
        <is>
          <t>BTT25-0000256</t>
        </is>
      </c>
      <c r="F140" s="338" t="n">
        <v>45686</v>
      </c>
      <c r="G140" s="226" t="n"/>
      <c r="H140" s="627" t="n"/>
      <c r="I140" s="627" t="n">
        <v>3288360</v>
      </c>
      <c r="J140" s="223" t="inlineStr">
        <is>
          <t>អនុញ្ញាត (បានប្រកាស)</t>
        </is>
      </c>
      <c r="K140" s="223" t="n"/>
      <c r="L140" s="626">
        <f>I140</f>
        <v/>
      </c>
      <c r="M140" s="598">
        <f>I140-L140</f>
        <v/>
      </c>
      <c r="N140" s="223" t="n"/>
      <c r="O140" s="228">
        <f>U140=E140</f>
        <v/>
      </c>
      <c r="P140" s="228">
        <f>MONTH(F140)-MONTH(T140)</f>
        <v/>
      </c>
      <c r="Q140" s="228">
        <f>$B$5=X140</f>
        <v/>
      </c>
      <c r="R140" s="228">
        <f>I140-AD140</f>
        <v/>
      </c>
      <c r="S140" s="371" t="n"/>
      <c r="T140" s="372" t="n">
        <v>45686</v>
      </c>
      <c r="U140" s="371" t="inlineStr">
        <is>
          <t>BTT25-0000256</t>
        </is>
      </c>
      <c r="V140" s="371" t="n">
        <v>0</v>
      </c>
      <c r="W140" s="371" t="inlineStr">
        <is>
          <t>បុគ្គលជាប់អាករ</t>
        </is>
      </c>
      <c r="X140" s="371" t="inlineStr">
        <is>
          <t>L001-901640009</t>
        </is>
      </c>
      <c r="Y140" s="371" t="inlineStr">
        <is>
          <t>ហូលីដេ ឌីហ្សាញ (ខេមបូឌា) ឯ.ក</t>
        </is>
      </c>
      <c r="Z140" s="373" t="n">
        <v>36171960</v>
      </c>
      <c r="AA140" s="373" t="n">
        <v>32883600</v>
      </c>
      <c r="AB140" s="371" t="n">
        <v>0</v>
      </c>
      <c r="AC140" s="371" t="inlineStr">
        <is>
          <t>-</t>
        </is>
      </c>
      <c r="AD140" s="373" t="n">
        <v>3288360</v>
      </c>
      <c r="AE140" s="371" t="n">
        <v>0</v>
      </c>
      <c r="AF140" s="625" t="n">
        <v>0</v>
      </c>
      <c r="AG140" s="205" t="n">
        <v>0</v>
      </c>
      <c r="AH140" s="205" t="n">
        <v>0</v>
      </c>
      <c r="AI140" s="205" t="n">
        <v>0</v>
      </c>
      <c r="AJ140" s="205" t="n">
        <v>0</v>
      </c>
      <c r="AK140" s="205" t="n">
        <v>0</v>
      </c>
      <c r="AL140" s="205" t="n">
        <v>0.01</v>
      </c>
      <c r="AM140" s="205" t="n">
        <v>0</v>
      </c>
      <c r="AN140" s="205" t="inlineStr">
        <is>
          <t>Truking / Service</t>
        </is>
      </c>
    </row>
    <row r="141">
      <c r="A141" s="222">
        <f>A140+1</f>
        <v/>
      </c>
      <c r="B141" s="224" t="inlineStr">
        <is>
          <t>Lift-On&amp;Lift-Off-Im</t>
        </is>
      </c>
      <c r="C141" s="224" t="inlineStr">
        <is>
          <t>Port Autonome Du Sihanoukville</t>
        </is>
      </c>
      <c r="D141" s="225" t="inlineStr">
        <is>
          <t>L001-100044638</t>
        </is>
      </c>
      <c r="E141" s="359" t="n">
        <v>202500016641</v>
      </c>
      <c r="F141" s="338" t="n">
        <v>45678</v>
      </c>
      <c r="G141" s="226" t="n"/>
      <c r="H141" s="627" t="n"/>
      <c r="I141" s="627" t="n">
        <v>175262</v>
      </c>
      <c r="J141" s="223" t="inlineStr">
        <is>
          <t>អនុញ្ញាត (បានប្រកាស)</t>
        </is>
      </c>
      <c r="K141" s="223" t="n"/>
      <c r="L141" s="626">
        <f>I141</f>
        <v/>
      </c>
      <c r="M141" s="598">
        <f>I141-L141</f>
        <v/>
      </c>
      <c r="N141" s="223" t="n"/>
      <c r="O141" s="228">
        <f>U141=E141</f>
        <v/>
      </c>
      <c r="P141" s="228">
        <f>MONTH(F141)-MONTH(T141)</f>
        <v/>
      </c>
      <c r="Q141" s="228">
        <f>$B$5=X141</f>
        <v/>
      </c>
      <c r="R141" s="228">
        <f>I141-AD141</f>
        <v/>
      </c>
      <c r="S141" s="371" t="n"/>
      <c r="T141" s="372" t="n">
        <v>45678</v>
      </c>
      <c r="U141" s="371" t="n">
        <v>202500016641</v>
      </c>
      <c r="V141" s="371" t="n">
        <v>0</v>
      </c>
      <c r="W141" s="371" t="inlineStr">
        <is>
          <t>បុគ្គលជាប់អាករ</t>
        </is>
      </c>
      <c r="X141" s="371" t="inlineStr">
        <is>
          <t>L001-901640009</t>
        </is>
      </c>
      <c r="Y141" s="371" t="inlineStr">
        <is>
          <t>ហូលីដេ ឌីហ្សាញ (ខេមបូឌា) ឯ.ក</t>
        </is>
      </c>
      <c r="Z141" s="373" t="n">
        <v>1927877</v>
      </c>
      <c r="AA141" s="373" t="n">
        <v>1752615</v>
      </c>
      <c r="AB141" s="371" t="n">
        <v>0</v>
      </c>
      <c r="AC141" s="371" t="inlineStr">
        <is>
          <t>-</t>
        </is>
      </c>
      <c r="AD141" s="373" t="n">
        <v>175262</v>
      </c>
      <c r="AE141" s="371" t="n">
        <v>0</v>
      </c>
      <c r="AF141" s="625" t="n">
        <v>0</v>
      </c>
      <c r="AG141" s="205" t="n">
        <v>0</v>
      </c>
      <c r="AH141" s="205" t="n">
        <v>0</v>
      </c>
      <c r="AI141" s="205" t="n">
        <v>0</v>
      </c>
      <c r="AJ141" s="205" t="n">
        <v>0</v>
      </c>
      <c r="AK141" s="205" t="n">
        <v>0</v>
      </c>
      <c r="AL141" s="205" t="n">
        <v>0.01</v>
      </c>
      <c r="AM141" s="205" t="n">
        <v>0</v>
      </c>
      <c r="AN141" s="205" t="inlineStr">
        <is>
          <t>LOLO</t>
        </is>
      </c>
    </row>
    <row r="142">
      <c r="A142" s="222">
        <f>A141+1</f>
        <v/>
      </c>
      <c r="B142" s="224" t="inlineStr">
        <is>
          <t>Terminal Handling Service-Im</t>
        </is>
      </c>
      <c r="C142" s="224" t="inlineStr">
        <is>
          <t>SITC CONTAINER LINES (CAMBODIA) Co., Ltd.</t>
        </is>
      </c>
      <c r="D142" s="225" t="inlineStr">
        <is>
          <t>L001-107035863</t>
        </is>
      </c>
      <c r="E142" s="359" t="inlineStr">
        <is>
          <t>SITC2025-002264</t>
        </is>
      </c>
      <c r="F142" s="338" t="n">
        <v>45673</v>
      </c>
      <c r="G142" s="226" t="n"/>
      <c r="H142" s="627" t="n"/>
      <c r="I142" s="627" t="n">
        <v>1070650</v>
      </c>
      <c r="J142" s="223" t="inlineStr">
        <is>
          <t>អនុញ្ញាត (បានប្រកាស)</t>
        </is>
      </c>
      <c r="K142" s="223" t="n"/>
      <c r="L142" s="626">
        <f>I142</f>
        <v/>
      </c>
      <c r="M142" s="598">
        <f>I142-L142</f>
        <v/>
      </c>
      <c r="N142" s="223" t="n"/>
      <c r="O142" s="228">
        <f>U142=E142</f>
        <v/>
      </c>
      <c r="P142" s="228">
        <f>MONTH(F142)-MONTH(T142)</f>
        <v/>
      </c>
      <c r="Q142" s="228">
        <f>$B$5=X142</f>
        <v/>
      </c>
      <c r="R142" s="228">
        <f>I142-AD142</f>
        <v/>
      </c>
      <c r="S142" s="371" t="inlineStr">
        <is>
          <t>ប្រកាសខុស</t>
        </is>
      </c>
      <c r="T142" s="372" t="n">
        <v>45673</v>
      </c>
      <c r="U142" s="371" t="inlineStr">
        <is>
          <t>SITC2025-002264</t>
        </is>
      </c>
      <c r="V142" s="371" t="n">
        <v>0</v>
      </c>
      <c r="W142" s="371" t="inlineStr">
        <is>
          <t>បុគ្គលជាប់អាករ</t>
        </is>
      </c>
      <c r="X142" s="371" t="inlineStr">
        <is>
          <t>L001-901640009</t>
        </is>
      </c>
      <c r="Y142" s="371" t="inlineStr">
        <is>
          <t>ហូលីដេ ឌីហ្សាញ (ខេមបូឌា) ឯ.ក</t>
        </is>
      </c>
      <c r="Z142" s="373" t="n">
        <v>11777150</v>
      </c>
      <c r="AA142" s="373" t="n">
        <v>10706500</v>
      </c>
      <c r="AB142" s="371" t="n">
        <v>0</v>
      </c>
      <c r="AC142" s="371" t="inlineStr">
        <is>
          <t>-</t>
        </is>
      </c>
      <c r="AD142" s="373" t="n">
        <v>1070650</v>
      </c>
      <c r="AE142" s="371" t="n">
        <v>0</v>
      </c>
      <c r="AF142" s="625" t="n">
        <v>0</v>
      </c>
      <c r="AG142" s="205" t="n">
        <v>0</v>
      </c>
      <c r="AH142" s="205" t="n">
        <v>0</v>
      </c>
      <c r="AI142" s="205" t="n">
        <v>0</v>
      </c>
      <c r="AJ142" s="205" t="n">
        <v>0</v>
      </c>
      <c r="AK142" s="205" t="n">
        <v>0</v>
      </c>
      <c r="AL142" s="205" t="n">
        <v>0.01</v>
      </c>
      <c r="AM142" s="205" t="n">
        <v>0</v>
      </c>
      <c r="AN142" s="205" t="inlineStr">
        <is>
          <t>KHCIC,EIB,EMF,KHTHC,KHDOC</t>
        </is>
      </c>
    </row>
    <row r="143">
      <c r="A143" s="222">
        <f>A142+1</f>
        <v/>
      </c>
      <c r="B143" s="224" t="inlineStr">
        <is>
          <t>Trucking Fee-Im</t>
        </is>
      </c>
      <c r="C143" s="224" t="inlineStr">
        <is>
          <t>BRILLIANT TRANSPORT AND TRADING Co., Ltd.</t>
        </is>
      </c>
      <c r="D143" s="225" t="inlineStr">
        <is>
          <t>K002-100089305</t>
        </is>
      </c>
      <c r="E143" s="359" t="inlineStr">
        <is>
          <t>BTT25-0000225</t>
        </is>
      </c>
      <c r="F143" s="338" t="n">
        <v>45678</v>
      </c>
      <c r="G143" s="226" t="n"/>
      <c r="H143" s="627" t="n"/>
      <c r="I143" s="627" t="n">
        <v>1192584</v>
      </c>
      <c r="J143" s="223" t="inlineStr">
        <is>
          <t>អនុញ្ញាត (បានប្រកាស)</t>
        </is>
      </c>
      <c r="K143" s="223" t="n"/>
      <c r="L143" s="626">
        <f>I143</f>
        <v/>
      </c>
      <c r="M143" s="598">
        <f>I143-L143</f>
        <v/>
      </c>
      <c r="N143" s="223" t="n"/>
      <c r="O143" s="228">
        <f>U143=E143</f>
        <v/>
      </c>
      <c r="P143" s="228">
        <f>MONTH(F143)-MONTH(T143)</f>
        <v/>
      </c>
      <c r="Q143" s="228">
        <f>$B$5=X143</f>
        <v/>
      </c>
      <c r="R143" s="228">
        <f>I143-AD143</f>
        <v/>
      </c>
      <c r="S143" s="371" t="n"/>
      <c r="T143" s="372" t="n">
        <v>45678</v>
      </c>
      <c r="U143" s="371" t="inlineStr">
        <is>
          <t>BTT25-0000225</t>
        </is>
      </c>
      <c r="V143" s="371" t="n">
        <v>0</v>
      </c>
      <c r="W143" s="371" t="inlineStr">
        <is>
          <t>បុគ្គលជាប់អាករ</t>
        </is>
      </c>
      <c r="X143" s="371" t="inlineStr">
        <is>
          <t>L001-901640009</t>
        </is>
      </c>
      <c r="Y143" s="371" t="inlineStr">
        <is>
          <t>ហូលីដេ ឌីហ្សាញ (ខេមបូឌា) ឯ.ក</t>
        </is>
      </c>
      <c r="Z143" s="373" t="n">
        <v>13118424</v>
      </c>
      <c r="AA143" s="373" t="n">
        <v>11925840</v>
      </c>
      <c r="AB143" s="371" t="n">
        <v>0</v>
      </c>
      <c r="AC143" s="371" t="inlineStr">
        <is>
          <t>-</t>
        </is>
      </c>
      <c r="AD143" s="373" t="n">
        <v>1192584</v>
      </c>
      <c r="AE143" s="371" t="n">
        <v>0</v>
      </c>
      <c r="AF143" s="625" t="n">
        <v>0</v>
      </c>
      <c r="AG143" s="205" t="n">
        <v>0</v>
      </c>
      <c r="AH143" s="205" t="n">
        <v>0</v>
      </c>
      <c r="AI143" s="205" t="n">
        <v>0</v>
      </c>
      <c r="AJ143" s="205" t="n">
        <v>0</v>
      </c>
      <c r="AK143" s="205" t="n">
        <v>0</v>
      </c>
      <c r="AL143" s="205" t="n">
        <v>0.01</v>
      </c>
      <c r="AM143" s="205" t="n">
        <v>0</v>
      </c>
      <c r="AN143" s="205" t="inlineStr">
        <is>
          <t>Truking / Service</t>
        </is>
      </c>
    </row>
    <row r="144">
      <c r="A144" s="222">
        <f>A143+1</f>
        <v/>
      </c>
      <c r="B144" s="224" t="inlineStr">
        <is>
          <t>Tax Filling 04-2025</t>
        </is>
      </c>
      <c r="C144" s="224" t="inlineStr">
        <is>
          <t>L S CONSULTING CO., LTD.</t>
        </is>
      </c>
      <c r="D144" s="225" t="inlineStr">
        <is>
          <t>K010-901700169</t>
        </is>
      </c>
      <c r="E144" s="359" t="inlineStr">
        <is>
          <t>25-00455</t>
        </is>
      </c>
      <c r="F144" s="338" t="n">
        <v>45782</v>
      </c>
      <c r="G144" s="226" t="n"/>
      <c r="H144" s="627" t="n"/>
      <c r="I144" s="627" t="n">
        <v>120120</v>
      </c>
      <c r="J144" s="223" t="inlineStr">
        <is>
          <t>អនុញ្ញាត (បានប្រកាស)</t>
        </is>
      </c>
      <c r="K144" s="223" t="n"/>
      <c r="L144" s="626">
        <f>I144</f>
        <v/>
      </c>
      <c r="M144" s="598">
        <f>I144-L144</f>
        <v/>
      </c>
      <c r="N144" s="223" t="n"/>
      <c r="O144" s="228">
        <f>U144=E144</f>
        <v/>
      </c>
      <c r="P144" s="228">
        <f>MONTH(F144)-MONTH(T144)</f>
        <v/>
      </c>
      <c r="Q144" s="228">
        <f>$B$5=X144</f>
        <v/>
      </c>
      <c r="R144" s="228">
        <f>I144-AD144</f>
        <v/>
      </c>
      <c r="S144" s="371" t="n"/>
      <c r="T144" s="372" t="n">
        <v>45782</v>
      </c>
      <c r="U144" s="371" t="inlineStr">
        <is>
          <t>25-00455</t>
        </is>
      </c>
      <c r="V144" s="371" t="n">
        <v>0</v>
      </c>
      <c r="W144" s="371" t="inlineStr">
        <is>
          <t>បុគ្គលជាប់អាករ</t>
        </is>
      </c>
      <c r="X144" s="371" t="inlineStr">
        <is>
          <t>L001-901640009</t>
        </is>
      </c>
      <c r="Y144" s="371" t="inlineStr">
        <is>
          <t>ហូលីដេ ឌីហ្សាញ (ខេមបូឌា) ឯ.ក</t>
        </is>
      </c>
      <c r="Z144" s="373" t="n">
        <v>1321320</v>
      </c>
      <c r="AA144" s="373" t="n">
        <v>1201200</v>
      </c>
      <c r="AB144" s="371" t="n">
        <v>0</v>
      </c>
      <c r="AC144" s="371" t="inlineStr">
        <is>
          <t>-</t>
        </is>
      </c>
      <c r="AD144" s="373" t="n">
        <v>120120</v>
      </c>
      <c r="AE144" s="371" t="n">
        <v>0</v>
      </c>
      <c r="AF144" s="625" t="n">
        <v>0</v>
      </c>
      <c r="AG144" s="205" t="n">
        <v>0</v>
      </c>
      <c r="AH144" s="205" t="n">
        <v>0</v>
      </c>
      <c r="AI144" s="205" t="n">
        <v>0</v>
      </c>
      <c r="AJ144" s="205" t="n">
        <v>0</v>
      </c>
      <c r="AK144" s="205" t="n">
        <v>0</v>
      </c>
      <c r="AL144" s="205" t="n">
        <v>0.01</v>
      </c>
      <c r="AM144" s="205" t="n">
        <v>0</v>
      </c>
      <c r="AN144" s="205" t="inlineStr">
        <is>
          <t>Tax Filling fee</t>
        </is>
      </c>
      <c r="AO144" s="205" t="inlineStr">
        <is>
          <t>បានប្រកាសនិងបង់ពន្ធ</t>
        </is>
      </c>
    </row>
    <row r="145">
      <c r="A145" s="222">
        <f>A144+1</f>
        <v/>
      </c>
      <c r="B145" s="224" t="inlineStr">
        <is>
          <t>Trucking Fee-Im</t>
        </is>
      </c>
      <c r="C145" s="224" t="inlineStr">
        <is>
          <t>BRILLIANT TRANSPORT AND TRADING Co., Ltd.</t>
        </is>
      </c>
      <c r="D145" s="225" t="inlineStr">
        <is>
          <t>K002-100089305</t>
        </is>
      </c>
      <c r="E145" s="359" t="inlineStr">
        <is>
          <t>BTT25-0000167</t>
        </is>
      </c>
      <c r="F145" s="338" t="n">
        <v>45674</v>
      </c>
      <c r="G145" s="226" t="n"/>
      <c r="H145" s="627" t="n"/>
      <c r="I145" s="627" t="n">
        <v>1091317</v>
      </c>
      <c r="J145" s="223" t="inlineStr">
        <is>
          <t>អនុញ្ញាត (បានប្រកាស)</t>
        </is>
      </c>
      <c r="K145" s="223" t="n"/>
      <c r="L145" s="626">
        <f>I145</f>
        <v/>
      </c>
      <c r="M145" s="598">
        <f>I145-L145</f>
        <v/>
      </c>
      <c r="N145" s="223" t="n"/>
      <c r="O145" s="228">
        <f>U145=E145</f>
        <v/>
      </c>
      <c r="P145" s="228">
        <f>MONTH(F145)-MONTH(T145)</f>
        <v/>
      </c>
      <c r="Q145" s="228">
        <f>$B$5=X145</f>
        <v/>
      </c>
      <c r="R145" s="228">
        <f>I145-AD145</f>
        <v/>
      </c>
      <c r="S145" s="371" t="n"/>
      <c r="T145" s="372" t="n">
        <v>45674</v>
      </c>
      <c r="U145" s="371" t="inlineStr">
        <is>
          <t>BTT25-0000167</t>
        </is>
      </c>
      <c r="V145" s="371" t="n">
        <v>0</v>
      </c>
      <c r="W145" s="371" t="inlineStr">
        <is>
          <t>បុគ្គលជាប់អាករ</t>
        </is>
      </c>
      <c r="X145" s="371" t="inlineStr">
        <is>
          <t>L001-901640009</t>
        </is>
      </c>
      <c r="Y145" s="371" t="inlineStr">
        <is>
          <t>ហូលីដេ ឌីហ្សាញ (ខេមបូឌា) ឯ.ក</t>
        </is>
      </c>
      <c r="Z145" s="373" t="n">
        <v>12004487</v>
      </c>
      <c r="AA145" s="373" t="n">
        <v>10913170</v>
      </c>
      <c r="AB145" s="371" t="n">
        <v>0</v>
      </c>
      <c r="AC145" s="371" t="inlineStr">
        <is>
          <t>-</t>
        </is>
      </c>
      <c r="AD145" s="373" t="n">
        <v>1091317</v>
      </c>
      <c r="AE145" s="371" t="n">
        <v>0</v>
      </c>
      <c r="AF145" s="625" t="n">
        <v>0</v>
      </c>
      <c r="AG145" s="205" t="n">
        <v>0</v>
      </c>
      <c r="AH145" s="205" t="n">
        <v>0</v>
      </c>
      <c r="AI145" s="205" t="n">
        <v>0</v>
      </c>
      <c r="AJ145" s="205" t="n">
        <v>0</v>
      </c>
      <c r="AK145" s="205" t="n">
        <v>0</v>
      </c>
      <c r="AL145" s="205" t="n">
        <v>0.01</v>
      </c>
      <c r="AM145" s="205" t="n">
        <v>0</v>
      </c>
      <c r="AN145" s="205" t="inlineStr">
        <is>
          <t>Truking / Service</t>
        </is>
      </c>
    </row>
    <row r="146">
      <c r="A146" s="222">
        <f>A145+1</f>
        <v/>
      </c>
      <c r="B146" s="224" t="inlineStr">
        <is>
          <t>Lift-On&amp;Lift-Off-Im</t>
        </is>
      </c>
      <c r="C146" s="224" t="inlineStr">
        <is>
          <t>Port Autonome Du Sihanoukville</t>
        </is>
      </c>
      <c r="D146" s="225" t="inlineStr">
        <is>
          <t>L001-100044638</t>
        </is>
      </c>
      <c r="E146" s="359" t="n">
        <v>202500011302</v>
      </c>
      <c r="F146" s="338" t="n">
        <v>45672</v>
      </c>
      <c r="G146" s="226" t="n"/>
      <c r="H146" s="627" t="n"/>
      <c r="I146" s="627" t="n">
        <v>421150</v>
      </c>
      <c r="J146" s="223" t="inlineStr">
        <is>
          <t>អនុញ្ញាត (បានប្រកាស)</t>
        </is>
      </c>
      <c r="K146" s="223" t="n"/>
      <c r="L146" s="626">
        <f>I146</f>
        <v/>
      </c>
      <c r="M146" s="598">
        <f>I146-L146</f>
        <v/>
      </c>
      <c r="N146" s="223" t="n"/>
      <c r="O146" s="228">
        <f>U146=E146</f>
        <v/>
      </c>
      <c r="P146" s="228">
        <f>MONTH(F146)-MONTH(T146)</f>
        <v/>
      </c>
      <c r="Q146" s="228">
        <f>$B$5=X146</f>
        <v/>
      </c>
      <c r="R146" s="228">
        <f>I146-AD146</f>
        <v/>
      </c>
      <c r="S146" s="371" t="n"/>
      <c r="T146" s="372" t="n">
        <v>45672</v>
      </c>
      <c r="U146" s="371" t="n">
        <v>202500011302</v>
      </c>
      <c r="V146" s="371" t="n">
        <v>0</v>
      </c>
      <c r="W146" s="371" t="inlineStr">
        <is>
          <t>បុគ្គលជាប់អាករ</t>
        </is>
      </c>
      <c r="X146" s="371" t="inlineStr">
        <is>
          <t>L001-901640009</t>
        </is>
      </c>
      <c r="Y146" s="371" t="inlineStr">
        <is>
          <t>ហូលីដេ ឌីហ្សាញ (ខេមបូឌា) ឯ.ក</t>
        </is>
      </c>
      <c r="Z146" s="373" t="n">
        <v>4632646</v>
      </c>
      <c r="AA146" s="373" t="n">
        <v>4211496</v>
      </c>
      <c r="AB146" s="371" t="n">
        <v>0</v>
      </c>
      <c r="AC146" s="371" t="inlineStr">
        <is>
          <t>-</t>
        </is>
      </c>
      <c r="AD146" s="373" t="n">
        <v>421150</v>
      </c>
      <c r="AE146" s="371" t="n">
        <v>0</v>
      </c>
      <c r="AF146" s="625" t="n">
        <v>0</v>
      </c>
      <c r="AG146" s="205" t="n">
        <v>0</v>
      </c>
      <c r="AH146" s="205" t="n">
        <v>0</v>
      </c>
      <c r="AI146" s="205" t="n">
        <v>0</v>
      </c>
      <c r="AJ146" s="205" t="n">
        <v>0</v>
      </c>
      <c r="AK146" s="205" t="n">
        <v>0</v>
      </c>
      <c r="AL146" s="205" t="n">
        <v>0.01</v>
      </c>
      <c r="AM146" s="205" t="n">
        <v>0</v>
      </c>
      <c r="AN146" s="205" t="inlineStr">
        <is>
          <t>LOLO</t>
        </is>
      </c>
    </row>
    <row r="147">
      <c r="A147" s="222">
        <f>A146+1</f>
        <v/>
      </c>
      <c r="B147" s="224" t="inlineStr">
        <is>
          <t>Terminal Handling Service-Im</t>
        </is>
      </c>
      <c r="C147" s="224" t="inlineStr">
        <is>
          <t>SITC CONTAINER LINES (CAMBODIA) Co., Ltd.</t>
        </is>
      </c>
      <c r="D147" s="225" t="inlineStr">
        <is>
          <t>L001-107035863</t>
        </is>
      </c>
      <c r="E147" s="359" t="inlineStr">
        <is>
          <t>SITC2025-001566</t>
        </is>
      </c>
      <c r="F147" s="338" t="n">
        <v>45668</v>
      </c>
      <c r="G147" s="226" t="n"/>
      <c r="H147" s="627" t="n"/>
      <c r="I147" s="627" t="n">
        <v>2546460</v>
      </c>
      <c r="J147" s="223" t="inlineStr">
        <is>
          <t>អនុញ្ញាត (បានប្រកាស)</t>
        </is>
      </c>
      <c r="K147" s="223" t="n"/>
      <c r="L147" s="626">
        <f>I147</f>
        <v/>
      </c>
      <c r="M147" s="598">
        <f>I147-L147</f>
        <v/>
      </c>
      <c r="N147" s="223" t="n"/>
      <c r="O147" s="228">
        <f>U147=E147</f>
        <v/>
      </c>
      <c r="P147" s="228">
        <f>MONTH(F147)-MONTH(T147)</f>
        <v/>
      </c>
      <c r="Q147" s="228">
        <f>$B$5=X147</f>
        <v/>
      </c>
      <c r="R147" s="228">
        <f>I147-AD147</f>
        <v/>
      </c>
      <c r="S147" s="371" t="n"/>
      <c r="T147" s="372" t="n">
        <v>45668</v>
      </c>
      <c r="U147" s="371" t="inlineStr">
        <is>
          <t>SITC2025-001566</t>
        </is>
      </c>
      <c r="V147" s="371" t="n">
        <v>0</v>
      </c>
      <c r="W147" s="371" t="inlineStr">
        <is>
          <t>បុគ្គលជាប់អាករ</t>
        </is>
      </c>
      <c r="X147" s="371" t="inlineStr">
        <is>
          <t>L001-901640009</t>
        </is>
      </c>
      <c r="Y147" s="371" t="inlineStr">
        <is>
          <t>ហូលីដេ ឌីហ្សាញ (ខេមបូឌា) ឯ.ក</t>
        </is>
      </c>
      <c r="Z147" s="373" t="n">
        <v>28011060</v>
      </c>
      <c r="AA147" s="373" t="n">
        <v>25464600</v>
      </c>
      <c r="AB147" s="371" t="n">
        <v>0</v>
      </c>
      <c r="AC147" s="371" t="inlineStr">
        <is>
          <t>-</t>
        </is>
      </c>
      <c r="AD147" s="373" t="n">
        <v>2546460</v>
      </c>
      <c r="AE147" s="371" t="n">
        <v>0</v>
      </c>
      <c r="AF147" s="625" t="n">
        <v>0</v>
      </c>
      <c r="AG147" s="205" t="n">
        <v>0</v>
      </c>
      <c r="AH147" s="205" t="n">
        <v>0</v>
      </c>
      <c r="AI147" s="205" t="n">
        <v>0</v>
      </c>
      <c r="AJ147" s="205" t="n">
        <v>0</v>
      </c>
      <c r="AK147" s="205" t="n">
        <v>0</v>
      </c>
      <c r="AL147" s="205" t="n">
        <v>0.01</v>
      </c>
      <c r="AM147" s="205" t="n">
        <v>0</v>
      </c>
      <c r="AN147" s="205" t="inlineStr">
        <is>
          <t>KHTHC,KHDOC,EIB,KHCIC,EMF</t>
        </is>
      </c>
    </row>
    <row r="148">
      <c r="A148" s="222">
        <f>A147+1</f>
        <v/>
      </c>
      <c r="B148" s="224" t="inlineStr">
        <is>
          <t>Trucking Fee-Im</t>
        </is>
      </c>
      <c r="C148" s="224" t="inlineStr">
        <is>
          <t>BRILLIANT TRANSPORT AND TRADING Co., Ltd.</t>
        </is>
      </c>
      <c r="D148" s="225" t="inlineStr">
        <is>
          <t>K002-100089305</t>
        </is>
      </c>
      <c r="E148" s="359" t="inlineStr">
        <is>
          <t>BTT25-0000166</t>
        </is>
      </c>
      <c r="F148" s="338" t="n">
        <v>45672</v>
      </c>
      <c r="G148" s="226" t="n"/>
      <c r="H148" s="627" t="n"/>
      <c r="I148" s="627" t="n">
        <v>2831868</v>
      </c>
      <c r="J148" s="223" t="inlineStr">
        <is>
          <t>អនុញ្ញាត (បានប្រកាស)</t>
        </is>
      </c>
      <c r="K148" s="223" t="n"/>
      <c r="L148" s="626">
        <f>I148</f>
        <v/>
      </c>
      <c r="M148" s="598">
        <f>I148-L148</f>
        <v/>
      </c>
      <c r="N148" s="223" t="n"/>
      <c r="O148" s="228">
        <f>U148=E148</f>
        <v/>
      </c>
      <c r="P148" s="228">
        <f>MONTH(F148)-MONTH(T148)</f>
        <v/>
      </c>
      <c r="Q148" s="228">
        <f>$B$5=X148</f>
        <v/>
      </c>
      <c r="R148" s="228">
        <f>I148-AD148</f>
        <v/>
      </c>
      <c r="S148" s="371" t="n"/>
      <c r="T148" s="372" t="n">
        <v>45672</v>
      </c>
      <c r="U148" s="371" t="inlineStr">
        <is>
          <t>BTT25-0000166</t>
        </is>
      </c>
      <c r="V148" s="371" t="n">
        <v>0</v>
      </c>
      <c r="W148" s="371" t="inlineStr">
        <is>
          <t>បុគ្គលជាប់អាករ</t>
        </is>
      </c>
      <c r="X148" s="371" t="inlineStr">
        <is>
          <t>L001-901640009</t>
        </is>
      </c>
      <c r="Y148" s="371" t="inlineStr">
        <is>
          <t>ហូលីដេ ឌីហ្សាញ (ខេមបូឌា) ឯ.ក</t>
        </is>
      </c>
      <c r="Z148" s="373" t="n">
        <v>31150548</v>
      </c>
      <c r="AA148" s="373" t="n">
        <v>28318680</v>
      </c>
      <c r="AB148" s="371" t="n">
        <v>0</v>
      </c>
      <c r="AC148" s="371" t="inlineStr">
        <is>
          <t>-</t>
        </is>
      </c>
      <c r="AD148" s="373" t="n">
        <v>2831868</v>
      </c>
      <c r="AE148" s="371" t="n">
        <v>0</v>
      </c>
      <c r="AF148" s="625" t="n">
        <v>0</v>
      </c>
      <c r="AG148" s="205" t="n">
        <v>0</v>
      </c>
      <c r="AH148" s="205" t="n">
        <v>0</v>
      </c>
      <c r="AI148" s="205" t="n">
        <v>0</v>
      </c>
      <c r="AJ148" s="205" t="n">
        <v>0</v>
      </c>
      <c r="AK148" s="205" t="n">
        <v>0</v>
      </c>
      <c r="AL148" s="205" t="n">
        <v>0.01</v>
      </c>
      <c r="AM148" s="205" t="n">
        <v>0</v>
      </c>
      <c r="AN148" s="205" t="inlineStr">
        <is>
          <t>Truking / Service</t>
        </is>
      </c>
    </row>
    <row r="149">
      <c r="A149" s="222">
        <f>A148+1</f>
        <v/>
      </c>
      <c r="B149" s="224" t="inlineStr">
        <is>
          <t>Lift-On&amp;Lift-Off-Im</t>
        </is>
      </c>
      <c r="C149" s="224" t="inlineStr">
        <is>
          <t>Port Autonome Du Sihanoukville</t>
        </is>
      </c>
      <c r="D149" s="225" t="inlineStr">
        <is>
          <t>L001-100044638</t>
        </is>
      </c>
      <c r="E149" s="359" t="n">
        <v>202500009636</v>
      </c>
      <c r="F149" s="338" t="n">
        <v>45670</v>
      </c>
      <c r="G149" s="226" t="n"/>
      <c r="H149" s="627" t="n"/>
      <c r="I149" s="627" t="n">
        <v>175827</v>
      </c>
      <c r="J149" s="223" t="inlineStr">
        <is>
          <t>អនុញ្ញាត (បានប្រកាស)</t>
        </is>
      </c>
      <c r="K149" s="223" t="n"/>
      <c r="L149" s="626">
        <f>I149</f>
        <v/>
      </c>
      <c r="M149" s="598">
        <f>I149-L149</f>
        <v/>
      </c>
      <c r="N149" s="223" t="n"/>
      <c r="O149" s="228">
        <f>U149=E149</f>
        <v/>
      </c>
      <c r="P149" s="228">
        <f>MONTH(F149)-MONTH(T149)</f>
        <v/>
      </c>
      <c r="Q149" s="228">
        <f>$B$5=X149</f>
        <v/>
      </c>
      <c r="R149" s="228">
        <f>I149-AD149</f>
        <v/>
      </c>
      <c r="S149" s="371" t="n"/>
      <c r="T149" s="372" t="n">
        <v>45670</v>
      </c>
      <c r="U149" s="371" t="n">
        <v>202500009636</v>
      </c>
      <c r="V149" s="371" t="n">
        <v>0</v>
      </c>
      <c r="W149" s="371" t="inlineStr">
        <is>
          <t>បុគ្គលជាប់អាករ</t>
        </is>
      </c>
      <c r="X149" s="371" t="inlineStr">
        <is>
          <t>L001-901640009</t>
        </is>
      </c>
      <c r="Y149" s="371" t="inlineStr">
        <is>
          <t>ហូលីដេ ឌីហ្សាញ (ខេមបូឌា) ឯ.ក</t>
        </is>
      </c>
      <c r="Z149" s="373" t="n">
        <v>1934097</v>
      </c>
      <c r="AA149" s="373" t="n">
        <v>1758270</v>
      </c>
      <c r="AB149" s="371" t="n">
        <v>0</v>
      </c>
      <c r="AC149" s="371" t="inlineStr">
        <is>
          <t>-</t>
        </is>
      </c>
      <c r="AD149" s="373" t="n">
        <v>175827</v>
      </c>
      <c r="AE149" s="371" t="n">
        <v>0</v>
      </c>
      <c r="AF149" s="625" t="n">
        <v>0</v>
      </c>
      <c r="AG149" s="205" t="n">
        <v>0</v>
      </c>
      <c r="AH149" s="205" t="n">
        <v>0</v>
      </c>
      <c r="AI149" s="205" t="n">
        <v>0</v>
      </c>
      <c r="AJ149" s="205" t="n">
        <v>0</v>
      </c>
      <c r="AK149" s="205" t="n">
        <v>0</v>
      </c>
      <c r="AL149" s="205" t="n">
        <v>0.01</v>
      </c>
      <c r="AM149" s="205" t="n">
        <v>0</v>
      </c>
      <c r="AN149" s="205" t="inlineStr">
        <is>
          <t>LOLO</t>
        </is>
      </c>
    </row>
    <row r="150">
      <c r="A150" s="222">
        <f>A149+1</f>
        <v/>
      </c>
      <c r="B150" s="224" t="inlineStr">
        <is>
          <t>Trucking Fee-Im</t>
        </is>
      </c>
      <c r="C150" s="224" t="inlineStr">
        <is>
          <t>BRILLIANT TRANSPORT AND TRADING Co., Ltd.</t>
        </is>
      </c>
      <c r="D150" s="225" t="inlineStr">
        <is>
          <t>K002-100089305</t>
        </is>
      </c>
      <c r="E150" s="359" t="inlineStr">
        <is>
          <t>BTT25-0000165</t>
        </is>
      </c>
      <c r="F150" s="338" t="n">
        <v>45670</v>
      </c>
      <c r="G150" s="226" t="n"/>
      <c r="H150" s="627" t="n"/>
      <c r="I150" s="627" t="n">
        <v>1216642</v>
      </c>
      <c r="J150" s="223" t="inlineStr">
        <is>
          <t>អនុញ្ញាត (បានប្រកាស)</t>
        </is>
      </c>
      <c r="K150" s="223" t="n"/>
      <c r="L150" s="626">
        <f>I150</f>
        <v/>
      </c>
      <c r="M150" s="598">
        <f>I150-L150</f>
        <v/>
      </c>
      <c r="N150" s="223" t="n"/>
      <c r="O150" s="228">
        <f>U150=E150</f>
        <v/>
      </c>
      <c r="P150" s="228">
        <f>MONTH(F150)-MONTH(T150)</f>
        <v/>
      </c>
      <c r="Q150" s="228">
        <f>$B$5=X150</f>
        <v/>
      </c>
      <c r="R150" s="228">
        <f>I150-AD150</f>
        <v/>
      </c>
      <c r="S150" s="371" t="n"/>
      <c r="T150" s="372" t="n">
        <v>45670</v>
      </c>
      <c r="U150" s="371" t="inlineStr">
        <is>
          <t>BTT25-0000165</t>
        </is>
      </c>
      <c r="V150" s="371" t="n">
        <v>0</v>
      </c>
      <c r="W150" s="371" t="inlineStr">
        <is>
          <t>បុគ្គលជាប់អាករ</t>
        </is>
      </c>
      <c r="X150" s="371" t="inlineStr">
        <is>
          <t>L001-901640009</t>
        </is>
      </c>
      <c r="Y150" s="371" t="inlineStr">
        <is>
          <t>ហូលីដេ ឌីហ្សាញ (ខេមបូឌា) ឯ.ក</t>
        </is>
      </c>
      <c r="Z150" s="373" t="n">
        <v>13383062</v>
      </c>
      <c r="AA150" s="373" t="n">
        <v>12166420</v>
      </c>
      <c r="AB150" s="371" t="n">
        <v>0</v>
      </c>
      <c r="AC150" s="371" t="inlineStr">
        <is>
          <t>-</t>
        </is>
      </c>
      <c r="AD150" s="373" t="n">
        <v>1216642</v>
      </c>
      <c r="AE150" s="371" t="n">
        <v>0</v>
      </c>
      <c r="AF150" s="625" t="n">
        <v>0</v>
      </c>
      <c r="AG150" s="205" t="n">
        <v>0</v>
      </c>
      <c r="AH150" s="205" t="n">
        <v>0</v>
      </c>
      <c r="AI150" s="205" t="n">
        <v>0</v>
      </c>
      <c r="AJ150" s="205" t="n">
        <v>0</v>
      </c>
      <c r="AK150" s="205" t="n">
        <v>0</v>
      </c>
      <c r="AL150" s="205" t="n">
        <v>0.01</v>
      </c>
      <c r="AM150" s="205" t="n">
        <v>0</v>
      </c>
      <c r="AN150" s="205" t="inlineStr">
        <is>
          <t>Truking / Service</t>
        </is>
      </c>
    </row>
    <row r="151">
      <c r="A151" s="222">
        <f>A150+1</f>
        <v/>
      </c>
      <c r="B151" s="224" t="inlineStr">
        <is>
          <t>Screw Air Compressor</t>
        </is>
      </c>
      <c r="C151" s="224" t="inlineStr">
        <is>
          <t>ZHEJIANG KAISHAN MACHINERY (CAMBODIA) CO., LTD.</t>
        </is>
      </c>
      <c r="D151" s="225" t="inlineStr">
        <is>
          <t>K010-901800323</t>
        </is>
      </c>
      <c r="E151" s="359" t="inlineStr">
        <is>
          <t>2025-000067</t>
        </is>
      </c>
      <c r="F151" s="338" t="n">
        <v>45789</v>
      </c>
      <c r="G151" s="226" t="n"/>
      <c r="H151" s="627" t="n"/>
      <c r="I151" s="627" t="n">
        <v>720540</v>
      </c>
      <c r="J151" s="223" t="inlineStr">
        <is>
          <t>អនុញ្ញាត (បានប្រកាស)</t>
        </is>
      </c>
      <c r="K151" s="223" t="n"/>
      <c r="L151" s="626">
        <f>I151</f>
        <v/>
      </c>
      <c r="M151" s="598">
        <f>I151-L151</f>
        <v/>
      </c>
      <c r="N151" s="223" t="n"/>
      <c r="O151" s="228">
        <f>U151=E151</f>
        <v/>
      </c>
      <c r="P151" s="228">
        <f>MONTH(F151)-MONTH(T151)</f>
        <v/>
      </c>
      <c r="Q151" s="228">
        <f>$B$5=X151</f>
        <v/>
      </c>
      <c r="R151" s="228">
        <f>I151-AD151</f>
        <v/>
      </c>
      <c r="S151" s="371" t="n"/>
      <c r="T151" s="372" t="n">
        <v>45792</v>
      </c>
      <c r="U151" s="371" t="inlineStr">
        <is>
          <t>2025-000067</t>
        </is>
      </c>
      <c r="V151" s="371" t="n">
        <v>0</v>
      </c>
      <c r="W151" s="371" t="inlineStr">
        <is>
          <t>បុគ្គលជាប់អាករ</t>
        </is>
      </c>
      <c r="X151" s="371" t="inlineStr">
        <is>
          <t>L001-901640009</t>
        </is>
      </c>
      <c r="Y151" s="371" t="inlineStr">
        <is>
          <t>ហូលីដេ ឌីហ្សាញ (ខេមបូឌា) ឯ.ក</t>
        </is>
      </c>
      <c r="Z151" s="373" t="n">
        <v>7925940</v>
      </c>
      <c r="AA151" s="373" t="n">
        <v>7205400</v>
      </c>
      <c r="AB151" s="371" t="n">
        <v>0</v>
      </c>
      <c r="AC151" s="371" t="inlineStr">
        <is>
          <t>-</t>
        </is>
      </c>
      <c r="AD151" s="373" t="n">
        <v>720540</v>
      </c>
      <c r="AE151" s="371" t="n">
        <v>0</v>
      </c>
      <c r="AF151" s="625" t="n">
        <v>0</v>
      </c>
      <c r="AG151" s="205" t="n">
        <v>0</v>
      </c>
      <c r="AH151" s="205" t="n">
        <v>0</v>
      </c>
      <c r="AI151" s="205" t="n">
        <v>0</v>
      </c>
      <c r="AJ151" s="205" t="n">
        <v>0</v>
      </c>
      <c r="AK151" s="205" t="n">
        <v>0</v>
      </c>
      <c r="AL151" s="205" t="n">
        <v>0.01</v>
      </c>
      <c r="AM151" s="205" t="n">
        <v>0</v>
      </c>
      <c r="AN151" s="205" t="inlineStr">
        <is>
          <t>Screw air compressor -Brand:KAISHAN,Model:BMVF37,Year：2025</t>
        </is>
      </c>
      <c r="AO151" s="205" t="inlineStr">
        <is>
          <t>បានប្រកាសនិងបង់ពន្ធ</t>
        </is>
      </c>
    </row>
    <row r="152">
      <c r="A152" s="222">
        <f>A151+1</f>
        <v/>
      </c>
      <c r="B152" s="224" t="inlineStr">
        <is>
          <t>Transportation Fee</t>
        </is>
      </c>
      <c r="C152" s="224" t="inlineStr">
        <is>
          <t>XI LE DA INTERNATIONAL LOGISTICS CO., LTD.</t>
        </is>
      </c>
      <c r="D152" s="225" t="inlineStr">
        <is>
          <t>K010-901905389</t>
        </is>
      </c>
      <c r="E152" s="359" t="n">
        <v>103</v>
      </c>
      <c r="F152" s="338" t="n">
        <v>45576</v>
      </c>
      <c r="G152" s="226" t="n"/>
      <c r="H152" s="627" t="n"/>
      <c r="I152" s="627" t="n">
        <v>113358</v>
      </c>
      <c r="J152" s="223" t="inlineStr">
        <is>
          <t>អនុញ្ញាត (បានប្រកាស)</t>
        </is>
      </c>
      <c r="K152" s="223" t="n"/>
      <c r="L152" s="626">
        <f>I152</f>
        <v/>
      </c>
      <c r="M152" s="598">
        <f>I152-L152</f>
        <v/>
      </c>
      <c r="N152" s="223" t="n"/>
      <c r="O152" s="228">
        <f>U152=E152</f>
        <v/>
      </c>
      <c r="P152" s="228">
        <f>MONTH(F152)-MONTH(T152)</f>
        <v/>
      </c>
      <c r="Q152" s="228">
        <f>$B$5=X152</f>
        <v/>
      </c>
      <c r="R152" s="228">
        <f>I152-AD152</f>
        <v/>
      </c>
      <c r="S152" s="371" t="n"/>
      <c r="T152" s="372" t="n">
        <v>45576</v>
      </c>
      <c r="U152" s="371" t="n">
        <v>103</v>
      </c>
      <c r="V152" s="371" t="n">
        <v>0</v>
      </c>
      <c r="W152" s="371" t="inlineStr">
        <is>
          <t>បុគ្គលជាប់អាករ</t>
        </is>
      </c>
      <c r="X152" s="371" t="inlineStr">
        <is>
          <t>L001-901640009</t>
        </is>
      </c>
      <c r="Y152" s="371" t="inlineStr">
        <is>
          <t>ហូលីដេ ឌីហ្សាញ (ខេមបូឌា) ឯ.ក</t>
        </is>
      </c>
      <c r="Z152" s="373" t="n">
        <v>1246935</v>
      </c>
      <c r="AA152" s="373" t="n">
        <v>1133577</v>
      </c>
      <c r="AB152" s="371" t="n">
        <v>0</v>
      </c>
      <c r="AC152" s="371" t="inlineStr">
        <is>
          <t>-</t>
        </is>
      </c>
      <c r="AD152" s="373" t="n">
        <v>113358</v>
      </c>
      <c r="AE152" s="371" t="n">
        <v>0</v>
      </c>
      <c r="AF152" s="625" t="n">
        <v>0</v>
      </c>
      <c r="AG152" s="205" t="n">
        <v>0</v>
      </c>
      <c r="AH152" s="205" t="n">
        <v>0</v>
      </c>
      <c r="AI152" s="205" t="n">
        <v>0</v>
      </c>
      <c r="AJ152" s="205" t="n">
        <v>0</v>
      </c>
      <c r="AK152" s="205" t="n">
        <v>0</v>
      </c>
      <c r="AL152" s="205" t="n">
        <v>0.01</v>
      </c>
      <c r="AM152" s="205" t="n">
        <v>0</v>
      </c>
      <c r="AN152" s="205" t="inlineStr">
        <is>
          <t>Transportation Fee</t>
        </is>
      </c>
      <c r="AO152" s="205" t="inlineStr">
        <is>
          <t>បានប្រកាសនិងបង់ពន្ធ</t>
        </is>
      </c>
    </row>
    <row r="153">
      <c r="A153" s="222">
        <f>A152+1</f>
        <v/>
      </c>
      <c r="B153" s="224" t="inlineStr">
        <is>
          <t>Transportation Fee</t>
        </is>
      </c>
      <c r="C153" s="224" t="inlineStr">
        <is>
          <t>XI LE DA INTERNATIONAL LOGISTICS CO., LTD.</t>
        </is>
      </c>
      <c r="D153" s="225" t="inlineStr">
        <is>
          <t>K010-901905389</t>
        </is>
      </c>
      <c r="E153" s="359" t="n">
        <v>139</v>
      </c>
      <c r="F153" s="338" t="n">
        <v>45651</v>
      </c>
      <c r="G153" s="226" t="n"/>
      <c r="H153" s="627" t="n"/>
      <c r="I153" s="627" t="n">
        <v>10048</v>
      </c>
      <c r="J153" s="223" t="inlineStr">
        <is>
          <t>អនុញ្ញាត (បានប្រកាស)</t>
        </is>
      </c>
      <c r="K153" s="223" t="n"/>
      <c r="L153" s="626">
        <f>I153</f>
        <v/>
      </c>
      <c r="M153" s="598">
        <f>I153-L153</f>
        <v/>
      </c>
      <c r="N153" s="223" t="n"/>
      <c r="O153" s="228">
        <f>U153=E153</f>
        <v/>
      </c>
      <c r="P153" s="228">
        <f>MONTH(F153)-MONTH(T153)</f>
        <v/>
      </c>
      <c r="Q153" s="228">
        <f>$B$5=X153</f>
        <v/>
      </c>
      <c r="R153" s="228">
        <f>I153-AD153</f>
        <v/>
      </c>
      <c r="S153" s="371" t="n"/>
      <c r="T153" s="372" t="n">
        <v>45651</v>
      </c>
      <c r="U153" s="371" t="n">
        <v>139</v>
      </c>
      <c r="V153" s="371" t="n">
        <v>0</v>
      </c>
      <c r="W153" s="371" t="inlineStr">
        <is>
          <t>បុគ្គលជាប់អាករ</t>
        </is>
      </c>
      <c r="X153" s="371" t="inlineStr">
        <is>
          <t>L001-901640009</t>
        </is>
      </c>
      <c r="Y153" s="371" t="inlineStr">
        <is>
          <t>ហូលីដេ ឌីហ្សាញ (ខេមបូឌា) ឯ.ក</t>
        </is>
      </c>
      <c r="Z153" s="373" t="n">
        <v>110523</v>
      </c>
      <c r="AA153" s="373" t="n">
        <v>100475</v>
      </c>
      <c r="AB153" s="371" t="n">
        <v>0</v>
      </c>
      <c r="AC153" s="371" t="inlineStr">
        <is>
          <t>-</t>
        </is>
      </c>
      <c r="AD153" s="373" t="n">
        <v>10048</v>
      </c>
      <c r="AE153" s="371" t="n">
        <v>0</v>
      </c>
      <c r="AF153" s="625" t="n">
        <v>0</v>
      </c>
      <c r="AG153" s="205" t="n">
        <v>0</v>
      </c>
      <c r="AH153" s="205" t="n">
        <v>0</v>
      </c>
      <c r="AI153" s="205" t="n">
        <v>0</v>
      </c>
      <c r="AJ153" s="205" t="n">
        <v>0</v>
      </c>
      <c r="AK153" s="205" t="n">
        <v>0</v>
      </c>
      <c r="AL153" s="205" t="n">
        <v>0.01</v>
      </c>
      <c r="AM153" s="205" t="n">
        <v>0</v>
      </c>
      <c r="AN153" s="205" t="inlineStr">
        <is>
          <t>Transportation Fee</t>
        </is>
      </c>
      <c r="AO153" s="205" t="inlineStr">
        <is>
          <t>បានប្រកាសនិងបង់ពន្ធ</t>
        </is>
      </c>
    </row>
    <row r="154">
      <c r="A154" s="222">
        <f>A153+1</f>
        <v/>
      </c>
      <c r="B154" s="224" t="inlineStr">
        <is>
          <t>Transportation Fee</t>
        </is>
      </c>
      <c r="C154" s="224" t="inlineStr">
        <is>
          <t>XI LE DA INTERNATIONAL LOGISTICS CO., LTD.</t>
        </is>
      </c>
      <c r="D154" s="225" t="inlineStr">
        <is>
          <t>K010-901905389</t>
        </is>
      </c>
      <c r="E154" s="359" t="n">
        <v>8</v>
      </c>
      <c r="F154" s="338" t="n">
        <v>45689</v>
      </c>
      <c r="G154" s="226" t="n"/>
      <c r="H154" s="627" t="n"/>
      <c r="I154" s="627" t="n">
        <v>52481</v>
      </c>
      <c r="J154" s="223" t="inlineStr">
        <is>
          <t>ព្យួរទុក (មិនមានទិន្នន័យ)</t>
        </is>
      </c>
      <c r="K154" s="223" t="n"/>
      <c r="L154" s="626" t="n"/>
      <c r="M154" s="598">
        <f>I154-L154</f>
        <v/>
      </c>
      <c r="N154" s="223" t="n"/>
      <c r="O154" s="228">
        <f>U154=E154</f>
        <v/>
      </c>
      <c r="P154" s="228">
        <f>MONTH(F154)-MONTH(T154)</f>
        <v/>
      </c>
      <c r="Q154" s="228">
        <f>$B$5=X154</f>
        <v/>
      </c>
      <c r="R154" s="228">
        <f>I154-AD154</f>
        <v/>
      </c>
      <c r="S154" s="371" t="n"/>
      <c r="T154" s="372" t="n">
        <v>45671</v>
      </c>
      <c r="U154" s="371" t="n">
        <v>8</v>
      </c>
      <c r="V154" s="371" t="n">
        <v>0</v>
      </c>
      <c r="W154" s="371" t="inlineStr">
        <is>
          <t>បុគ្គលជាប់អាករ</t>
        </is>
      </c>
      <c r="X154" s="371" t="inlineStr">
        <is>
          <t>L001-901640009</t>
        </is>
      </c>
      <c r="Y154" s="371" t="inlineStr">
        <is>
          <t>ហូលីដេ ឌីហ្សាញ (ខេមបូឌា) ឯ.ក</t>
        </is>
      </c>
      <c r="Z154" s="373" t="n">
        <v>577291</v>
      </c>
      <c r="AA154" s="373" t="n">
        <v>524810</v>
      </c>
      <c r="AB154" s="371" t="n">
        <v>0</v>
      </c>
      <c r="AC154" s="371" t="inlineStr">
        <is>
          <t>-</t>
        </is>
      </c>
      <c r="AD154" s="373" t="n">
        <v>52481</v>
      </c>
      <c r="AE154" s="371" t="n">
        <v>0</v>
      </c>
      <c r="AF154" s="625" t="n">
        <v>0</v>
      </c>
      <c r="AG154" s="205" t="n">
        <v>0</v>
      </c>
      <c r="AH154" s="205" t="n">
        <v>0</v>
      </c>
      <c r="AI154" s="205" t="n">
        <v>0</v>
      </c>
      <c r="AJ154" s="205" t="n">
        <v>0</v>
      </c>
      <c r="AK154" s="205" t="n">
        <v>0</v>
      </c>
      <c r="AL154" s="205" t="n">
        <v>0.01</v>
      </c>
      <c r="AM154" s="205" t="n">
        <v>0</v>
      </c>
      <c r="AN154" s="205" t="inlineStr">
        <is>
          <t>Transportation Fee</t>
        </is>
      </c>
      <c r="AO154" s="205" t="inlineStr">
        <is>
          <t>បានប្រកាសនិងបង់ពន្</t>
        </is>
      </c>
    </row>
    <row r="155">
      <c r="A155" s="222">
        <f>A154+1</f>
        <v/>
      </c>
      <c r="B155" s="224" t="inlineStr">
        <is>
          <t>Lift-On&amp;Lift-Off-Im</t>
        </is>
      </c>
      <c r="C155" s="224" t="inlineStr">
        <is>
          <t>Port Autonome Du Sihanoukville</t>
        </is>
      </c>
      <c r="D155" s="225" t="inlineStr">
        <is>
          <t>L001-100044638</t>
        </is>
      </c>
      <c r="E155" s="359" t="n">
        <v>202500007883</v>
      </c>
      <c r="F155" s="338" t="n">
        <v>45667</v>
      </c>
      <c r="G155" s="226" t="n"/>
      <c r="H155" s="627" t="n"/>
      <c r="I155" s="627" t="n">
        <v>207355</v>
      </c>
      <c r="J155" s="223" t="inlineStr">
        <is>
          <t>អនុញ្ញាត (បានប្រកាស)</t>
        </is>
      </c>
      <c r="K155" s="223" t="n"/>
      <c r="L155" s="626">
        <f>I155</f>
        <v/>
      </c>
      <c r="M155" s="598">
        <f>I155-L155</f>
        <v/>
      </c>
      <c r="N155" s="223" t="n"/>
      <c r="O155" s="228">
        <f>U155=E155</f>
        <v/>
      </c>
      <c r="P155" s="228">
        <f>MONTH(F155)-MONTH(T155)</f>
        <v/>
      </c>
      <c r="Q155" s="228">
        <f>$B$5=X155</f>
        <v/>
      </c>
      <c r="R155" s="228">
        <f>I155-AD155</f>
        <v/>
      </c>
      <c r="S155" s="371" t="n"/>
      <c r="T155" s="372" t="n">
        <v>45667</v>
      </c>
      <c r="U155" s="371" t="n">
        <v>202500007883</v>
      </c>
      <c r="V155" s="371" t="n">
        <v>0</v>
      </c>
      <c r="W155" s="371" t="inlineStr">
        <is>
          <t>បុគ្គលជាប់អាករ</t>
        </is>
      </c>
      <c r="X155" s="371" t="inlineStr">
        <is>
          <t>L001-901640009</t>
        </is>
      </c>
      <c r="Y155" s="371" t="inlineStr">
        <is>
          <t>ហូលីដេ ឌីហ្សាញ (ខេមបូឌា) ឯ.ក</t>
        </is>
      </c>
      <c r="Z155" s="373" t="n">
        <v>2280901</v>
      </c>
      <c r="AA155" s="373" t="n">
        <v>2073546</v>
      </c>
      <c r="AB155" s="371" t="n">
        <v>0</v>
      </c>
      <c r="AC155" s="371" t="inlineStr">
        <is>
          <t>-</t>
        </is>
      </c>
      <c r="AD155" s="373" t="n">
        <v>207355</v>
      </c>
      <c r="AE155" s="371" t="n">
        <v>0</v>
      </c>
      <c r="AF155" s="625" t="n">
        <v>0</v>
      </c>
      <c r="AG155" s="205" t="n">
        <v>0</v>
      </c>
      <c r="AH155" s="205" t="n">
        <v>0</v>
      </c>
      <c r="AI155" s="205" t="n">
        <v>0</v>
      </c>
      <c r="AJ155" s="205" t="n">
        <v>0</v>
      </c>
      <c r="AK155" s="205" t="n">
        <v>0</v>
      </c>
      <c r="AL155" s="205" t="n">
        <v>0.01</v>
      </c>
      <c r="AM155" s="205" t="n">
        <v>0</v>
      </c>
      <c r="AN155" s="205" t="inlineStr">
        <is>
          <t>LOLO</t>
        </is>
      </c>
    </row>
    <row r="156">
      <c r="A156" s="222">
        <f>A155+1</f>
        <v/>
      </c>
      <c r="B156" s="224" t="inlineStr">
        <is>
          <t>Transportation Fee</t>
        </is>
      </c>
      <c r="C156" s="224" t="inlineStr">
        <is>
          <t>XI LE DA INTERNATIONAL LOGISTICS CO., LTD.</t>
        </is>
      </c>
      <c r="D156" s="225" t="inlineStr">
        <is>
          <t>K010-901905389</t>
        </is>
      </c>
      <c r="E156" s="359" t="n">
        <v>56</v>
      </c>
      <c r="F156" s="338" t="n">
        <v>45756</v>
      </c>
      <c r="G156" s="226" t="n"/>
      <c r="H156" s="627" t="n"/>
      <c r="I156" s="627" t="n">
        <v>10104</v>
      </c>
      <c r="J156" s="223" t="inlineStr">
        <is>
          <t>ព្យួរទុក (មិនមានទិន្នន័យ)</t>
        </is>
      </c>
      <c r="K156" s="223" t="n"/>
      <c r="L156" s="626" t="n"/>
      <c r="M156" s="598">
        <f>I156-L156</f>
        <v/>
      </c>
      <c r="N156" s="223" t="n"/>
      <c r="O156" s="228">
        <f>U156=E156</f>
        <v/>
      </c>
      <c r="P156" s="228">
        <f>MONTH(F156)-MONTH(T156)</f>
        <v/>
      </c>
      <c r="Q156" s="228">
        <f>$B$5=X156</f>
        <v/>
      </c>
      <c r="R156" s="228">
        <f>I156-AD156</f>
        <v/>
      </c>
      <c r="S156" s="371" t="n"/>
      <c r="T156" s="372" t="n">
        <v>45756</v>
      </c>
      <c r="U156" s="371" t="n">
        <v>58</v>
      </c>
      <c r="V156" s="371" t="n">
        <v>0</v>
      </c>
      <c r="W156" s="371" t="inlineStr">
        <is>
          <t>បុគ្គលជាប់អាករ</t>
        </is>
      </c>
      <c r="X156" s="371" t="inlineStr">
        <is>
          <t>L001-901640009</t>
        </is>
      </c>
      <c r="Y156" s="371" t="inlineStr">
        <is>
          <t>ហូលីដេ ឌីហ្សាញ (ខេមបូឌា) ឯ.ក</t>
        </is>
      </c>
      <c r="Z156" s="373" t="n">
        <v>111139</v>
      </c>
      <c r="AA156" s="373" t="n">
        <v>101035</v>
      </c>
      <c r="AB156" s="371" t="n">
        <v>0</v>
      </c>
      <c r="AC156" s="371" t="inlineStr">
        <is>
          <t>-</t>
        </is>
      </c>
      <c r="AD156" s="373" t="n">
        <v>10104</v>
      </c>
      <c r="AE156" s="371" t="n">
        <v>0</v>
      </c>
      <c r="AF156" s="625" t="n">
        <v>0</v>
      </c>
      <c r="AG156" s="205" t="n">
        <v>0</v>
      </c>
      <c r="AH156" s="205" t="n">
        <v>0</v>
      </c>
      <c r="AI156" s="205" t="n">
        <v>0</v>
      </c>
      <c r="AJ156" s="205" t="n">
        <v>0</v>
      </c>
      <c r="AK156" s="205" t="n">
        <v>0</v>
      </c>
      <c r="AL156" s="205" t="n">
        <v>0.01</v>
      </c>
      <c r="AM156" s="205" t="n">
        <v>0</v>
      </c>
      <c r="AN156" s="205" t="inlineStr">
        <is>
          <t>Transportation Fee</t>
        </is>
      </c>
      <c r="AO156" s="205" t="inlineStr">
        <is>
          <t>បានប្រកាសនិងបង់ពន្ធ</t>
        </is>
      </c>
    </row>
    <row r="157">
      <c r="A157" s="222">
        <f>A156+1</f>
        <v/>
      </c>
      <c r="B157" s="224" t="inlineStr">
        <is>
          <t>Terminal Handling Service-Im</t>
        </is>
      </c>
      <c r="C157" s="224" t="inlineStr">
        <is>
          <t>SITC CONTAINER LINES (CAMBODIA) Co., Ltd.</t>
        </is>
      </c>
      <c r="D157" s="225" t="inlineStr">
        <is>
          <t>L001-107035863</t>
        </is>
      </c>
      <c r="E157" s="359" t="inlineStr">
        <is>
          <t>SITC2025-000741</t>
        </is>
      </c>
      <c r="F157" s="338" t="n">
        <v>45661</v>
      </c>
      <c r="G157" s="226" t="n"/>
      <c r="H157" s="627" t="n"/>
      <c r="I157" s="627" t="n">
        <v>1112832</v>
      </c>
      <c r="J157" s="223" t="inlineStr">
        <is>
          <t>អនុញ្ញាត (បានប្រកាស)</t>
        </is>
      </c>
      <c r="K157" s="223" t="n"/>
      <c r="L157" s="626">
        <f>I157</f>
        <v/>
      </c>
      <c r="M157" s="598">
        <f>I157-L157</f>
        <v/>
      </c>
      <c r="N157" s="223" t="n"/>
      <c r="O157" s="228">
        <f>U157=E157</f>
        <v/>
      </c>
      <c r="P157" s="228">
        <f>MONTH(F157)-MONTH(T157)</f>
        <v/>
      </c>
      <c r="Q157" s="228">
        <f>$B$5=X157</f>
        <v/>
      </c>
      <c r="R157" s="228">
        <f>I157-AD157</f>
        <v/>
      </c>
      <c r="S157" s="371" t="n"/>
      <c r="T157" s="372" t="n">
        <v>45661</v>
      </c>
      <c r="U157" s="371" t="inlineStr">
        <is>
          <t>SITC2025-000741</t>
        </is>
      </c>
      <c r="V157" s="371" t="n">
        <v>0</v>
      </c>
      <c r="W157" s="371" t="inlineStr">
        <is>
          <t>បុគ្គលជាប់អាករ</t>
        </is>
      </c>
      <c r="X157" s="371" t="inlineStr">
        <is>
          <t>L001-901640009</t>
        </is>
      </c>
      <c r="Y157" s="371" t="inlineStr">
        <is>
          <t>ហូលីដេ ឌីហ្សាញ (ខេមបូឌា) ឯ.ក</t>
        </is>
      </c>
      <c r="Z157" s="373" t="n">
        <v>12241152</v>
      </c>
      <c r="AA157" s="373" t="n">
        <v>11128320</v>
      </c>
      <c r="AB157" s="371" t="n">
        <v>0</v>
      </c>
      <c r="AC157" s="371" t="inlineStr">
        <is>
          <t>-</t>
        </is>
      </c>
      <c r="AD157" s="373" t="n">
        <v>1112832</v>
      </c>
      <c r="AE157" s="371" t="n">
        <v>0</v>
      </c>
      <c r="AF157" s="625" t="n">
        <v>0</v>
      </c>
      <c r="AG157" s="205" t="n">
        <v>0</v>
      </c>
      <c r="AH157" s="205" t="n">
        <v>0</v>
      </c>
      <c r="AI157" s="205" t="n">
        <v>0</v>
      </c>
      <c r="AJ157" s="205" t="n">
        <v>0</v>
      </c>
      <c r="AK157" s="205" t="n">
        <v>0</v>
      </c>
      <c r="AL157" s="205" t="n">
        <v>0.01</v>
      </c>
      <c r="AM157" s="205" t="n">
        <v>0</v>
      </c>
      <c r="AN157" s="205" t="inlineStr">
        <is>
          <t>KHDOC,KHTHC,EIB,KHCIC,EMF</t>
        </is>
      </c>
    </row>
    <row r="158">
      <c r="A158" s="222">
        <f>A157+1</f>
        <v/>
      </c>
      <c r="B158" s="224" t="inlineStr">
        <is>
          <t>Trucking Fee-Im</t>
        </is>
      </c>
      <c r="C158" s="224" t="inlineStr">
        <is>
          <t>BRILLIANT TRANSPORT AND TRADING Co., Ltd.</t>
        </is>
      </c>
      <c r="D158" s="225" t="inlineStr">
        <is>
          <t>K002-100089305</t>
        </is>
      </c>
      <c r="E158" s="359" t="inlineStr">
        <is>
          <t>BTT25-0000104</t>
        </is>
      </c>
      <c r="F158" s="338" t="n">
        <v>45667</v>
      </c>
      <c r="G158" s="226" t="n"/>
      <c r="H158" s="627" t="n"/>
      <c r="I158" s="627" t="n">
        <v>2243310</v>
      </c>
      <c r="J158" s="223" t="inlineStr">
        <is>
          <t>អនុញ្ញាត (បានប្រកាស)</t>
        </is>
      </c>
      <c r="K158" s="223" t="n"/>
      <c r="L158" s="626">
        <f>I158</f>
        <v/>
      </c>
      <c r="M158" s="598">
        <f>I158-L158</f>
        <v/>
      </c>
      <c r="N158" s="223" t="n"/>
      <c r="O158" s="228">
        <f>U158=E158</f>
        <v/>
      </c>
      <c r="P158" s="228">
        <f>MONTH(F158)-MONTH(T158)</f>
        <v/>
      </c>
      <c r="Q158" s="228">
        <f>$B$5=X158</f>
        <v/>
      </c>
      <c r="R158" s="228">
        <f>I158-AD158</f>
        <v/>
      </c>
      <c r="S158" s="371" t="n"/>
      <c r="T158" s="372" t="n">
        <v>45667</v>
      </c>
      <c r="U158" s="371" t="inlineStr">
        <is>
          <t>BTT25-0000104</t>
        </is>
      </c>
      <c r="V158" s="371" t="n">
        <v>0</v>
      </c>
      <c r="W158" s="371" t="inlineStr">
        <is>
          <t>បុគ្គលជាប់អាករ</t>
        </is>
      </c>
      <c r="X158" s="371" t="inlineStr">
        <is>
          <t>L001-901640009</t>
        </is>
      </c>
      <c r="Y158" s="371" t="inlineStr">
        <is>
          <t>ហូលីដេ ឌីហ្សាញ (ខេមបូឌា) ឯ.ក</t>
        </is>
      </c>
      <c r="Z158" s="373" t="n">
        <v>24676410</v>
      </c>
      <c r="AA158" s="373" t="n">
        <v>22433100</v>
      </c>
      <c r="AB158" s="371" t="n">
        <v>0</v>
      </c>
      <c r="AC158" s="371" t="inlineStr">
        <is>
          <t>-</t>
        </is>
      </c>
      <c r="AD158" s="373" t="n">
        <v>2243310</v>
      </c>
      <c r="AE158" s="371" t="n">
        <v>0</v>
      </c>
      <c r="AF158" s="625" t="n">
        <v>0</v>
      </c>
      <c r="AG158" s="205" t="n">
        <v>0</v>
      </c>
      <c r="AH158" s="205" t="n">
        <v>0</v>
      </c>
      <c r="AI158" s="205" t="n">
        <v>0</v>
      </c>
      <c r="AJ158" s="205" t="n">
        <v>0</v>
      </c>
      <c r="AK158" s="205" t="n">
        <v>0</v>
      </c>
      <c r="AL158" s="205" t="n">
        <v>0.01</v>
      </c>
      <c r="AM158" s="205" t="n">
        <v>0</v>
      </c>
      <c r="AN158" s="205" t="inlineStr">
        <is>
          <t>Truking / Service</t>
        </is>
      </c>
    </row>
    <row r="159">
      <c r="A159" s="222">
        <f>A158+1</f>
        <v/>
      </c>
      <c r="B159" s="224" t="inlineStr">
        <is>
          <t>Lift-On&amp;Lift-Off-Im</t>
        </is>
      </c>
      <c r="C159" s="224" t="inlineStr">
        <is>
          <t>Port Autonome Du Sihanoukville</t>
        </is>
      </c>
      <c r="D159" s="225" t="inlineStr">
        <is>
          <t>L001-100044638</t>
        </is>
      </c>
      <c r="E159" s="359" t="n">
        <v>202500007788</v>
      </c>
      <c r="F159" s="338" t="n">
        <v>45667</v>
      </c>
      <c r="G159" s="226" t="n"/>
      <c r="H159" s="627" t="n"/>
      <c r="I159" s="627" t="n">
        <v>184315</v>
      </c>
      <c r="J159" s="223" t="inlineStr">
        <is>
          <t>អនុញ្ញាត (បានប្រកាស)</t>
        </is>
      </c>
      <c r="K159" s="223" t="n"/>
      <c r="L159" s="626">
        <f>I159</f>
        <v/>
      </c>
      <c r="M159" s="598">
        <f>I159-L159</f>
        <v/>
      </c>
      <c r="N159" s="223" t="n"/>
      <c r="O159" s="228">
        <f>U159=E159</f>
        <v/>
      </c>
      <c r="P159" s="228">
        <f>MONTH(F159)-MONTH(T159)</f>
        <v/>
      </c>
      <c r="Q159" s="228">
        <f>$B$5=X159</f>
        <v/>
      </c>
      <c r="R159" s="228">
        <f>I159-AD159</f>
        <v/>
      </c>
      <c r="S159" s="371" t="n"/>
      <c r="T159" s="372" t="n">
        <v>45667</v>
      </c>
      <c r="U159" s="371" t="n">
        <v>202500007788</v>
      </c>
      <c r="V159" s="371" t="n">
        <v>0</v>
      </c>
      <c r="W159" s="371" t="inlineStr">
        <is>
          <t>បុគ្គលជាប់អាករ</t>
        </is>
      </c>
      <c r="X159" s="371" t="inlineStr">
        <is>
          <t>L001-901640009</t>
        </is>
      </c>
      <c r="Y159" s="371" t="inlineStr">
        <is>
          <t>ហូលីដេ ឌីហ្សាញ (ខេមបូឌា) ឯ.ក</t>
        </is>
      </c>
      <c r="Z159" s="373" t="n">
        <v>2027467</v>
      </c>
      <c r="AA159" s="373" t="n">
        <v>1843152</v>
      </c>
      <c r="AB159" s="371" t="n">
        <v>0</v>
      </c>
      <c r="AC159" s="371" t="inlineStr">
        <is>
          <t>-</t>
        </is>
      </c>
      <c r="AD159" s="373" t="n">
        <v>184315</v>
      </c>
      <c r="AE159" s="371" t="n">
        <v>0</v>
      </c>
      <c r="AF159" s="625" t="n">
        <v>0</v>
      </c>
      <c r="AG159" s="205" t="n">
        <v>0</v>
      </c>
      <c r="AH159" s="205" t="n">
        <v>0</v>
      </c>
      <c r="AI159" s="205" t="n">
        <v>0</v>
      </c>
      <c r="AJ159" s="205" t="n">
        <v>0</v>
      </c>
      <c r="AK159" s="205" t="n">
        <v>0</v>
      </c>
      <c r="AL159" s="205" t="n">
        <v>0.01</v>
      </c>
      <c r="AM159" s="205" t="n">
        <v>0</v>
      </c>
      <c r="AN159" s="205" t="inlineStr">
        <is>
          <t>LOLO</t>
        </is>
      </c>
    </row>
    <row r="160">
      <c r="A160" s="222">
        <f>A159+1</f>
        <v/>
      </c>
      <c r="B160" s="224" t="inlineStr">
        <is>
          <t>Terminal Handling Service-Im</t>
        </is>
      </c>
      <c r="C160" s="224" t="inlineStr">
        <is>
          <t>SITC CONTAINER LINES (CAMBODIA) Co., Ltd.</t>
        </is>
      </c>
      <c r="D160" s="225" t="inlineStr">
        <is>
          <t>L001-107035863</t>
        </is>
      </c>
      <c r="E160" s="359" t="inlineStr">
        <is>
          <t>SITC2025-000644</t>
        </is>
      </c>
      <c r="F160" s="338" t="n">
        <v>45661</v>
      </c>
      <c r="G160" s="226" t="n"/>
      <c r="H160" s="627" t="n"/>
      <c r="I160" s="627" t="n">
        <v>991872</v>
      </c>
      <c r="J160" s="223" t="inlineStr">
        <is>
          <t>អនុញ្ញាត (បានប្រកាស)</t>
        </is>
      </c>
      <c r="K160" s="223" t="n"/>
      <c r="L160" s="626">
        <f>I160</f>
        <v/>
      </c>
      <c r="M160" s="598">
        <f>I160-L160</f>
        <v/>
      </c>
      <c r="N160" s="223" t="n"/>
      <c r="O160" s="228">
        <f>U160=E160</f>
        <v/>
      </c>
      <c r="P160" s="228">
        <f>MONTH(F160)-MONTH(T160)</f>
        <v/>
      </c>
      <c r="Q160" s="228">
        <f>$B$5=X160</f>
        <v/>
      </c>
      <c r="R160" s="228">
        <f>I160-AD160</f>
        <v/>
      </c>
      <c r="S160" s="371" t="n"/>
      <c r="T160" s="372" t="n">
        <v>45661</v>
      </c>
      <c r="U160" s="371" t="inlineStr">
        <is>
          <t>SITC2025-000644</t>
        </is>
      </c>
      <c r="V160" s="371" t="n">
        <v>0</v>
      </c>
      <c r="W160" s="371" t="inlineStr">
        <is>
          <t>បុគ្គលជាប់អាករ</t>
        </is>
      </c>
      <c r="X160" s="371" t="inlineStr">
        <is>
          <t>L001-901640009</t>
        </is>
      </c>
      <c r="Y160" s="371" t="inlineStr">
        <is>
          <t>ហូលីដេ ឌីហ្សាញ (ខេមបូឌា) ឯ.ក</t>
        </is>
      </c>
      <c r="Z160" s="373" t="n">
        <v>10910592</v>
      </c>
      <c r="AA160" s="373" t="n">
        <v>9918720</v>
      </c>
      <c r="AB160" s="371" t="n">
        <v>0</v>
      </c>
      <c r="AC160" s="371" t="inlineStr">
        <is>
          <t>-</t>
        </is>
      </c>
      <c r="AD160" s="373" t="n">
        <v>991872</v>
      </c>
      <c r="AE160" s="371" t="n">
        <v>0</v>
      </c>
      <c r="AF160" s="625" t="n">
        <v>0</v>
      </c>
      <c r="AG160" s="205" t="n">
        <v>0</v>
      </c>
      <c r="AH160" s="205" t="n">
        <v>0</v>
      </c>
      <c r="AI160" s="205" t="n">
        <v>0</v>
      </c>
      <c r="AJ160" s="205" t="n">
        <v>0</v>
      </c>
      <c r="AK160" s="205" t="n">
        <v>0</v>
      </c>
      <c r="AL160" s="205" t="n">
        <v>0.01</v>
      </c>
      <c r="AM160" s="205" t="n">
        <v>0</v>
      </c>
      <c r="AN160" s="205" t="inlineStr">
        <is>
          <t>KHCIC,KHTHC,EMF,EIB,KHDOC</t>
        </is>
      </c>
    </row>
    <row r="161">
      <c r="A161" s="222">
        <f>A160+1</f>
        <v/>
      </c>
      <c r="B161" s="224" t="inlineStr">
        <is>
          <t>Trucking Fee-Im</t>
        </is>
      </c>
      <c r="C161" s="224" t="inlineStr">
        <is>
          <t>BRILLIANT TRANSPORT AND TRADING Co., Ltd.</t>
        </is>
      </c>
      <c r="D161" s="225" t="inlineStr">
        <is>
          <t>K002-100089305</t>
        </is>
      </c>
      <c r="E161" s="359" t="inlineStr">
        <is>
          <t>BTT25-0000103</t>
        </is>
      </c>
      <c r="F161" s="338" t="n">
        <v>45667</v>
      </c>
      <c r="G161" s="226" t="n"/>
      <c r="H161" s="627" t="n"/>
      <c r="I161" s="627" t="n">
        <v>1996748</v>
      </c>
      <c r="J161" s="223" t="inlineStr">
        <is>
          <t>អនុញ្ញាត (បានប្រកាស)</t>
        </is>
      </c>
      <c r="K161" s="223" t="n"/>
      <c r="L161" s="626">
        <f>I161</f>
        <v/>
      </c>
      <c r="M161" s="598">
        <f>I161-L161</f>
        <v/>
      </c>
      <c r="N161" s="223" t="n"/>
      <c r="O161" s="228">
        <f>U161=E161</f>
        <v/>
      </c>
      <c r="P161" s="228">
        <f>MONTH(F161)-MONTH(T161)</f>
        <v/>
      </c>
      <c r="Q161" s="228">
        <f>$B$5=X161</f>
        <v/>
      </c>
      <c r="R161" s="228">
        <f>I161-AD161</f>
        <v/>
      </c>
      <c r="S161" s="371" t="n"/>
      <c r="T161" s="372" t="n">
        <v>45667</v>
      </c>
      <c r="U161" s="371" t="inlineStr">
        <is>
          <t>BTT25-0000103</t>
        </is>
      </c>
      <c r="V161" s="371" t="n">
        <v>0</v>
      </c>
      <c r="W161" s="371" t="inlineStr">
        <is>
          <t>បុគ្គលជាប់អាករ</t>
        </is>
      </c>
      <c r="X161" s="371" t="inlineStr">
        <is>
          <t>L001-901640009</t>
        </is>
      </c>
      <c r="Y161" s="371" t="inlineStr">
        <is>
          <t>ហូលីដេ ឌីហ្សាញ (ខេមបូឌា) ឯ.ក</t>
        </is>
      </c>
      <c r="Z161" s="373" t="n">
        <v>21964228</v>
      </c>
      <c r="AA161" s="373" t="n">
        <v>19967480</v>
      </c>
      <c r="AB161" s="371" t="n">
        <v>0</v>
      </c>
      <c r="AC161" s="371" t="inlineStr">
        <is>
          <t>-</t>
        </is>
      </c>
      <c r="AD161" s="373" t="n">
        <v>1996748</v>
      </c>
      <c r="AE161" s="371" t="n">
        <v>0</v>
      </c>
      <c r="AF161" s="625" t="n">
        <v>0</v>
      </c>
      <c r="AG161" s="205" t="n">
        <v>0</v>
      </c>
      <c r="AH161" s="205" t="n">
        <v>0</v>
      </c>
      <c r="AI161" s="205" t="n">
        <v>0</v>
      </c>
      <c r="AJ161" s="205" t="n">
        <v>0</v>
      </c>
      <c r="AK161" s="205" t="n">
        <v>0</v>
      </c>
      <c r="AL161" s="205" t="n">
        <v>0.01</v>
      </c>
      <c r="AM161" s="205" t="n">
        <v>0</v>
      </c>
      <c r="AN161" s="205" t="inlineStr">
        <is>
          <t>Truking / Service</t>
        </is>
      </c>
    </row>
    <row r="162">
      <c r="A162" s="222">
        <f>A161+1</f>
        <v/>
      </c>
      <c r="B162" s="224" t="inlineStr">
        <is>
          <t>Lift-On&amp;Lift-Off-Im</t>
        </is>
      </c>
      <c r="C162" s="224" t="inlineStr">
        <is>
          <t>Port Autonome Du Sihanoukville</t>
        </is>
      </c>
      <c r="D162" s="225" t="inlineStr">
        <is>
          <t>L001-100044638</t>
        </is>
      </c>
      <c r="E162" s="359" t="n">
        <v>202500008230</v>
      </c>
      <c r="F162" s="338" t="n">
        <v>45668</v>
      </c>
      <c r="G162" s="226" t="n"/>
      <c r="H162" s="627" t="n"/>
      <c r="I162" s="627" t="n">
        <v>351654</v>
      </c>
      <c r="J162" s="223" t="inlineStr">
        <is>
          <t>អនុញ្ញាត (បានប្រកាស)</t>
        </is>
      </c>
      <c r="K162" s="223" t="n"/>
      <c r="L162" s="626">
        <f>I162</f>
        <v/>
      </c>
      <c r="M162" s="598">
        <f>I162-L162</f>
        <v/>
      </c>
      <c r="N162" s="223" t="n"/>
      <c r="O162" s="228">
        <f>U162=E162</f>
        <v/>
      </c>
      <c r="P162" s="228">
        <f>MONTH(F162)-MONTH(T162)</f>
        <v/>
      </c>
      <c r="Q162" s="228">
        <f>$B$5=X162</f>
        <v/>
      </c>
      <c r="R162" s="228">
        <f>I162-AD162</f>
        <v/>
      </c>
      <c r="S162" s="371" t="n"/>
      <c r="T162" s="372" t="n">
        <v>45668</v>
      </c>
      <c r="U162" s="371" t="n">
        <v>202500008230</v>
      </c>
      <c r="V162" s="371" t="n">
        <v>0</v>
      </c>
      <c r="W162" s="371" t="inlineStr">
        <is>
          <t>បុគ្គលជាប់អាករ</t>
        </is>
      </c>
      <c r="X162" s="371" t="inlineStr">
        <is>
          <t>L001-901640009</t>
        </is>
      </c>
      <c r="Y162" s="371" t="inlineStr">
        <is>
          <t>ហូលីដេ ឌីហ្សាញ (ខេមបូឌា) ឯ.ក</t>
        </is>
      </c>
      <c r="Z162" s="373" t="n">
        <v>3868194</v>
      </c>
      <c r="AA162" s="373" t="n">
        <v>3516540</v>
      </c>
      <c r="AB162" s="371" t="n">
        <v>0</v>
      </c>
      <c r="AC162" s="371" t="inlineStr">
        <is>
          <t>-</t>
        </is>
      </c>
      <c r="AD162" s="373" t="n">
        <v>351654</v>
      </c>
      <c r="AE162" s="371" t="n">
        <v>0</v>
      </c>
      <c r="AF162" s="625" t="n">
        <v>0</v>
      </c>
      <c r="AG162" s="205" t="n">
        <v>0</v>
      </c>
      <c r="AH162" s="205" t="n">
        <v>0</v>
      </c>
      <c r="AI162" s="205" t="n">
        <v>0</v>
      </c>
      <c r="AJ162" s="205" t="n">
        <v>0</v>
      </c>
      <c r="AK162" s="205" t="n">
        <v>0</v>
      </c>
      <c r="AL162" s="205" t="n">
        <v>0.01</v>
      </c>
      <c r="AM162" s="205" t="n">
        <v>0</v>
      </c>
      <c r="AN162" s="205" t="inlineStr">
        <is>
          <t>LOLO</t>
        </is>
      </c>
    </row>
    <row r="163">
      <c r="A163" s="222">
        <f>A162+1</f>
        <v/>
      </c>
      <c r="B163" s="224" t="inlineStr">
        <is>
          <t>Trucking Fee-Im</t>
        </is>
      </c>
      <c r="C163" s="224" t="inlineStr">
        <is>
          <t>BRILLIANT TRANSPORT AND TRADING Co., Ltd.</t>
        </is>
      </c>
      <c r="D163" s="225" t="inlineStr">
        <is>
          <t>K002-100089305</t>
        </is>
      </c>
      <c r="E163" s="359" t="inlineStr">
        <is>
          <t>BTT25-0000102</t>
        </is>
      </c>
      <c r="F163" s="338" t="n">
        <v>45667</v>
      </c>
      <c r="G163" s="226" t="n"/>
      <c r="H163" s="627" t="n"/>
      <c r="I163" s="627" t="n">
        <v>2182680</v>
      </c>
      <c r="J163" s="223" t="inlineStr">
        <is>
          <t>អនុញ្ញាត (បានប្រកាស)</t>
        </is>
      </c>
      <c r="K163" s="223" t="n"/>
      <c r="L163" s="626">
        <f>I163</f>
        <v/>
      </c>
      <c r="M163" s="598">
        <f>I163-L163</f>
        <v/>
      </c>
      <c r="N163" s="223" t="n"/>
      <c r="O163" s="228">
        <f>U163=E163</f>
        <v/>
      </c>
      <c r="P163" s="228">
        <f>MONTH(F163)-MONTH(T163)</f>
        <v/>
      </c>
      <c r="Q163" s="228">
        <f>$B$5=X163</f>
        <v/>
      </c>
      <c r="R163" s="228">
        <f>I163-AD163</f>
        <v/>
      </c>
      <c r="S163" s="371" t="n"/>
      <c r="T163" s="372" t="n">
        <v>45667</v>
      </c>
      <c r="U163" s="371" t="inlineStr">
        <is>
          <t>BTT25-0000102</t>
        </is>
      </c>
      <c r="V163" s="371" t="n">
        <v>0</v>
      </c>
      <c r="W163" s="371" t="inlineStr">
        <is>
          <t>បុគ្គលជាប់អាករ</t>
        </is>
      </c>
      <c r="X163" s="371" t="inlineStr">
        <is>
          <t>L001-901640009</t>
        </is>
      </c>
      <c r="Y163" s="371" t="inlineStr">
        <is>
          <t>ហូលីដេ ឌីហ្សាញ (ខេមបូឌា) ឯ.ក</t>
        </is>
      </c>
      <c r="Z163" s="373" t="n">
        <v>24009480</v>
      </c>
      <c r="AA163" s="373" t="n">
        <v>21826800</v>
      </c>
      <c r="AB163" s="371" t="n">
        <v>0</v>
      </c>
      <c r="AC163" s="371" t="inlineStr">
        <is>
          <t>-</t>
        </is>
      </c>
      <c r="AD163" s="373" t="n">
        <v>2182680</v>
      </c>
      <c r="AE163" s="371" t="n">
        <v>0</v>
      </c>
      <c r="AF163" s="625" t="n">
        <v>0</v>
      </c>
      <c r="AG163" s="205" t="n">
        <v>0</v>
      </c>
      <c r="AH163" s="205" t="n">
        <v>0</v>
      </c>
      <c r="AI163" s="205" t="n">
        <v>0</v>
      </c>
      <c r="AJ163" s="205" t="n">
        <v>0</v>
      </c>
      <c r="AK163" s="205" t="n">
        <v>0</v>
      </c>
      <c r="AL163" s="205" t="n">
        <v>0.01</v>
      </c>
      <c r="AM163" s="205" t="n">
        <v>0</v>
      </c>
      <c r="AN163" s="205" t="inlineStr">
        <is>
          <t>Truking / Service</t>
        </is>
      </c>
    </row>
    <row r="164">
      <c r="A164" s="222">
        <f>A163+1</f>
        <v/>
      </c>
      <c r="B164" s="224" t="inlineStr">
        <is>
          <t>Trucking Fee-Im</t>
        </is>
      </c>
      <c r="C164" s="224" t="inlineStr">
        <is>
          <t>BRILLIANT TRANSPORT AND TRADING Co., Ltd.</t>
        </is>
      </c>
      <c r="D164" s="225" t="inlineStr">
        <is>
          <t>K002-100089305</t>
        </is>
      </c>
      <c r="E164" s="359" t="inlineStr">
        <is>
          <t>BTT25-0000045</t>
        </is>
      </c>
      <c r="F164" s="338" t="n">
        <v>45659</v>
      </c>
      <c r="G164" s="226" t="n"/>
      <c r="H164" s="627" t="n"/>
      <c r="I164" s="627" t="n">
        <v>1679259</v>
      </c>
      <c r="J164" s="223" t="inlineStr">
        <is>
          <t>អនុញ្ញាត (បានប្រកាស)</t>
        </is>
      </c>
      <c r="K164" s="223" t="n"/>
      <c r="L164" s="626">
        <f>I164</f>
        <v/>
      </c>
      <c r="M164" s="598">
        <f>I164-L164</f>
        <v/>
      </c>
      <c r="N164" s="223" t="n"/>
      <c r="O164" s="228">
        <f>U164=E164</f>
        <v/>
      </c>
      <c r="P164" s="228">
        <f>MONTH(F164)-MONTH(T164)</f>
        <v/>
      </c>
      <c r="Q164" s="228">
        <f>$B$5=X164</f>
        <v/>
      </c>
      <c r="R164" s="228">
        <f>I164-AD164</f>
        <v/>
      </c>
      <c r="S164" s="371" t="n"/>
      <c r="T164" s="372" t="n">
        <v>45659</v>
      </c>
      <c r="U164" s="371" t="inlineStr">
        <is>
          <t>BTT25-0000045</t>
        </is>
      </c>
      <c r="V164" s="371" t="n">
        <v>0</v>
      </c>
      <c r="W164" s="371" t="inlineStr">
        <is>
          <t>បុគ្គលជាប់អាករ</t>
        </is>
      </c>
      <c r="X164" s="371" t="inlineStr">
        <is>
          <t>L001-901640009</t>
        </is>
      </c>
      <c r="Y164" s="371" t="inlineStr">
        <is>
          <t>ហូលីដេ ឌីហ្សាញ (ខេមបូឌា) ឯ.ក</t>
        </is>
      </c>
      <c r="Z164" s="373" t="n">
        <v>18471849</v>
      </c>
      <c r="AA164" s="373" t="n">
        <v>16792590</v>
      </c>
      <c r="AB164" s="371" t="n">
        <v>0</v>
      </c>
      <c r="AC164" s="371" t="inlineStr">
        <is>
          <t>-</t>
        </is>
      </c>
      <c r="AD164" s="373" t="n">
        <v>1679259</v>
      </c>
      <c r="AE164" s="371" t="n">
        <v>0</v>
      </c>
      <c r="AF164" s="625" t="n">
        <v>0</v>
      </c>
      <c r="AG164" s="205" t="n">
        <v>0</v>
      </c>
      <c r="AH164" s="205" t="n">
        <v>0</v>
      </c>
      <c r="AI164" s="205" t="n">
        <v>0</v>
      </c>
      <c r="AJ164" s="205" t="n">
        <v>0</v>
      </c>
      <c r="AK164" s="205" t="n">
        <v>0</v>
      </c>
      <c r="AL164" s="205" t="n">
        <v>0.01</v>
      </c>
      <c r="AM164" s="205" t="n">
        <v>0</v>
      </c>
      <c r="AN164" s="205" t="inlineStr">
        <is>
          <t>Truking / Service</t>
        </is>
      </c>
    </row>
    <row r="165">
      <c r="A165" s="222">
        <f>A164+1</f>
        <v/>
      </c>
      <c r="B165" s="224" t="inlineStr">
        <is>
          <t>Lift-On&amp;Lift-Off-Im</t>
        </is>
      </c>
      <c r="C165" s="224" t="inlineStr">
        <is>
          <t>Port Autonome Du Sihanoukville</t>
        </is>
      </c>
      <c r="D165" s="225" t="inlineStr">
        <is>
          <t>L001-100044638</t>
        </is>
      </c>
      <c r="E165" s="359" t="n">
        <v>202500002577</v>
      </c>
      <c r="F165" s="338" t="n">
        <v>45660</v>
      </c>
      <c r="G165" s="226" t="n"/>
      <c r="H165" s="627" t="n"/>
      <c r="I165" s="627" t="n">
        <v>252806</v>
      </c>
      <c r="J165" s="223" t="inlineStr">
        <is>
          <t>អនុញ្ញាត (បានប្រកាស)</t>
        </is>
      </c>
      <c r="K165" s="223" t="n"/>
      <c r="L165" s="626">
        <f>I165</f>
        <v/>
      </c>
      <c r="M165" s="598">
        <f>I165-L165</f>
        <v/>
      </c>
      <c r="N165" s="223" t="n"/>
      <c r="O165" s="228">
        <f>U165=E165</f>
        <v/>
      </c>
      <c r="P165" s="228">
        <f>MONTH(F165)-MONTH(T165)</f>
        <v/>
      </c>
      <c r="Q165" s="228">
        <f>$B$5=X165</f>
        <v/>
      </c>
      <c r="R165" s="228">
        <f>I165-AD165</f>
        <v/>
      </c>
      <c r="S165" s="371" t="n"/>
      <c r="T165" s="372" t="n">
        <v>45660</v>
      </c>
      <c r="U165" s="371" t="n">
        <v>202500002577</v>
      </c>
      <c r="V165" s="371" t="n">
        <v>0</v>
      </c>
      <c r="W165" s="371" t="inlineStr">
        <is>
          <t>បុគ្គលជាប់អាករ</t>
        </is>
      </c>
      <c r="X165" s="371" t="inlineStr">
        <is>
          <t>L001-901640009</t>
        </is>
      </c>
      <c r="Y165" s="371" t="inlineStr">
        <is>
          <t>ហូលីដេ ឌីហ្សាញ (ខេមបូឌា) ឯ.ក</t>
        </is>
      </c>
      <c r="Z165" s="373" t="n">
        <v>2780870</v>
      </c>
      <c r="AA165" s="373" t="n">
        <v>2528064</v>
      </c>
      <c r="AB165" s="371" t="n">
        <v>0</v>
      </c>
      <c r="AC165" s="371" t="inlineStr">
        <is>
          <t>-</t>
        </is>
      </c>
      <c r="AD165" s="373" t="n">
        <v>252806</v>
      </c>
      <c r="AE165" s="371" t="n">
        <v>0</v>
      </c>
      <c r="AF165" s="625" t="n">
        <v>0</v>
      </c>
      <c r="AG165" s="205" t="n">
        <v>0</v>
      </c>
      <c r="AH165" s="205" t="n">
        <v>0</v>
      </c>
      <c r="AI165" s="205" t="n">
        <v>0</v>
      </c>
      <c r="AJ165" s="205" t="n">
        <v>0</v>
      </c>
      <c r="AK165" s="205" t="n">
        <v>0</v>
      </c>
      <c r="AL165" s="205" t="n">
        <v>0.01</v>
      </c>
      <c r="AM165" s="205" t="n">
        <v>0</v>
      </c>
      <c r="AN165" s="205" t="inlineStr">
        <is>
          <t>LOLO</t>
        </is>
      </c>
    </row>
    <row r="166">
      <c r="A166" s="222">
        <f>A165+1</f>
        <v/>
      </c>
      <c r="B166" s="224" t="inlineStr">
        <is>
          <t>Terminal Handling Service-Im</t>
        </is>
      </c>
      <c r="C166" s="224" t="inlineStr">
        <is>
          <t>SITC CONTAINER LINES (CAMBODIA) Co., Ltd.</t>
        </is>
      </c>
      <c r="D166" s="225" t="inlineStr">
        <is>
          <t>L001-107035863</t>
        </is>
      </c>
      <c r="E166" s="359" t="inlineStr">
        <is>
          <t>SITC2025-000059</t>
        </is>
      </c>
      <c r="F166" s="338" t="n">
        <v>45659</v>
      </c>
      <c r="G166" s="226" t="n"/>
      <c r="H166" s="627" t="n"/>
      <c r="I166" s="627" t="n">
        <v>1353072</v>
      </c>
      <c r="J166" s="223" t="inlineStr">
        <is>
          <t>អនុញ្ញាត (បានប្រកាស)</t>
        </is>
      </c>
      <c r="K166" s="223" t="n"/>
      <c r="L166" s="626">
        <f>I166</f>
        <v/>
      </c>
      <c r="M166" s="598">
        <f>I166-L166</f>
        <v/>
      </c>
      <c r="N166" s="223" t="n"/>
      <c r="O166" s="228">
        <f>U166=E166</f>
        <v/>
      </c>
      <c r="P166" s="228">
        <f>MONTH(F166)-MONTH(T166)</f>
        <v/>
      </c>
      <c r="Q166" s="228">
        <f>$B$5=X166</f>
        <v/>
      </c>
      <c r="R166" s="228">
        <f>I166-AD166</f>
        <v/>
      </c>
      <c r="S166" s="371" t="n"/>
      <c r="T166" s="372" t="n">
        <v>45659</v>
      </c>
      <c r="U166" s="371" t="inlineStr">
        <is>
          <t>SITC2025-000059</t>
        </is>
      </c>
      <c r="V166" s="371" t="n">
        <v>0</v>
      </c>
      <c r="W166" s="371" t="inlineStr">
        <is>
          <t>បុគ្គលជាប់អាករ</t>
        </is>
      </c>
      <c r="X166" s="371" t="inlineStr">
        <is>
          <t>L001-901640009</t>
        </is>
      </c>
      <c r="Y166" s="371" t="inlineStr">
        <is>
          <t>ហូលីដេ ឌីហ្សាញ (ខេមបូឌា) ឯ.ក</t>
        </is>
      </c>
      <c r="Z166" s="373" t="n">
        <v>14883792</v>
      </c>
      <c r="AA166" s="373" t="n">
        <v>13530720</v>
      </c>
      <c r="AB166" s="371" t="n">
        <v>0</v>
      </c>
      <c r="AC166" s="371" t="inlineStr">
        <is>
          <t>-</t>
        </is>
      </c>
      <c r="AD166" s="373" t="n">
        <v>1353072</v>
      </c>
      <c r="AE166" s="371" t="n">
        <v>0</v>
      </c>
      <c r="AF166" s="625" t="n">
        <v>0</v>
      </c>
      <c r="AG166" s="205" t="n">
        <v>0</v>
      </c>
      <c r="AH166" s="205" t="n">
        <v>0</v>
      </c>
      <c r="AI166" s="205" t="n">
        <v>0</v>
      </c>
      <c r="AJ166" s="205" t="n">
        <v>0</v>
      </c>
      <c r="AK166" s="205" t="n">
        <v>0</v>
      </c>
      <c r="AL166" s="205" t="n">
        <v>0.01</v>
      </c>
      <c r="AM166" s="205" t="n">
        <v>0</v>
      </c>
      <c r="AN166" s="205" t="inlineStr">
        <is>
          <t>EMF,KHCIC,KHDOC,KHTHC,EIB</t>
        </is>
      </c>
    </row>
    <row r="167">
      <c r="A167" s="222">
        <f>A166+1</f>
        <v/>
      </c>
      <c r="B167" s="224" t="inlineStr">
        <is>
          <t>Trucking Fee-Im</t>
        </is>
      </c>
      <c r="C167" s="224" t="inlineStr">
        <is>
          <t>BRILLIANT TRANSPORT AND TRADING Co., Ltd.</t>
        </is>
      </c>
      <c r="D167" s="225" t="inlineStr">
        <is>
          <t>K002-100089305</t>
        </is>
      </c>
      <c r="E167" s="359" t="inlineStr">
        <is>
          <t>BTT25-0000051</t>
        </is>
      </c>
      <c r="F167" s="338" t="n">
        <v>45660</v>
      </c>
      <c r="G167" s="226" t="n"/>
      <c r="H167" s="627" t="n"/>
      <c r="I167" s="627" t="n">
        <v>2729664</v>
      </c>
      <c r="J167" s="223" t="inlineStr">
        <is>
          <t>អនុញ្ញាត (បានប្រកាស)</t>
        </is>
      </c>
      <c r="K167" s="223" t="n"/>
      <c r="L167" s="626">
        <f>I167</f>
        <v/>
      </c>
      <c r="M167" s="598">
        <f>I167-L167</f>
        <v/>
      </c>
      <c r="N167" s="223" t="n"/>
      <c r="O167" s="228">
        <f>U167=E167</f>
        <v/>
      </c>
      <c r="P167" s="228">
        <f>MONTH(F167)-MONTH(T167)</f>
        <v/>
      </c>
      <c r="Q167" s="228">
        <f>$B$5=X167</f>
        <v/>
      </c>
      <c r="R167" s="228">
        <f>I167-AD167</f>
        <v/>
      </c>
      <c r="S167" s="371" t="n"/>
      <c r="T167" s="372" t="n">
        <v>45660</v>
      </c>
      <c r="U167" s="371" t="inlineStr">
        <is>
          <t>BTT25-0000051</t>
        </is>
      </c>
      <c r="V167" s="371" t="n">
        <v>0</v>
      </c>
      <c r="W167" s="371" t="inlineStr">
        <is>
          <t>បុគ្គលជាប់អាករ</t>
        </is>
      </c>
      <c r="X167" s="371" t="inlineStr">
        <is>
          <t>L001-901640009</t>
        </is>
      </c>
      <c r="Y167" s="371" t="inlineStr">
        <is>
          <t>ហូលីដេ ឌីហ្សាញ (ខេមបូឌា) ឯ.ក</t>
        </is>
      </c>
      <c r="Z167" s="373" t="n">
        <v>30026304</v>
      </c>
      <c r="AA167" s="373" t="n">
        <v>27296640</v>
      </c>
      <c r="AB167" s="371" t="n">
        <v>0</v>
      </c>
      <c r="AC167" s="371" t="inlineStr">
        <is>
          <t>-</t>
        </is>
      </c>
      <c r="AD167" s="373" t="n">
        <v>2729664</v>
      </c>
      <c r="AE167" s="371" t="n">
        <v>0</v>
      </c>
      <c r="AF167" s="625" t="n">
        <v>0</v>
      </c>
      <c r="AG167" s="205" t="n">
        <v>0</v>
      </c>
      <c r="AH167" s="205" t="n">
        <v>0</v>
      </c>
      <c r="AI167" s="205" t="n">
        <v>0</v>
      </c>
      <c r="AJ167" s="205" t="n">
        <v>0</v>
      </c>
      <c r="AK167" s="205" t="n">
        <v>0</v>
      </c>
      <c r="AL167" s="205" t="n">
        <v>0.01</v>
      </c>
      <c r="AM167" s="205" t="n">
        <v>0</v>
      </c>
      <c r="AN167" s="205" t="inlineStr">
        <is>
          <t>Truking / Service</t>
        </is>
      </c>
    </row>
    <row r="168">
      <c r="A168" s="222">
        <f>A167+1</f>
        <v/>
      </c>
      <c r="B168" s="224" t="inlineStr">
        <is>
          <t>Lift-On&amp;Lift-Off-Im</t>
        </is>
      </c>
      <c r="C168" s="224" t="inlineStr">
        <is>
          <t>Port Autonome Du Sihanoukville</t>
        </is>
      </c>
      <c r="D168" s="225" t="inlineStr">
        <is>
          <t>L001-100044638</t>
        </is>
      </c>
      <c r="E168" s="359" t="n">
        <v>202500001279</v>
      </c>
      <c r="F168" s="338" t="n">
        <v>45659</v>
      </c>
      <c r="G168" s="226" t="n"/>
      <c r="H168" s="627" t="n"/>
      <c r="I168" s="627" t="n">
        <v>245244</v>
      </c>
      <c r="J168" s="223" t="inlineStr">
        <is>
          <t>អនុញ្ញាត (បានប្រកាស)</t>
        </is>
      </c>
      <c r="K168" s="223" t="n"/>
      <c r="L168" s="626">
        <f>I168</f>
        <v/>
      </c>
      <c r="M168" s="598">
        <f>I168-L168</f>
        <v/>
      </c>
      <c r="N168" s="223" t="n"/>
      <c r="O168" s="228">
        <f>U168=E168</f>
        <v/>
      </c>
      <c r="P168" s="228">
        <f>MONTH(F168)-MONTH(T168)</f>
        <v/>
      </c>
      <c r="Q168" s="228">
        <f>$B$5=X168</f>
        <v/>
      </c>
      <c r="R168" s="228">
        <f>I168-AD168</f>
        <v/>
      </c>
      <c r="S168" s="371" t="n"/>
      <c r="T168" s="372" t="n">
        <v>45659</v>
      </c>
      <c r="U168" s="371" t="n">
        <v>202500001279</v>
      </c>
      <c r="V168" s="371" t="n">
        <v>0</v>
      </c>
      <c r="W168" s="371" t="inlineStr">
        <is>
          <t>បុគ្គលជាប់អាករ</t>
        </is>
      </c>
      <c r="X168" s="371" t="inlineStr">
        <is>
          <t>L001-901640009</t>
        </is>
      </c>
      <c r="Y168" s="371" t="inlineStr">
        <is>
          <t>ហូលីដេ ឌីហ្សាញ (ខេមបូឌា) ឯ.ក</t>
        </is>
      </c>
      <c r="Z168" s="373" t="n">
        <v>2697687</v>
      </c>
      <c r="AA168" s="373" t="n">
        <v>2452443</v>
      </c>
      <c r="AB168" s="371" t="n">
        <v>0</v>
      </c>
      <c r="AC168" s="371" t="inlineStr">
        <is>
          <t>-</t>
        </is>
      </c>
      <c r="AD168" s="373" t="n">
        <v>245244</v>
      </c>
      <c r="AE168" s="371" t="n">
        <v>0</v>
      </c>
      <c r="AF168" s="625" t="n">
        <v>0</v>
      </c>
      <c r="AG168" s="205" t="n">
        <v>0</v>
      </c>
      <c r="AH168" s="205" t="n">
        <v>0</v>
      </c>
      <c r="AI168" s="205" t="n">
        <v>0</v>
      </c>
      <c r="AJ168" s="205" t="n">
        <v>0</v>
      </c>
      <c r="AK168" s="205" t="n">
        <v>0</v>
      </c>
      <c r="AL168" s="205" t="n">
        <v>0.01</v>
      </c>
      <c r="AM168" s="205" t="n">
        <v>0</v>
      </c>
      <c r="AN168" s="205" t="inlineStr">
        <is>
          <t>LOLO</t>
        </is>
      </c>
    </row>
    <row r="169">
      <c r="A169" s="222">
        <f>A168+1</f>
        <v/>
      </c>
      <c r="B169" s="224" t="inlineStr">
        <is>
          <t>Terminal Handling Service-Im</t>
        </is>
      </c>
      <c r="C169" s="224" t="inlineStr">
        <is>
          <t>SITC CONTAINER LINES (CAMBODIA) Co., Ltd.</t>
        </is>
      </c>
      <c r="D169" s="225" t="inlineStr">
        <is>
          <t>L001-107035863</t>
        </is>
      </c>
      <c r="E169" s="359" t="inlineStr">
        <is>
          <t>SITC2024-041372</t>
        </is>
      </c>
      <c r="F169" s="338" t="n">
        <v>45658</v>
      </c>
      <c r="G169" s="226" t="n"/>
      <c r="H169" s="627" t="n"/>
      <c r="I169" s="627" t="n">
        <v>1489250</v>
      </c>
      <c r="J169" s="223" t="inlineStr">
        <is>
          <t>ព្យួរទុក (មិនមានទិន្នន័យ)</t>
        </is>
      </c>
      <c r="K169" s="223" t="n"/>
      <c r="L169" s="626" t="n"/>
      <c r="M169" s="598">
        <f>I169-L169</f>
        <v/>
      </c>
      <c r="N169" s="223" t="n"/>
      <c r="O169" s="228">
        <f>U169=E169</f>
        <v/>
      </c>
      <c r="P169" s="228">
        <f>MONTH(F169)-MONTH(T169)</f>
        <v/>
      </c>
      <c r="Q169" s="228">
        <f>$B$5=X169</f>
        <v/>
      </c>
      <c r="R169" s="228">
        <f>I169-AD169</f>
        <v/>
      </c>
      <c r="S169" s="371" t="n"/>
      <c r="T169" s="372" t="n">
        <v>45666</v>
      </c>
      <c r="U169" s="371" t="inlineStr">
        <is>
          <t>SITC2025-001372</t>
        </is>
      </c>
      <c r="V169" s="371" t="n"/>
      <c r="W169" s="371" t="inlineStr">
        <is>
          <t>បុគ្គលជាប់អាករ</t>
        </is>
      </c>
      <c r="X169" s="371" t="inlineStr">
        <is>
          <t>L001-901900091</t>
        </is>
      </c>
      <c r="Y169" s="371" t="inlineStr">
        <is>
          <t>អ៊ីធើនិធី គ្លូប៊ល ស្ព័តធីង ហ្គូដស៍ ឯ.ក</t>
        </is>
      </c>
      <c r="Z169" s="373" t="n">
        <v>1599444</v>
      </c>
      <c r="AA169" s="373" t="n">
        <v>1454040</v>
      </c>
      <c r="AB169" s="371" t="n">
        <v>0</v>
      </c>
      <c r="AC169" s="371" t="inlineStr">
        <is>
          <t>-</t>
        </is>
      </c>
      <c r="AD169" s="373" t="n">
        <v>145404</v>
      </c>
      <c r="AE169" s="371" t="n">
        <v>0</v>
      </c>
      <c r="AF169" s="625" t="n">
        <v>0</v>
      </c>
      <c r="AG169" s="205" t="n">
        <v>0</v>
      </c>
      <c r="AH169" s="205" t="n">
        <v>0</v>
      </c>
      <c r="AI169" s="205" t="n">
        <v>0</v>
      </c>
      <c r="AJ169" s="205" t="n">
        <v>0</v>
      </c>
      <c r="AK169" s="205" t="n">
        <v>0</v>
      </c>
      <c r="AL169" s="205" t="n">
        <v>0.01</v>
      </c>
      <c r="AN169" s="205" t="inlineStr">
        <is>
          <t>KHCIC,KHTHC,KHDOC,EM</t>
        </is>
      </c>
    </row>
    <row r="170">
      <c r="A170" s="222">
        <f>A169+1</f>
        <v/>
      </c>
      <c r="B170" s="224" t="inlineStr">
        <is>
          <t>Transportation Fee</t>
        </is>
      </c>
      <c r="C170" s="224" t="inlineStr">
        <is>
          <t>XI LE DA INTERNATIONAL LOGISTICS CO., LTD.</t>
        </is>
      </c>
      <c r="D170" s="225" t="inlineStr">
        <is>
          <t>K010-901905389</t>
        </is>
      </c>
      <c r="E170" s="359" t="n">
        <v>79</v>
      </c>
      <c r="F170" s="338" t="n">
        <v>45776</v>
      </c>
      <c r="G170" s="226" t="n"/>
      <c r="H170" s="627" t="n"/>
      <c r="I170" s="627" t="n">
        <v>2566</v>
      </c>
      <c r="J170" s="223" t="inlineStr">
        <is>
          <t>អនុញ្ញាត (បានប្រកាស)</t>
        </is>
      </c>
      <c r="K170" s="223" t="n"/>
      <c r="L170" s="626">
        <f>I170</f>
        <v/>
      </c>
      <c r="M170" s="598">
        <f>I170-L170</f>
        <v/>
      </c>
      <c r="N170" s="223" t="n"/>
      <c r="O170" s="228">
        <f>U170=E170</f>
        <v/>
      </c>
      <c r="P170" s="228">
        <f>MONTH(F170)-MONTH(T170)</f>
        <v/>
      </c>
      <c r="Q170" s="228">
        <f>$B$5=X170</f>
        <v/>
      </c>
      <c r="R170" s="228">
        <f>I170-AD170</f>
        <v/>
      </c>
      <c r="S170" s="371" t="n"/>
      <c r="T170" s="372" t="n">
        <v>45776</v>
      </c>
      <c r="U170" s="371" t="n">
        <v>79</v>
      </c>
      <c r="V170" s="371" t="n">
        <v>0</v>
      </c>
      <c r="W170" s="371" t="inlineStr">
        <is>
          <t>បុគ្គលជាប់អាករ</t>
        </is>
      </c>
      <c r="X170" s="371" t="inlineStr">
        <is>
          <t>L001-901640009</t>
        </is>
      </c>
      <c r="Y170" s="371" t="inlineStr">
        <is>
          <t>ហូលីដេ ឌីហ្សាញ (ខេមបូឌា) ឯ.ក</t>
        </is>
      </c>
      <c r="Z170" s="373" t="n">
        <v>28221</v>
      </c>
      <c r="AA170" s="373" t="n">
        <v>25655</v>
      </c>
      <c r="AB170" s="371" t="n">
        <v>0</v>
      </c>
      <c r="AC170" s="371" t="inlineStr">
        <is>
          <t>-</t>
        </is>
      </c>
      <c r="AD170" s="373" t="n">
        <v>2566</v>
      </c>
      <c r="AE170" s="371" t="n">
        <v>0</v>
      </c>
      <c r="AF170" s="625" t="n">
        <v>0</v>
      </c>
      <c r="AG170" s="205" t="n">
        <v>0</v>
      </c>
      <c r="AH170" s="205" t="n">
        <v>0</v>
      </c>
      <c r="AI170" s="205" t="n">
        <v>0</v>
      </c>
      <c r="AJ170" s="205" t="n">
        <v>0</v>
      </c>
      <c r="AK170" s="205" t="n">
        <v>0</v>
      </c>
      <c r="AL170" s="205" t="n">
        <v>0.01</v>
      </c>
      <c r="AM170" s="205" t="n">
        <v>0</v>
      </c>
      <c r="AN170" s="205" t="inlineStr">
        <is>
          <t>Transportation Fee</t>
        </is>
      </c>
      <c r="AO170" s="205" t="inlineStr">
        <is>
          <t>បានប្រកាសនិងបង់ពន្ធ</t>
        </is>
      </c>
    </row>
    <row r="171">
      <c r="A171" s="222">
        <f>A170+1</f>
        <v/>
      </c>
      <c r="B171" s="224" t="inlineStr">
        <is>
          <t>CREDIT</t>
        </is>
      </c>
      <c r="C171" s="224" t="inlineStr">
        <is>
          <t>EXPEDITORS CAMBODIA LTD.</t>
        </is>
      </c>
      <c r="D171" s="225" t="inlineStr">
        <is>
          <t>L001-100045898</t>
        </is>
      </c>
      <c r="E171" s="359" t="inlineStr">
        <is>
          <t>TI-0306317-50</t>
        </is>
      </c>
      <c r="F171" s="338" t="n">
        <v>45688</v>
      </c>
      <c r="G171" s="226" t="n"/>
      <c r="H171" s="627" t="n"/>
      <c r="I171" s="627" t="n">
        <v>-30522</v>
      </c>
      <c r="J171" s="223" t="inlineStr">
        <is>
          <t>អនុញ្ញាត (បានប្រកាស)</t>
        </is>
      </c>
      <c r="K171" s="223" t="n"/>
      <c r="L171" s="626">
        <f>I171</f>
        <v/>
      </c>
      <c r="M171" s="598">
        <f>I171-L171</f>
        <v/>
      </c>
      <c r="N171" s="223" t="n"/>
      <c r="O171" s="228">
        <f>U171=E171</f>
        <v/>
      </c>
      <c r="P171" s="228">
        <f>MONTH(F171)-MONTH(T171)</f>
        <v/>
      </c>
      <c r="Q171" s="228">
        <f>$B$5=X171</f>
        <v/>
      </c>
      <c r="R171" s="228">
        <f>I171-AD171</f>
        <v/>
      </c>
      <c r="S171" s="371" t="n"/>
      <c r="T171" s="372" t="n"/>
      <c r="U171" s="371" t="n"/>
      <c r="V171" s="371" t="n"/>
      <c r="W171" s="371" t="n"/>
      <c r="X171" s="371" t="n"/>
      <c r="Y171" s="371" t="n"/>
      <c r="Z171" s="373" t="n"/>
      <c r="AA171" s="373" t="n"/>
      <c r="AB171" s="371" t="n"/>
      <c r="AC171" s="371" t="n"/>
      <c r="AD171" s="373" t="n"/>
      <c r="AE171" s="371" t="n"/>
      <c r="AF171" s="625" t="n"/>
    </row>
    <row r="172">
      <c r="A172" s="222">
        <f>A171+1</f>
        <v/>
      </c>
      <c r="B172" s="224" t="inlineStr">
        <is>
          <t>CREDIT</t>
        </is>
      </c>
      <c r="C172" s="224" t="inlineStr">
        <is>
          <t>EXPEDITORS CAMBODIA LTD.</t>
        </is>
      </c>
      <c r="D172" s="225" t="inlineStr">
        <is>
          <t>L001-100045898</t>
        </is>
      </c>
      <c r="E172" s="359" t="inlineStr">
        <is>
          <t>TI-0306317-49</t>
        </is>
      </c>
      <c r="F172" s="338" t="n">
        <v>45688</v>
      </c>
      <c r="G172" s="226" t="n"/>
      <c r="H172" s="627" t="n"/>
      <c r="I172" s="627" t="n">
        <v>-24486</v>
      </c>
      <c r="J172" s="223" t="inlineStr">
        <is>
          <t>អនុញ្ញាត (បានប្រកាស)</t>
        </is>
      </c>
      <c r="K172" s="223" t="n"/>
      <c r="L172" s="626">
        <f>I172</f>
        <v/>
      </c>
      <c r="M172" s="598">
        <f>I172-L172</f>
        <v/>
      </c>
      <c r="N172" s="223" t="n"/>
      <c r="O172" s="228">
        <f>U172=E172</f>
        <v/>
      </c>
      <c r="P172" s="228">
        <f>MONTH(F172)-MONTH(T172)</f>
        <v/>
      </c>
      <c r="Q172" s="228">
        <f>$B$5=X172</f>
        <v/>
      </c>
      <c r="R172" s="228">
        <f>I172-AD172</f>
        <v/>
      </c>
      <c r="S172" s="371" t="n"/>
      <c r="T172" s="372" t="n"/>
      <c r="U172" s="371" t="n"/>
      <c r="V172" s="371" t="n"/>
      <c r="W172" s="371" t="n"/>
      <c r="X172" s="371" t="n"/>
      <c r="Y172" s="371" t="n"/>
      <c r="Z172" s="373" t="n"/>
      <c r="AA172" s="373" t="n"/>
      <c r="AB172" s="371" t="n"/>
      <c r="AC172" s="371" t="n"/>
      <c r="AD172" s="373" t="n"/>
      <c r="AE172" s="371" t="n"/>
      <c r="AF172" s="625" t="n"/>
    </row>
    <row r="173">
      <c r="A173" s="222">
        <f>A172+1</f>
        <v/>
      </c>
      <c r="B173" s="224" t="inlineStr">
        <is>
          <t>CREDIT</t>
        </is>
      </c>
      <c r="C173" s="224" t="inlineStr">
        <is>
          <t>EXPEDITORS CAMBODIA LTD.</t>
        </is>
      </c>
      <c r="D173" s="225" t="inlineStr">
        <is>
          <t>L001-100045898</t>
        </is>
      </c>
      <c r="E173" s="359" t="inlineStr">
        <is>
          <t>TI-0306317-48</t>
        </is>
      </c>
      <c r="F173" s="338" t="n">
        <v>45688</v>
      </c>
      <c r="G173" s="226" t="n"/>
      <c r="H173" s="627" t="n"/>
      <c r="I173" s="627" t="n">
        <v>-225895</v>
      </c>
      <c r="J173" s="223" t="inlineStr">
        <is>
          <t>អនុញ្ញាត (បានប្រកាស)</t>
        </is>
      </c>
      <c r="K173" s="223" t="n"/>
      <c r="L173" s="626">
        <f>I173</f>
        <v/>
      </c>
      <c r="M173" s="598">
        <f>I173-L173</f>
        <v/>
      </c>
      <c r="N173" s="223" t="n"/>
      <c r="O173" s="228">
        <f>U173=E173</f>
        <v/>
      </c>
      <c r="P173" s="228">
        <f>MONTH(F173)-MONTH(T173)</f>
        <v/>
      </c>
      <c r="Q173" s="228">
        <f>$B$5=X173</f>
        <v/>
      </c>
      <c r="R173" s="228">
        <f>I173-AD173</f>
        <v/>
      </c>
      <c r="S173" s="371" t="n"/>
      <c r="T173" s="372" t="n"/>
      <c r="U173" s="371" t="n"/>
      <c r="V173" s="371" t="n"/>
      <c r="W173" s="371" t="n"/>
      <c r="X173" s="371" t="n"/>
      <c r="Y173" s="371" t="n"/>
      <c r="Z173" s="373" t="n"/>
      <c r="AA173" s="373" t="n"/>
      <c r="AB173" s="371" t="n"/>
      <c r="AC173" s="371" t="n"/>
      <c r="AD173" s="373" t="n"/>
      <c r="AE173" s="371" t="n"/>
      <c r="AF173" s="625" t="n"/>
    </row>
    <row r="174">
      <c r="A174" s="222">
        <f>A173+1</f>
        <v/>
      </c>
      <c r="B174" s="224" t="inlineStr">
        <is>
          <t>CREDIT</t>
        </is>
      </c>
      <c r="C174" s="224" t="inlineStr">
        <is>
          <t>EXPEDITORS CAMBODIA LTD.</t>
        </is>
      </c>
      <c r="D174" s="225" t="inlineStr">
        <is>
          <t>L001-100045898</t>
        </is>
      </c>
      <c r="E174" s="359" t="inlineStr">
        <is>
          <t>TI-0306317-47</t>
        </is>
      </c>
      <c r="F174" s="338" t="n">
        <v>45688</v>
      </c>
      <c r="G174" s="226" t="n"/>
      <c r="H174" s="627" t="n"/>
      <c r="I174" s="627" t="n">
        <v>-54944</v>
      </c>
      <c r="J174" s="223" t="inlineStr">
        <is>
          <t>អនុញ្ញាត (បានប្រកាស)</t>
        </is>
      </c>
      <c r="K174" s="223" t="n"/>
      <c r="L174" s="626">
        <f>I174</f>
        <v/>
      </c>
      <c r="M174" s="598">
        <f>I174-L174</f>
        <v/>
      </c>
      <c r="N174" s="223" t="n"/>
      <c r="O174" s="228">
        <f>U174=E174</f>
        <v/>
      </c>
      <c r="P174" s="228">
        <f>MONTH(F174)-MONTH(T174)</f>
        <v/>
      </c>
      <c r="Q174" s="228">
        <f>$B$5=X174</f>
        <v/>
      </c>
      <c r="R174" s="228">
        <f>I174-AD174</f>
        <v/>
      </c>
      <c r="S174" s="371" t="n"/>
      <c r="T174" s="372" t="n"/>
      <c r="U174" s="371" t="n"/>
      <c r="V174" s="371" t="n"/>
      <c r="W174" s="371" t="n"/>
      <c r="X174" s="371" t="n"/>
      <c r="Y174" s="371" t="n"/>
      <c r="Z174" s="373" t="n"/>
      <c r="AA174" s="373" t="n"/>
      <c r="AB174" s="371" t="n"/>
      <c r="AC174" s="371" t="n"/>
      <c r="AD174" s="373" t="n"/>
      <c r="AE174" s="371" t="n"/>
      <c r="AF174" s="625" t="n"/>
    </row>
    <row r="175">
      <c r="A175" s="222">
        <f>A174+1</f>
        <v/>
      </c>
      <c r="B175" s="224" t="inlineStr">
        <is>
          <t>CREDIT</t>
        </is>
      </c>
      <c r="C175" s="224" t="inlineStr">
        <is>
          <t>EXPEDITORS CAMBODIA LTD.</t>
        </is>
      </c>
      <c r="D175" s="225" t="inlineStr">
        <is>
          <t>L001-100045898</t>
        </is>
      </c>
      <c r="E175" s="359" t="inlineStr">
        <is>
          <t>TI-0306317-46</t>
        </is>
      </c>
      <c r="F175" s="338" t="n">
        <v>45688</v>
      </c>
      <c r="G175" s="226" t="n"/>
      <c r="H175" s="627" t="n"/>
      <c r="I175" s="627" t="n">
        <v>-171571</v>
      </c>
      <c r="J175" s="223" t="inlineStr">
        <is>
          <t>អនុញ្ញាត (បានប្រកាស)</t>
        </is>
      </c>
      <c r="K175" s="223" t="n"/>
      <c r="L175" s="626">
        <f>I175</f>
        <v/>
      </c>
      <c r="M175" s="598">
        <f>I175-L175</f>
        <v/>
      </c>
      <c r="N175" s="223" t="n"/>
      <c r="O175" s="228">
        <f>U175=E175</f>
        <v/>
      </c>
      <c r="P175" s="228">
        <f>MONTH(F175)-MONTH(T175)</f>
        <v/>
      </c>
      <c r="Q175" s="228">
        <f>$B$5=X175</f>
        <v/>
      </c>
      <c r="R175" s="228">
        <f>I175-AD175</f>
        <v/>
      </c>
      <c r="S175" s="371" t="n"/>
      <c r="T175" s="372" t="n"/>
      <c r="U175" s="371" t="n"/>
      <c r="V175" s="371" t="n"/>
      <c r="W175" s="371" t="n"/>
      <c r="X175" s="371" t="n"/>
      <c r="Y175" s="371" t="n"/>
      <c r="Z175" s="373" t="n"/>
      <c r="AA175" s="373" t="n"/>
      <c r="AB175" s="371" t="n"/>
      <c r="AC175" s="371" t="n"/>
      <c r="AD175" s="373" t="n"/>
      <c r="AE175" s="371" t="n"/>
      <c r="AF175" s="625" t="n"/>
    </row>
    <row r="176">
      <c r="A176" s="222">
        <f>A175+1</f>
        <v/>
      </c>
      <c r="B176" s="224" t="inlineStr">
        <is>
          <t>CREDIT</t>
        </is>
      </c>
      <c r="C176" s="224" t="inlineStr">
        <is>
          <t>EXPEDITORS CAMBODIA LTD.</t>
        </is>
      </c>
      <c r="D176" s="225" t="inlineStr">
        <is>
          <t>L001-100045898</t>
        </is>
      </c>
      <c r="E176" s="359" t="inlineStr">
        <is>
          <t>TI-0306317-45</t>
        </is>
      </c>
      <c r="F176" s="338" t="n">
        <v>45688</v>
      </c>
      <c r="G176" s="226" t="n"/>
      <c r="H176" s="627" t="n"/>
      <c r="I176" s="627" t="n">
        <v>-24478</v>
      </c>
      <c r="J176" s="223" t="inlineStr">
        <is>
          <t>អនុញ្ញាត (បានប្រកាស)</t>
        </is>
      </c>
      <c r="K176" s="223" t="n"/>
      <c r="L176" s="626">
        <f>I176</f>
        <v/>
      </c>
      <c r="M176" s="598">
        <f>I176-L176</f>
        <v/>
      </c>
      <c r="N176" s="223" t="n"/>
      <c r="O176" s="228">
        <f>U176=E176</f>
        <v/>
      </c>
      <c r="P176" s="228">
        <f>MONTH(F176)-MONTH(T176)</f>
        <v/>
      </c>
      <c r="Q176" s="228">
        <f>$B$5=X176</f>
        <v/>
      </c>
      <c r="R176" s="228">
        <f>I176-AD176</f>
        <v/>
      </c>
      <c r="S176" s="371" t="n"/>
      <c r="T176" s="372" t="n"/>
      <c r="U176" s="371" t="n"/>
      <c r="V176" s="371" t="n"/>
      <c r="W176" s="371" t="n"/>
      <c r="X176" s="371" t="n"/>
      <c r="Y176" s="371" t="n"/>
      <c r="Z176" s="373" t="n"/>
      <c r="AA176" s="373" t="n"/>
      <c r="AB176" s="371" t="n"/>
      <c r="AC176" s="371" t="n"/>
      <c r="AD176" s="373" t="n"/>
      <c r="AE176" s="371" t="n"/>
      <c r="AF176" s="625" t="n"/>
    </row>
    <row r="177">
      <c r="A177" s="222">
        <f>A176+1</f>
        <v/>
      </c>
      <c r="B177" s="224" t="inlineStr">
        <is>
          <t>CREDIT</t>
        </is>
      </c>
      <c r="C177" s="224" t="inlineStr">
        <is>
          <t>EXPEDITORS CAMBODIA LTD.</t>
        </is>
      </c>
      <c r="D177" s="225" t="inlineStr">
        <is>
          <t>L001-100045898</t>
        </is>
      </c>
      <c r="E177" s="359" t="inlineStr">
        <is>
          <t>TI-0306317-44</t>
        </is>
      </c>
      <c r="F177" s="338" t="n">
        <v>45688</v>
      </c>
      <c r="G177" s="226" t="n"/>
      <c r="H177" s="627" t="n"/>
      <c r="I177" s="627" t="n">
        <v>-24486</v>
      </c>
      <c r="J177" s="223" t="inlineStr">
        <is>
          <t>អនុញ្ញាត (បានប្រកាស)</t>
        </is>
      </c>
      <c r="K177" s="223" t="n"/>
      <c r="L177" s="626">
        <f>I177</f>
        <v/>
      </c>
      <c r="M177" s="598">
        <f>I177-L177</f>
        <v/>
      </c>
      <c r="N177" s="223" t="n"/>
      <c r="O177" s="228">
        <f>U177=E177</f>
        <v/>
      </c>
      <c r="P177" s="228">
        <f>MONTH(F177)-MONTH(T177)</f>
        <v/>
      </c>
      <c r="Q177" s="228">
        <f>$B$5=X177</f>
        <v/>
      </c>
      <c r="R177" s="228">
        <f>I177-AD177</f>
        <v/>
      </c>
      <c r="S177" s="371" t="n"/>
      <c r="T177" s="372" t="n"/>
      <c r="U177" s="371" t="n"/>
      <c r="V177" s="371" t="n"/>
      <c r="W177" s="371" t="n"/>
      <c r="X177" s="371" t="n"/>
      <c r="Y177" s="371" t="n"/>
      <c r="Z177" s="373" t="n"/>
      <c r="AA177" s="373" t="n"/>
      <c r="AB177" s="371" t="n"/>
      <c r="AC177" s="371" t="n"/>
      <c r="AD177" s="373" t="n"/>
      <c r="AE177" s="371" t="n"/>
      <c r="AF177" s="625" t="n"/>
    </row>
    <row r="178">
      <c r="A178" s="222">
        <f>A177+1</f>
        <v/>
      </c>
      <c r="B178" s="224" t="inlineStr">
        <is>
          <t>CREDIT</t>
        </is>
      </c>
      <c r="C178" s="224" t="inlineStr">
        <is>
          <t>EXPEDITORS CAMBODIA LTD.</t>
        </is>
      </c>
      <c r="D178" s="225" t="inlineStr">
        <is>
          <t>L001-100045898</t>
        </is>
      </c>
      <c r="E178" s="359" t="inlineStr">
        <is>
          <t>TI-0306317-43</t>
        </is>
      </c>
      <c r="F178" s="338" t="n">
        <v>45688</v>
      </c>
      <c r="G178" s="226" t="n"/>
      <c r="H178" s="627" t="n"/>
      <c r="I178" s="627" t="n">
        <v>-189957</v>
      </c>
      <c r="J178" s="223" t="inlineStr">
        <is>
          <t>អនុញ្ញាត (បានប្រកាស)</t>
        </is>
      </c>
      <c r="K178" s="223" t="n"/>
      <c r="L178" s="626">
        <f>I178</f>
        <v/>
      </c>
      <c r="M178" s="598">
        <f>I178-L178</f>
        <v/>
      </c>
      <c r="N178" s="223" t="n"/>
      <c r="O178" s="228">
        <f>U178=E178</f>
        <v/>
      </c>
      <c r="P178" s="228">
        <f>MONTH(F178)-MONTH(T178)</f>
        <v/>
      </c>
      <c r="Q178" s="228">
        <f>$B$5=X178</f>
        <v/>
      </c>
      <c r="R178" s="228">
        <f>I178-AD178</f>
        <v/>
      </c>
      <c r="S178" s="371" t="n"/>
      <c r="T178" s="372" t="n"/>
      <c r="U178" s="371" t="n"/>
      <c r="V178" s="371" t="n"/>
      <c r="W178" s="371" t="n"/>
      <c r="X178" s="371" t="n"/>
      <c r="Y178" s="371" t="n"/>
      <c r="Z178" s="373" t="n"/>
      <c r="AA178" s="373" t="n"/>
      <c r="AB178" s="371" t="n"/>
      <c r="AC178" s="371" t="n"/>
      <c r="AD178" s="373" t="n"/>
      <c r="AE178" s="371" t="n"/>
      <c r="AF178" s="625" t="n"/>
    </row>
    <row r="179">
      <c r="A179" s="222">
        <f>A178+1</f>
        <v/>
      </c>
      <c r="B179" s="224" t="inlineStr">
        <is>
          <t>CREDIT</t>
        </is>
      </c>
      <c r="C179" s="224" t="inlineStr">
        <is>
          <t>EXPEDITORS CAMBODIA LTD.</t>
        </is>
      </c>
      <c r="D179" s="225" t="inlineStr">
        <is>
          <t>L001-100045898</t>
        </is>
      </c>
      <c r="E179" s="359" t="inlineStr">
        <is>
          <t>TI-0306317-42</t>
        </is>
      </c>
      <c r="F179" s="338" t="n">
        <v>45688</v>
      </c>
      <c r="G179" s="226" t="n"/>
      <c r="H179" s="627" t="n"/>
      <c r="I179" s="627" t="n">
        <v>-116414</v>
      </c>
      <c r="J179" s="223" t="inlineStr">
        <is>
          <t>អនុញ្ញាត (បានប្រកាស)</t>
        </is>
      </c>
      <c r="K179" s="223" t="n"/>
      <c r="L179" s="626">
        <f>I179</f>
        <v/>
      </c>
      <c r="M179" s="598">
        <f>I179-L179</f>
        <v/>
      </c>
      <c r="N179" s="223" t="n"/>
      <c r="O179" s="228">
        <f>U179=E179</f>
        <v/>
      </c>
      <c r="P179" s="228">
        <f>MONTH(F179)-MONTH(T179)</f>
        <v/>
      </c>
      <c r="Q179" s="228">
        <f>$B$5=X179</f>
        <v/>
      </c>
      <c r="R179" s="228">
        <f>I179-AD179</f>
        <v/>
      </c>
      <c r="S179" s="371" t="n"/>
      <c r="T179" s="372" t="n"/>
      <c r="U179" s="371" t="n"/>
      <c r="V179" s="371" t="n"/>
      <c r="W179" s="371" t="n"/>
      <c r="X179" s="371" t="n"/>
      <c r="Y179" s="371" t="n"/>
      <c r="Z179" s="373" t="n"/>
      <c r="AA179" s="373" t="n"/>
      <c r="AB179" s="371" t="n"/>
      <c r="AC179" s="371" t="n"/>
      <c r="AD179" s="373" t="n"/>
      <c r="AE179" s="371" t="n"/>
      <c r="AF179" s="625" t="n"/>
    </row>
    <row r="180">
      <c r="A180" s="222">
        <f>A179+1</f>
        <v/>
      </c>
      <c r="B180" s="224" t="inlineStr">
        <is>
          <t>CREDIT</t>
        </is>
      </c>
      <c r="C180" s="224" t="inlineStr">
        <is>
          <t>EXPEDITORS CAMBODIA LTD.</t>
        </is>
      </c>
      <c r="D180" s="225" t="inlineStr">
        <is>
          <t>L001-100045898</t>
        </is>
      </c>
      <c r="E180" s="359" t="inlineStr">
        <is>
          <t>TI-0306317-41</t>
        </is>
      </c>
      <c r="F180" s="338" t="n">
        <v>45688</v>
      </c>
      <c r="G180" s="226" t="n"/>
      <c r="H180" s="627" t="n"/>
      <c r="I180" s="627" t="n">
        <v>-189956.91</v>
      </c>
      <c r="J180" s="223" t="inlineStr">
        <is>
          <t>អនុញ្ញាត (បានប្រកាស)</t>
        </is>
      </c>
      <c r="K180" s="223" t="n"/>
      <c r="L180" s="626">
        <f>I180</f>
        <v/>
      </c>
      <c r="M180" s="598">
        <f>I180-L180</f>
        <v/>
      </c>
      <c r="N180" s="223" t="n"/>
      <c r="O180" s="228">
        <f>U180=E180</f>
        <v/>
      </c>
      <c r="P180" s="228">
        <f>MONTH(F180)-MONTH(T180)</f>
        <v/>
      </c>
      <c r="Q180" s="228">
        <f>$B$5=X180</f>
        <v/>
      </c>
      <c r="R180" s="228">
        <f>I180-AD180</f>
        <v/>
      </c>
      <c r="S180" s="371" t="n"/>
      <c r="T180" s="372" t="n"/>
      <c r="U180" s="371" t="n"/>
      <c r="V180" s="371" t="n"/>
      <c r="W180" s="371" t="n"/>
      <c r="X180" s="371" t="n"/>
      <c r="Y180" s="371" t="n"/>
      <c r="Z180" s="373" t="n"/>
      <c r="AA180" s="373" t="n"/>
      <c r="AB180" s="371" t="n"/>
      <c r="AC180" s="371" t="n"/>
      <c r="AD180" s="373" t="n"/>
      <c r="AE180" s="371" t="n"/>
      <c r="AF180" s="625" t="n"/>
    </row>
    <row r="181">
      <c r="A181" s="222">
        <f>A180+1</f>
        <v/>
      </c>
      <c r="B181" s="224" t="inlineStr">
        <is>
          <t>CREDIT</t>
        </is>
      </c>
      <c r="C181" s="224" t="inlineStr">
        <is>
          <t>EXPEDITORS CAMBODIA LTD.</t>
        </is>
      </c>
      <c r="D181" s="225" t="inlineStr">
        <is>
          <t>L001-100045898</t>
        </is>
      </c>
      <c r="E181" s="359" t="inlineStr">
        <is>
          <t>TI-0306317-40</t>
        </is>
      </c>
      <c r="F181" s="338" t="n">
        <v>45688</v>
      </c>
      <c r="G181" s="226" t="n"/>
      <c r="H181" s="627" t="n"/>
      <c r="I181" s="627" t="n">
        <v>-189973</v>
      </c>
      <c r="J181" s="223" t="inlineStr">
        <is>
          <t>អនុញ្ញាត (បានប្រកាស)</t>
        </is>
      </c>
      <c r="K181" s="223" t="n"/>
      <c r="L181" s="626">
        <f>I181</f>
        <v/>
      </c>
      <c r="M181" s="598">
        <f>I181-L181</f>
        <v/>
      </c>
      <c r="N181" s="223" t="n"/>
      <c r="O181" s="228">
        <f>U181=E181</f>
        <v/>
      </c>
      <c r="P181" s="228">
        <f>MONTH(F181)-MONTH(T181)</f>
        <v/>
      </c>
      <c r="Q181" s="228">
        <f>$B$5=X181</f>
        <v/>
      </c>
      <c r="R181" s="228">
        <f>I181-AD181</f>
        <v/>
      </c>
      <c r="S181" s="371" t="n"/>
      <c r="T181" s="372" t="n"/>
      <c r="U181" s="371" t="n"/>
      <c r="V181" s="371" t="n"/>
      <c r="W181" s="371" t="n"/>
      <c r="X181" s="371" t="n"/>
      <c r="Y181" s="371" t="n"/>
      <c r="Z181" s="373" t="n"/>
      <c r="AA181" s="373" t="n"/>
      <c r="AB181" s="371" t="n"/>
      <c r="AC181" s="371" t="n"/>
      <c r="AD181" s="373" t="n"/>
      <c r="AE181" s="371" t="n"/>
      <c r="AF181" s="625" t="n"/>
    </row>
    <row r="182">
      <c r="A182" s="222">
        <f>A181+1</f>
        <v/>
      </c>
      <c r="B182" s="224" t="inlineStr">
        <is>
          <t>CREDIT</t>
        </is>
      </c>
      <c r="C182" s="224" t="inlineStr">
        <is>
          <t>EXPEDITORS CAMBODIA LTD.</t>
        </is>
      </c>
      <c r="D182" s="225" t="inlineStr">
        <is>
          <t>L001-100045898</t>
        </is>
      </c>
      <c r="E182" s="359" t="inlineStr">
        <is>
          <t>TI-0306317-39</t>
        </is>
      </c>
      <c r="F182" s="338" t="n">
        <v>45688</v>
      </c>
      <c r="G182" s="226" t="n"/>
      <c r="H182" s="627" t="n"/>
      <c r="I182" s="627" t="n">
        <v>-62167</v>
      </c>
      <c r="J182" s="223" t="inlineStr">
        <is>
          <t>អនុញ្ញាត (បានប្រកាស)</t>
        </is>
      </c>
      <c r="K182" s="223" t="n"/>
      <c r="L182" s="626">
        <f>I182</f>
        <v/>
      </c>
      <c r="M182" s="598">
        <f>I182-L182</f>
        <v/>
      </c>
      <c r="N182" s="223" t="n"/>
      <c r="O182" s="228">
        <f>U182=E182</f>
        <v/>
      </c>
      <c r="P182" s="228">
        <f>MONTH(F182)-MONTH(T182)</f>
        <v/>
      </c>
      <c r="Q182" s="228">
        <f>$B$5=X182</f>
        <v/>
      </c>
      <c r="R182" s="228">
        <f>I182-AD182</f>
        <v/>
      </c>
      <c r="S182" s="371" t="n"/>
      <c r="T182" s="372" t="n"/>
      <c r="U182" s="371" t="n"/>
      <c r="V182" s="371" t="n"/>
      <c r="W182" s="371" t="n"/>
      <c r="X182" s="371" t="n"/>
      <c r="Y182" s="371" t="n"/>
      <c r="Z182" s="373" t="n"/>
      <c r="AA182" s="373" t="n"/>
      <c r="AB182" s="371" t="n"/>
      <c r="AC182" s="371" t="n"/>
      <c r="AD182" s="373" t="n"/>
      <c r="AE182" s="371" t="n"/>
      <c r="AF182" s="625" t="n"/>
    </row>
    <row r="183">
      <c r="A183" s="222">
        <f>A182+1</f>
        <v/>
      </c>
      <c r="B183" s="224" t="inlineStr">
        <is>
          <t>CREDIT</t>
        </is>
      </c>
      <c r="C183" s="224" t="inlineStr">
        <is>
          <t>EXPEDITORS CAMBODIA LTD.</t>
        </is>
      </c>
      <c r="D183" s="225" t="inlineStr">
        <is>
          <t>L001-100045898</t>
        </is>
      </c>
      <c r="E183" s="359" t="inlineStr">
        <is>
          <t>TI-0306317-38</t>
        </is>
      </c>
      <c r="F183" s="338" t="n">
        <v>45688</v>
      </c>
      <c r="G183" s="226" t="n"/>
      <c r="H183" s="627" t="n"/>
      <c r="I183" s="627" t="n">
        <v>-192834</v>
      </c>
      <c r="J183" s="223" t="inlineStr">
        <is>
          <t>អនុញ្ញាត (បានប្រកាស)</t>
        </is>
      </c>
      <c r="K183" s="223" t="n"/>
      <c r="L183" s="626">
        <f>I183</f>
        <v/>
      </c>
      <c r="M183" s="598">
        <f>I183-L183</f>
        <v/>
      </c>
      <c r="N183" s="223" t="n"/>
      <c r="O183" s="228">
        <f>U183=E183</f>
        <v/>
      </c>
      <c r="P183" s="228">
        <f>MONTH(F183)-MONTH(T183)</f>
        <v/>
      </c>
      <c r="Q183" s="228">
        <f>$B$5=X183</f>
        <v/>
      </c>
      <c r="R183" s="228">
        <f>I183-AD183</f>
        <v/>
      </c>
      <c r="S183" s="371" t="n"/>
      <c r="T183" s="372" t="n"/>
      <c r="U183" s="371" t="n"/>
      <c r="V183" s="371" t="n"/>
      <c r="W183" s="371" t="n"/>
      <c r="X183" s="371" t="n"/>
      <c r="Y183" s="371" t="n"/>
      <c r="Z183" s="373" t="n"/>
      <c r="AA183" s="373" t="n"/>
      <c r="AB183" s="371" t="n"/>
      <c r="AC183" s="371" t="n"/>
      <c r="AD183" s="373" t="n"/>
      <c r="AE183" s="371" t="n"/>
      <c r="AF183" s="625" t="n"/>
    </row>
    <row r="184">
      <c r="A184" s="222">
        <f>A183+1</f>
        <v/>
      </c>
      <c r="B184" s="224" t="inlineStr">
        <is>
          <t>CREDIT</t>
        </is>
      </c>
      <c r="C184" s="224" t="inlineStr">
        <is>
          <t>EXPEDITORS CAMBODIA LTD.</t>
        </is>
      </c>
      <c r="D184" s="225" t="inlineStr">
        <is>
          <t>L001-100045898</t>
        </is>
      </c>
      <c r="E184" s="359" t="inlineStr">
        <is>
          <t>TI-0306317-37</t>
        </is>
      </c>
      <c r="F184" s="338" t="n">
        <v>45688</v>
      </c>
      <c r="G184" s="226" t="n"/>
      <c r="H184" s="627" t="n"/>
      <c r="I184" s="627" t="n">
        <v>-99501</v>
      </c>
      <c r="J184" s="223" t="inlineStr">
        <is>
          <t>អនុញ្ញាត (បានប្រកាស)</t>
        </is>
      </c>
      <c r="K184" s="223" t="n"/>
      <c r="L184" s="626">
        <f>I184</f>
        <v/>
      </c>
      <c r="M184" s="598">
        <f>I184-L184</f>
        <v/>
      </c>
      <c r="N184" s="223" t="n"/>
      <c r="O184" s="228">
        <f>U184=E184</f>
        <v/>
      </c>
      <c r="P184" s="228">
        <f>MONTH(F184)-MONTH(T184)</f>
        <v/>
      </c>
      <c r="Q184" s="228">
        <f>$B$5=X184</f>
        <v/>
      </c>
      <c r="R184" s="228">
        <f>I184-AD184</f>
        <v/>
      </c>
      <c r="S184" s="371" t="n"/>
      <c r="T184" s="372" t="n"/>
      <c r="U184" s="371" t="n"/>
      <c r="V184" s="371" t="n"/>
      <c r="W184" s="371" t="n"/>
      <c r="X184" s="371" t="n"/>
      <c r="Y184" s="371" t="n"/>
      <c r="Z184" s="373" t="n"/>
      <c r="AA184" s="373" t="n"/>
      <c r="AB184" s="371" t="n"/>
      <c r="AC184" s="371" t="n"/>
      <c r="AD184" s="373" t="n"/>
      <c r="AE184" s="371" t="n"/>
      <c r="AF184" s="625" t="n"/>
    </row>
    <row r="185">
      <c r="A185" s="222">
        <f>A184+1</f>
        <v/>
      </c>
      <c r="B185" s="224" t="inlineStr">
        <is>
          <t>CREDIT</t>
        </is>
      </c>
      <c r="C185" s="224" t="inlineStr">
        <is>
          <t>EXPEDITORS CAMBODIA LTD.</t>
        </is>
      </c>
      <c r="D185" s="225" t="inlineStr">
        <is>
          <t>L001-100045898</t>
        </is>
      </c>
      <c r="E185" s="359" t="inlineStr">
        <is>
          <t>TI-0306317-36</t>
        </is>
      </c>
      <c r="F185" s="338" t="n">
        <v>45688</v>
      </c>
      <c r="G185" s="226" t="n"/>
      <c r="H185" s="627" t="n"/>
      <c r="I185" s="627" t="n">
        <v>-62167</v>
      </c>
      <c r="J185" s="223" t="inlineStr">
        <is>
          <t>អនុញ្ញាត (បានប្រកាស)</t>
        </is>
      </c>
      <c r="K185" s="223" t="n"/>
      <c r="L185" s="626">
        <f>I185</f>
        <v/>
      </c>
      <c r="M185" s="598">
        <f>I185-L185</f>
        <v/>
      </c>
      <c r="N185" s="223" t="n"/>
      <c r="O185" s="228">
        <f>U185=E185</f>
        <v/>
      </c>
      <c r="P185" s="228">
        <f>MONTH(F185)-MONTH(T185)</f>
        <v/>
      </c>
      <c r="Q185" s="228">
        <f>$B$5=X185</f>
        <v/>
      </c>
      <c r="R185" s="228">
        <f>I185-AD185</f>
        <v/>
      </c>
      <c r="S185" s="371" t="n"/>
      <c r="T185" s="372" t="n"/>
      <c r="U185" s="371" t="n"/>
      <c r="V185" s="371" t="n"/>
      <c r="W185" s="371" t="n"/>
      <c r="X185" s="371" t="n"/>
      <c r="Y185" s="371" t="n"/>
      <c r="Z185" s="373" t="n"/>
      <c r="AA185" s="373" t="n"/>
      <c r="AB185" s="371" t="n"/>
      <c r="AC185" s="371" t="n"/>
      <c r="AD185" s="373" t="n"/>
      <c r="AE185" s="371" t="n"/>
      <c r="AF185" s="625" t="n"/>
    </row>
    <row r="186">
      <c r="A186" s="222">
        <f>A185+1</f>
        <v/>
      </c>
      <c r="B186" s="224" t="inlineStr">
        <is>
          <t>CREDIT</t>
        </is>
      </c>
      <c r="C186" s="224" t="inlineStr">
        <is>
          <t>EXPEDITORS CAMBODIA LTD.</t>
        </is>
      </c>
      <c r="D186" s="225" t="inlineStr">
        <is>
          <t>L001-100045898</t>
        </is>
      </c>
      <c r="E186" s="359" t="inlineStr">
        <is>
          <t>TI-0306317-35</t>
        </is>
      </c>
      <c r="F186" s="338" t="n">
        <v>45688</v>
      </c>
      <c r="G186" s="226" t="n"/>
      <c r="H186" s="627" t="n"/>
      <c r="I186" s="627" t="n">
        <v>-192834</v>
      </c>
      <c r="J186" s="223" t="inlineStr">
        <is>
          <t>អនុញ្ញាត (បានប្រកាស)</t>
        </is>
      </c>
      <c r="K186" s="223" t="n"/>
      <c r="L186" s="626">
        <f>I186</f>
        <v/>
      </c>
      <c r="M186" s="598">
        <f>I186-L186</f>
        <v/>
      </c>
      <c r="N186" s="223" t="n"/>
      <c r="O186" s="228">
        <f>U186=E186</f>
        <v/>
      </c>
      <c r="P186" s="228">
        <f>MONTH(F186)-MONTH(T186)</f>
        <v/>
      </c>
      <c r="Q186" s="228">
        <f>$B$5=X186</f>
        <v/>
      </c>
      <c r="R186" s="228">
        <f>I186-AD186</f>
        <v/>
      </c>
      <c r="S186" s="371" t="n"/>
      <c r="T186" s="372" t="n"/>
      <c r="U186" s="371" t="n"/>
      <c r="V186" s="371" t="n"/>
      <c r="W186" s="371" t="n"/>
      <c r="X186" s="371" t="n"/>
      <c r="Y186" s="371" t="n"/>
      <c r="Z186" s="373" t="n"/>
      <c r="AA186" s="373" t="n"/>
      <c r="AB186" s="371" t="n"/>
      <c r="AC186" s="371" t="n"/>
      <c r="AD186" s="373" t="n"/>
      <c r="AE186" s="371" t="n"/>
      <c r="AF186" s="625" t="n"/>
    </row>
    <row r="187">
      <c r="A187" s="222">
        <f>A186+1</f>
        <v/>
      </c>
      <c r="B187" s="224" t="inlineStr">
        <is>
          <t>CREDIT</t>
        </is>
      </c>
      <c r="C187" s="224" t="inlineStr">
        <is>
          <t>EXPEDITORS CAMBODIA LTD.</t>
        </is>
      </c>
      <c r="D187" s="225" t="inlineStr">
        <is>
          <t>L001-100045898</t>
        </is>
      </c>
      <c r="E187" s="359" t="inlineStr">
        <is>
          <t>TI-0306317-34</t>
        </is>
      </c>
      <c r="F187" s="338" t="n">
        <v>45688</v>
      </c>
      <c r="G187" s="226" t="n"/>
      <c r="H187" s="627" t="n"/>
      <c r="I187" s="627" t="n">
        <v>-24836</v>
      </c>
      <c r="J187" s="223" t="inlineStr">
        <is>
          <t>អនុញ្ញាត (បានប្រកាស)</t>
        </is>
      </c>
      <c r="K187" s="223" t="n"/>
      <c r="L187" s="626">
        <f>I187</f>
        <v/>
      </c>
      <c r="M187" s="598">
        <f>I187-L187</f>
        <v/>
      </c>
      <c r="N187" s="223" t="n"/>
      <c r="O187" s="228">
        <f>U187=E187</f>
        <v/>
      </c>
      <c r="P187" s="228">
        <f>MONTH(F187)-MONTH(T187)</f>
        <v/>
      </c>
      <c r="Q187" s="228">
        <f>$B$5=X187</f>
        <v/>
      </c>
      <c r="R187" s="228">
        <f>I187-AD187</f>
        <v/>
      </c>
      <c r="S187" s="371" t="n"/>
      <c r="T187" s="372" t="n"/>
      <c r="U187" s="371" t="n"/>
      <c r="V187" s="371" t="n"/>
      <c r="W187" s="371" t="n"/>
      <c r="X187" s="371" t="n"/>
      <c r="Y187" s="371" t="n"/>
      <c r="Z187" s="373" t="n"/>
      <c r="AA187" s="373" t="n"/>
      <c r="AB187" s="371" t="n"/>
      <c r="AC187" s="371" t="n"/>
      <c r="AD187" s="373" t="n"/>
      <c r="AE187" s="371" t="n"/>
      <c r="AF187" s="625" t="n"/>
    </row>
    <row r="188">
      <c r="A188" s="222">
        <f>A187+1</f>
        <v/>
      </c>
      <c r="B188" s="224" t="inlineStr">
        <is>
          <t>CREDIT</t>
        </is>
      </c>
      <c r="C188" s="224" t="inlineStr">
        <is>
          <t>EXPEDITORS CAMBODIA LTD.</t>
        </is>
      </c>
      <c r="D188" s="225" t="inlineStr">
        <is>
          <t>L001-100045898</t>
        </is>
      </c>
      <c r="E188" s="359" t="inlineStr">
        <is>
          <t>TI-0306317-33</t>
        </is>
      </c>
      <c r="F188" s="338" t="n">
        <v>45688</v>
      </c>
      <c r="G188" s="226" t="n"/>
      <c r="H188" s="627" t="n"/>
      <c r="I188" s="627" t="n">
        <v>-24836</v>
      </c>
      <c r="J188" s="223" t="inlineStr">
        <is>
          <t>អនុញ្ញាត (បានប្រកាស)</t>
        </is>
      </c>
      <c r="K188" s="223" t="n"/>
      <c r="L188" s="626">
        <f>I188</f>
        <v/>
      </c>
      <c r="M188" s="598">
        <f>I188-L188</f>
        <v/>
      </c>
      <c r="N188" s="223" t="n"/>
      <c r="O188" s="228">
        <f>U188=E188</f>
        <v/>
      </c>
      <c r="P188" s="228">
        <f>MONTH(F188)-MONTH(T188)</f>
        <v/>
      </c>
      <c r="Q188" s="228">
        <f>$B$5=X188</f>
        <v/>
      </c>
      <c r="R188" s="228">
        <f>I188-AD188</f>
        <v/>
      </c>
      <c r="S188" s="371" t="n"/>
      <c r="T188" s="372" t="n"/>
      <c r="U188" s="371" t="n"/>
      <c r="V188" s="371" t="n"/>
      <c r="W188" s="371" t="n"/>
      <c r="X188" s="371" t="n"/>
      <c r="Y188" s="371" t="n"/>
      <c r="Z188" s="373" t="n"/>
      <c r="AA188" s="373" t="n"/>
      <c r="AB188" s="371" t="n"/>
      <c r="AC188" s="371" t="n"/>
      <c r="AD188" s="373" t="n"/>
      <c r="AE188" s="371" t="n"/>
      <c r="AF188" s="625" t="n"/>
    </row>
    <row r="189">
      <c r="A189" s="222">
        <f>A188+1</f>
        <v/>
      </c>
      <c r="B189" s="224" t="inlineStr">
        <is>
          <t>CREDIT</t>
        </is>
      </c>
      <c r="C189" s="224" t="inlineStr">
        <is>
          <t>EXPEDITORS CAMBODIA LTD.</t>
        </is>
      </c>
      <c r="D189" s="225" t="inlineStr">
        <is>
          <t>L001-100045898</t>
        </is>
      </c>
      <c r="E189" s="359" t="inlineStr">
        <is>
          <t>TI-0306317-32</t>
        </is>
      </c>
      <c r="F189" s="338" t="n">
        <v>45688</v>
      </c>
      <c r="G189" s="226" t="n"/>
      <c r="H189" s="627" t="n"/>
      <c r="I189" s="627" t="n">
        <v>-30872</v>
      </c>
      <c r="J189" s="223" t="inlineStr">
        <is>
          <t>អនុញ្ញាត (បានប្រកាស)</t>
        </is>
      </c>
      <c r="K189" s="223" t="n"/>
      <c r="L189" s="626">
        <f>I189</f>
        <v/>
      </c>
      <c r="M189" s="598">
        <f>I189-L189</f>
        <v/>
      </c>
      <c r="N189" s="223" t="n"/>
      <c r="O189" s="228">
        <f>U189=E189</f>
        <v/>
      </c>
      <c r="P189" s="228">
        <f>MONTH(F189)-MONTH(T189)</f>
        <v/>
      </c>
      <c r="Q189" s="228">
        <f>$B$5=X189</f>
        <v/>
      </c>
      <c r="R189" s="228">
        <f>I189-AD189</f>
        <v/>
      </c>
      <c r="S189" s="371" t="inlineStr">
        <is>
          <t>Wrong invoice number</t>
        </is>
      </c>
      <c r="T189" s="372" t="n"/>
      <c r="U189" s="371" t="n"/>
      <c r="V189" s="371" t="n"/>
      <c r="W189" s="371" t="n"/>
      <c r="X189" s="371" t="n"/>
      <c r="Y189" s="371" t="n"/>
      <c r="Z189" s="373" t="n"/>
      <c r="AA189" s="373" t="n"/>
      <c r="AB189" s="371" t="n"/>
      <c r="AC189" s="371" t="n"/>
      <c r="AD189" s="373" t="n"/>
      <c r="AE189" s="371" t="n"/>
      <c r="AF189" s="625" t="n"/>
    </row>
    <row r="190">
      <c r="A190" s="222">
        <f>A189+1</f>
        <v/>
      </c>
      <c r="B190" s="224" t="inlineStr">
        <is>
          <t>CREDIT</t>
        </is>
      </c>
      <c r="C190" s="224" t="inlineStr">
        <is>
          <t>EXPEDITORS CAMBODIA LTD.</t>
        </is>
      </c>
      <c r="D190" s="225" t="inlineStr">
        <is>
          <t>L001-100045898</t>
        </is>
      </c>
      <c r="E190" s="359" t="inlineStr">
        <is>
          <t>TI-0306317-31</t>
        </is>
      </c>
      <c r="F190" s="338" t="n">
        <v>45688</v>
      </c>
      <c r="G190" s="226" t="n"/>
      <c r="H190" s="627" t="n"/>
      <c r="I190" s="627" t="n">
        <v>-62167</v>
      </c>
      <c r="J190" s="223" t="inlineStr">
        <is>
          <t>អនុញ្ញាត (បានប្រកាស)</t>
        </is>
      </c>
      <c r="K190" s="223" t="n"/>
      <c r="L190" s="626">
        <f>I190</f>
        <v/>
      </c>
      <c r="M190" s="598">
        <f>I190-L190</f>
        <v/>
      </c>
      <c r="N190" s="223" t="n"/>
      <c r="O190" s="228">
        <f>U190=E190</f>
        <v/>
      </c>
      <c r="P190" s="228">
        <f>MONTH(F190)-MONTH(T190)</f>
        <v/>
      </c>
      <c r="Q190" s="228">
        <f>$B$5=X190</f>
        <v/>
      </c>
      <c r="R190" s="228">
        <f>I190-AD190</f>
        <v/>
      </c>
      <c r="S190" s="371" t="n"/>
      <c r="T190" s="372" t="n"/>
      <c r="U190" s="371" t="n"/>
      <c r="V190" s="371" t="n"/>
      <c r="W190" s="371" t="n"/>
      <c r="X190" s="371" t="n"/>
      <c r="Y190" s="371" t="n"/>
      <c r="Z190" s="373" t="n"/>
      <c r="AA190" s="373" t="n"/>
      <c r="AB190" s="371" t="n"/>
      <c r="AC190" s="371" t="n"/>
      <c r="AD190" s="373" t="n"/>
      <c r="AE190" s="371" t="n"/>
      <c r="AF190" s="625" t="n"/>
    </row>
    <row r="191">
      <c r="A191" s="222">
        <f>A190+1</f>
        <v/>
      </c>
      <c r="B191" s="224" t="inlineStr">
        <is>
          <t>CREDIT</t>
        </is>
      </c>
      <c r="C191" s="224" t="inlineStr">
        <is>
          <t>EXPEDITORS CAMBODIA LTD.</t>
        </is>
      </c>
      <c r="D191" s="225" t="inlineStr">
        <is>
          <t>L001-100045898</t>
        </is>
      </c>
      <c r="E191" s="359" t="inlineStr">
        <is>
          <t>TI-0306317-30</t>
        </is>
      </c>
      <c r="F191" s="338" t="n">
        <v>45688</v>
      </c>
      <c r="G191" s="226" t="n"/>
      <c r="H191" s="627" t="n"/>
      <c r="I191" s="627" t="n">
        <v>-24836</v>
      </c>
      <c r="J191" s="223" t="inlineStr">
        <is>
          <t>អនុញ្ញាត (បានប្រកាស)</t>
        </is>
      </c>
      <c r="K191" s="223" t="n"/>
      <c r="L191" s="626">
        <f>I191</f>
        <v/>
      </c>
      <c r="M191" s="598">
        <f>I191-L191</f>
        <v/>
      </c>
      <c r="N191" s="223" t="n"/>
      <c r="O191" s="228">
        <f>U191=E191</f>
        <v/>
      </c>
      <c r="P191" s="228">
        <f>MONTH(F191)-MONTH(T191)</f>
        <v/>
      </c>
      <c r="Q191" s="228">
        <f>$B$5=X191</f>
        <v/>
      </c>
      <c r="R191" s="228">
        <f>I191-AD191</f>
        <v/>
      </c>
      <c r="S191" s="371" t="n"/>
      <c r="T191" s="372" t="n"/>
      <c r="U191" s="371" t="n"/>
      <c r="V191" s="371" t="n"/>
      <c r="W191" s="371" t="n"/>
      <c r="X191" s="371" t="n"/>
      <c r="Y191" s="371" t="n"/>
      <c r="Z191" s="373" t="n"/>
      <c r="AA191" s="373" t="n"/>
      <c r="AB191" s="371" t="n"/>
      <c r="AC191" s="371" t="n"/>
      <c r="AD191" s="373" t="n"/>
      <c r="AE191" s="371" t="n"/>
      <c r="AF191" s="625" t="n"/>
    </row>
    <row r="192">
      <c r="A192" s="222">
        <f>A191+1</f>
        <v/>
      </c>
      <c r="B192" s="224" t="inlineStr">
        <is>
          <t>CREDIT</t>
        </is>
      </c>
      <c r="C192" s="224" t="inlineStr">
        <is>
          <t>EXPEDITORS CAMBODIA LTD.</t>
        </is>
      </c>
      <c r="D192" s="225" t="inlineStr">
        <is>
          <t>L001-100045898</t>
        </is>
      </c>
      <c r="E192" s="359" t="inlineStr">
        <is>
          <t>TI-0306317-29</t>
        </is>
      </c>
      <c r="F192" s="338" t="n">
        <v>45688</v>
      </c>
      <c r="G192" s="226" t="n"/>
      <c r="H192" s="627" t="n"/>
      <c r="I192" s="627" t="n">
        <v>-253194</v>
      </c>
      <c r="J192" s="223" t="inlineStr">
        <is>
          <t>អនុញ្ញាត (បានប្រកាស)</t>
        </is>
      </c>
      <c r="K192" s="223" t="n"/>
      <c r="L192" s="626">
        <f>I192</f>
        <v/>
      </c>
      <c r="M192" s="598">
        <f>I192-L192</f>
        <v/>
      </c>
      <c r="N192" s="223" t="n"/>
      <c r="O192" s="228">
        <f>U192=E192</f>
        <v/>
      </c>
      <c r="P192" s="228">
        <f>MONTH(F192)-MONTH(T192)</f>
        <v/>
      </c>
      <c r="Q192" s="228">
        <f>$B$5=X192</f>
        <v/>
      </c>
      <c r="R192" s="228">
        <f>I192-AD192</f>
        <v/>
      </c>
      <c r="S192" s="371" t="n"/>
      <c r="T192" s="372" t="n"/>
      <c r="U192" s="371" t="n"/>
      <c r="V192" s="371" t="n"/>
      <c r="W192" s="371" t="n"/>
      <c r="X192" s="371" t="n"/>
      <c r="Y192" s="371" t="n"/>
      <c r="Z192" s="373" t="n"/>
      <c r="AA192" s="373" t="n"/>
      <c r="AB192" s="371" t="n"/>
      <c r="AC192" s="371" t="n"/>
      <c r="AD192" s="373" t="n"/>
      <c r="AE192" s="371" t="n"/>
      <c r="AF192" s="625" t="n"/>
    </row>
    <row r="193">
      <c r="A193" s="222">
        <f>A192+1</f>
        <v/>
      </c>
      <c r="B193" s="224" t="inlineStr">
        <is>
          <t>CREDIT</t>
        </is>
      </c>
      <c r="C193" s="224" t="inlineStr">
        <is>
          <t>EXPEDITORS CAMBODIA LTD.</t>
        </is>
      </c>
      <c r="D193" s="225" t="inlineStr">
        <is>
          <t>L001-100045898</t>
        </is>
      </c>
      <c r="E193" s="359" t="inlineStr">
        <is>
          <t>TI-0306317-28</t>
        </is>
      </c>
      <c r="F193" s="338" t="n">
        <v>45688</v>
      </c>
      <c r="G193" s="226" t="n"/>
      <c r="H193" s="627" t="n"/>
      <c r="I193" s="627" t="n">
        <v>-37319</v>
      </c>
      <c r="J193" s="223" t="inlineStr">
        <is>
          <t>អនុញ្ញាត (បានប្រកាស)</t>
        </is>
      </c>
      <c r="K193" s="223" t="n"/>
      <c r="L193" s="626">
        <f>I193</f>
        <v/>
      </c>
      <c r="M193" s="598">
        <f>I193-L193</f>
        <v/>
      </c>
      <c r="N193" s="223" t="n"/>
      <c r="O193" s="228">
        <f>U193=E193</f>
        <v/>
      </c>
      <c r="P193" s="228">
        <f>MONTH(F193)-MONTH(T193)</f>
        <v/>
      </c>
      <c r="Q193" s="228">
        <f>$B$5=X193</f>
        <v/>
      </c>
      <c r="R193" s="228">
        <f>I193-AD193</f>
        <v/>
      </c>
      <c r="S193" s="371" t="n"/>
      <c r="T193" s="372" t="n"/>
      <c r="U193" s="371" t="n"/>
      <c r="V193" s="371" t="n"/>
      <c r="W193" s="371" t="n"/>
      <c r="X193" s="371" t="n"/>
      <c r="Y193" s="371" t="n"/>
      <c r="Z193" s="373" t="n"/>
      <c r="AA193" s="373" t="n"/>
      <c r="AB193" s="371" t="n"/>
      <c r="AC193" s="371" t="n"/>
      <c r="AD193" s="373" t="n"/>
      <c r="AE193" s="371" t="n"/>
      <c r="AF193" s="625" t="n"/>
    </row>
    <row r="194">
      <c r="A194" s="222">
        <f>A193+1</f>
        <v/>
      </c>
      <c r="B194" s="224" t="inlineStr">
        <is>
          <t>CREDIT</t>
        </is>
      </c>
      <c r="C194" s="224" t="inlineStr">
        <is>
          <t>EXPEDITORS CAMBODIA LTD.</t>
        </is>
      </c>
      <c r="D194" s="225" t="inlineStr">
        <is>
          <t>L001-100045898</t>
        </is>
      </c>
      <c r="E194" s="359" t="inlineStr">
        <is>
          <t>TI-0306317-27</t>
        </is>
      </c>
      <c r="F194" s="338" t="n">
        <v>45688</v>
      </c>
      <c r="G194" s="226" t="n"/>
      <c r="H194" s="627" t="n"/>
      <c r="I194" s="627" t="n">
        <v>-216978</v>
      </c>
      <c r="J194" s="223" t="inlineStr">
        <is>
          <t>អនុញ្ញាត (បានប្រកាស)</t>
        </is>
      </c>
      <c r="K194" s="223" t="n"/>
      <c r="L194" s="626">
        <f>I194</f>
        <v/>
      </c>
      <c r="M194" s="598">
        <f>I194-L194</f>
        <v/>
      </c>
      <c r="N194" s="223" t="n"/>
      <c r="O194" s="228">
        <f>U194=E194</f>
        <v/>
      </c>
      <c r="P194" s="228">
        <f>MONTH(F194)-MONTH(T194)</f>
        <v/>
      </c>
      <c r="Q194" s="228">
        <f>$B$5=X194</f>
        <v/>
      </c>
      <c r="R194" s="228">
        <f>I194-AD194</f>
        <v/>
      </c>
      <c r="S194" s="371" t="n"/>
      <c r="T194" s="372" t="n"/>
      <c r="U194" s="371" t="n"/>
      <c r="V194" s="371" t="n"/>
      <c r="W194" s="371" t="n"/>
      <c r="X194" s="371" t="n"/>
      <c r="Y194" s="371" t="n"/>
      <c r="Z194" s="373" t="n"/>
      <c r="AA194" s="373" t="n"/>
      <c r="AB194" s="371" t="n"/>
      <c r="AC194" s="371" t="n"/>
      <c r="AD194" s="373" t="n"/>
      <c r="AE194" s="371" t="n"/>
      <c r="AF194" s="625" t="n"/>
    </row>
    <row r="195">
      <c r="A195" s="222">
        <f>A194+1</f>
        <v/>
      </c>
      <c r="B195" s="224" t="inlineStr">
        <is>
          <t>CREDIT</t>
        </is>
      </c>
      <c r="C195" s="224" t="inlineStr">
        <is>
          <t>EXPEDITORS CAMBODIA LTD.</t>
        </is>
      </c>
      <c r="D195" s="225" t="inlineStr">
        <is>
          <t>L001-100045898</t>
        </is>
      </c>
      <c r="E195" s="359" t="inlineStr">
        <is>
          <t>TI-0306317-26</t>
        </is>
      </c>
      <c r="F195" s="338" t="n">
        <v>45688</v>
      </c>
      <c r="G195" s="226" t="n"/>
      <c r="H195" s="627" t="n"/>
      <c r="I195" s="627" t="n">
        <v>-253194</v>
      </c>
      <c r="J195" s="223" t="inlineStr">
        <is>
          <t>អនុញ្ញាត (បានប្រកាស)</t>
        </is>
      </c>
      <c r="K195" s="223" t="n"/>
      <c r="L195" s="626">
        <f>I195</f>
        <v/>
      </c>
      <c r="M195" s="598">
        <f>I195-L195</f>
        <v/>
      </c>
      <c r="N195" s="223" t="n"/>
      <c r="O195" s="228">
        <f>U195=E195</f>
        <v/>
      </c>
      <c r="P195" s="228">
        <f>MONTH(F195)-MONTH(T195)</f>
        <v/>
      </c>
      <c r="Q195" s="228">
        <f>$B$5=X195</f>
        <v/>
      </c>
      <c r="R195" s="228">
        <f>I195-AD195</f>
        <v/>
      </c>
      <c r="S195" s="371" t="n"/>
      <c r="T195" s="372" t="n"/>
      <c r="U195" s="371" t="n"/>
      <c r="V195" s="371" t="n"/>
      <c r="W195" s="371" t="n"/>
      <c r="X195" s="371" t="n"/>
      <c r="Y195" s="371" t="n"/>
      <c r="Z195" s="373" t="n"/>
      <c r="AA195" s="373" t="n"/>
      <c r="AB195" s="371" t="n"/>
      <c r="AC195" s="371" t="n"/>
      <c r="AD195" s="373" t="n"/>
      <c r="AE195" s="371" t="n"/>
      <c r="AF195" s="625" t="n"/>
    </row>
    <row r="196">
      <c r="A196" s="222">
        <f>A195+1</f>
        <v/>
      </c>
      <c r="B196" s="224" t="inlineStr">
        <is>
          <t>CREDIT</t>
        </is>
      </c>
      <c r="C196" s="224" t="inlineStr">
        <is>
          <t>EXPEDITORS CAMBODIA LTD.</t>
        </is>
      </c>
      <c r="D196" s="225" t="inlineStr">
        <is>
          <t>L001-100045898</t>
        </is>
      </c>
      <c r="E196" s="359" t="inlineStr">
        <is>
          <t>TI-0306317-25</t>
        </is>
      </c>
      <c r="F196" s="338" t="n">
        <v>45688</v>
      </c>
      <c r="G196" s="226" t="n"/>
      <c r="H196" s="627" t="n"/>
      <c r="I196" s="627" t="n">
        <v>-155499</v>
      </c>
      <c r="J196" s="223" t="inlineStr">
        <is>
          <t>អនុញ្ញាត (បានប្រកាស)</t>
        </is>
      </c>
      <c r="K196" s="223" t="n"/>
      <c r="L196" s="626">
        <f>I196</f>
        <v/>
      </c>
      <c r="M196" s="598">
        <f>I196-L196</f>
        <v/>
      </c>
      <c r="N196" s="223" t="n"/>
      <c r="O196" s="228">
        <f>U196=E196</f>
        <v/>
      </c>
      <c r="P196" s="228">
        <f>MONTH(F196)-MONTH(T196)</f>
        <v/>
      </c>
      <c r="Q196" s="228">
        <f>$B$5=X196</f>
        <v/>
      </c>
      <c r="R196" s="228">
        <f>I196-AD196</f>
        <v/>
      </c>
      <c r="S196" s="371" t="n"/>
      <c r="T196" s="372" t="n"/>
      <c r="U196" s="371" t="n"/>
      <c r="V196" s="371" t="n"/>
      <c r="W196" s="371" t="n"/>
      <c r="X196" s="371" t="n"/>
      <c r="Y196" s="371" t="n"/>
      <c r="Z196" s="373" t="n"/>
      <c r="AA196" s="373" t="n"/>
      <c r="AB196" s="371" t="n"/>
      <c r="AC196" s="371" t="n"/>
      <c r="AD196" s="373" t="n"/>
      <c r="AE196" s="371" t="n"/>
      <c r="AF196" s="625" t="n"/>
    </row>
    <row r="197">
      <c r="A197" s="222">
        <f>A196+1</f>
        <v/>
      </c>
      <c r="B197" s="224" t="inlineStr">
        <is>
          <t>CREDIT</t>
        </is>
      </c>
      <c r="C197" s="224" t="inlineStr">
        <is>
          <t>EXPEDITORS CAMBODIA LTD.</t>
        </is>
      </c>
      <c r="D197" s="225" t="inlineStr">
        <is>
          <t>L001-100045898</t>
        </is>
      </c>
      <c r="E197" s="359" t="inlineStr">
        <is>
          <t>TI-0306317-24</t>
        </is>
      </c>
      <c r="F197" s="338" t="n">
        <v>45688</v>
      </c>
      <c r="G197" s="226" t="n"/>
      <c r="H197" s="627" t="n"/>
      <c r="I197" s="627" t="n">
        <v>-43503</v>
      </c>
      <c r="J197" s="223" t="inlineStr">
        <is>
          <t>អនុញ្ញាត (បានប្រកាស)</t>
        </is>
      </c>
      <c r="K197" s="223" t="n"/>
      <c r="L197" s="626">
        <f>I197</f>
        <v/>
      </c>
      <c r="M197" s="598">
        <f>I197-L197</f>
        <v/>
      </c>
      <c r="N197" s="223" t="n"/>
      <c r="O197" s="228">
        <f>U197=E197</f>
        <v/>
      </c>
      <c r="P197" s="228">
        <f>MONTH(F197)-MONTH(T197)</f>
        <v/>
      </c>
      <c r="Q197" s="228">
        <f>$B$5=X197</f>
        <v/>
      </c>
      <c r="R197" s="228">
        <f>I197-AD197</f>
        <v/>
      </c>
      <c r="S197" s="371" t="n"/>
      <c r="T197" s="372" t="n"/>
      <c r="U197" s="371" t="n"/>
      <c r="V197" s="371" t="n"/>
      <c r="W197" s="371" t="n"/>
      <c r="X197" s="371" t="n"/>
      <c r="Y197" s="371" t="n"/>
      <c r="Z197" s="373" t="n"/>
      <c r="AA197" s="373" t="n"/>
      <c r="AB197" s="371" t="n"/>
      <c r="AC197" s="371" t="n"/>
      <c r="AD197" s="373" t="n"/>
      <c r="AE197" s="371" t="n"/>
      <c r="AF197" s="625" t="n"/>
    </row>
    <row r="198">
      <c r="A198" s="222">
        <f>A197+1</f>
        <v/>
      </c>
      <c r="B198" s="224" t="inlineStr">
        <is>
          <t>CREDIT</t>
        </is>
      </c>
      <c r="C198" s="224" t="inlineStr">
        <is>
          <t>EXPEDITORS CAMBODIA LTD.</t>
        </is>
      </c>
      <c r="D198" s="225" t="inlineStr">
        <is>
          <t>L001-100045898</t>
        </is>
      </c>
      <c r="E198" s="359" t="inlineStr">
        <is>
          <t>TI-0306317-23</t>
        </is>
      </c>
      <c r="F198" s="338" t="n">
        <v>45688</v>
      </c>
      <c r="G198" s="226" t="n"/>
      <c r="H198" s="627" t="n"/>
      <c r="I198" s="627" t="n">
        <v>-24832</v>
      </c>
      <c r="J198" s="223" t="inlineStr">
        <is>
          <t>អនុញ្ញាត (បានប្រកាស)</t>
        </is>
      </c>
      <c r="K198" s="223" t="n"/>
      <c r="L198" s="626">
        <f>I198</f>
        <v/>
      </c>
      <c r="M198" s="598">
        <f>I198-L198</f>
        <v/>
      </c>
      <c r="N198" s="223" t="n"/>
      <c r="O198" s="228">
        <f>U198=E198</f>
        <v/>
      </c>
      <c r="P198" s="228">
        <f>MONTH(F198)-MONTH(T198)</f>
        <v/>
      </c>
      <c r="Q198" s="228">
        <f>$B$5=X198</f>
        <v/>
      </c>
      <c r="R198" s="228">
        <f>I198-AD198</f>
        <v/>
      </c>
      <c r="S198" s="371" t="n"/>
      <c r="T198" s="372" t="n"/>
      <c r="U198" s="371" t="n"/>
      <c r="V198" s="371" t="n"/>
      <c r="W198" s="371" t="n"/>
      <c r="X198" s="371" t="n"/>
      <c r="Y198" s="371" t="n"/>
      <c r="Z198" s="373" t="n"/>
      <c r="AA198" s="373" t="n"/>
      <c r="AB198" s="371" t="n"/>
      <c r="AC198" s="371" t="n"/>
      <c r="AD198" s="373" t="n"/>
      <c r="AE198" s="371" t="n"/>
      <c r="AF198" s="625" t="n"/>
    </row>
    <row r="199">
      <c r="A199" s="222">
        <f>A198+1</f>
        <v/>
      </c>
      <c r="B199" s="224" t="inlineStr">
        <is>
          <t>CREDIT</t>
        </is>
      </c>
      <c r="C199" s="224" t="inlineStr">
        <is>
          <t>EXPEDITORS CAMBODIA LTD.</t>
        </is>
      </c>
      <c r="D199" s="225" t="inlineStr">
        <is>
          <t>L001-100045898</t>
        </is>
      </c>
      <c r="E199" s="359" t="inlineStr">
        <is>
          <t>TI-0306317-22</t>
        </is>
      </c>
      <c r="F199" s="338" t="n">
        <v>45688</v>
      </c>
      <c r="G199" s="226" t="n"/>
      <c r="H199" s="627" t="n"/>
      <c r="I199" s="627" t="n">
        <v>-92910</v>
      </c>
      <c r="J199" s="223" t="inlineStr">
        <is>
          <t>អនុញ្ញាត (បានប្រកាស)</t>
        </is>
      </c>
      <c r="K199" s="223" t="n"/>
      <c r="L199" s="626">
        <f>I199</f>
        <v/>
      </c>
      <c r="M199" s="598">
        <f>I199-L199</f>
        <v/>
      </c>
      <c r="N199" s="223" t="n"/>
      <c r="O199" s="228">
        <f>U199=E199</f>
        <v/>
      </c>
      <c r="P199" s="228">
        <f>MONTH(F199)-MONTH(T199)</f>
        <v/>
      </c>
      <c r="Q199" s="228">
        <f>$B$5=X199</f>
        <v/>
      </c>
      <c r="R199" s="228">
        <f>I199-AD199</f>
        <v/>
      </c>
      <c r="S199" s="371" t="n"/>
      <c r="T199" s="372" t="n"/>
      <c r="U199" s="371" t="n"/>
      <c r="V199" s="371" t="n"/>
      <c r="W199" s="371" t="n"/>
      <c r="X199" s="371" t="n"/>
      <c r="Y199" s="371" t="n"/>
      <c r="Z199" s="373" t="n"/>
      <c r="AA199" s="373" t="n"/>
      <c r="AB199" s="371" t="n"/>
      <c r="AC199" s="371" t="n"/>
      <c r="AD199" s="373" t="n"/>
      <c r="AE199" s="371" t="n"/>
      <c r="AF199" s="625" t="n"/>
    </row>
    <row r="200">
      <c r="A200" s="222">
        <f>A199+1</f>
        <v/>
      </c>
      <c r="B200" s="224" t="inlineStr">
        <is>
          <t>CREDIT</t>
        </is>
      </c>
      <c r="C200" s="224" t="inlineStr">
        <is>
          <t>EXPEDITORS CAMBODIA LTD.</t>
        </is>
      </c>
      <c r="D200" s="225" t="inlineStr">
        <is>
          <t>L001-100045898</t>
        </is>
      </c>
      <c r="E200" s="359" t="inlineStr">
        <is>
          <t>TI-0306317-21</t>
        </is>
      </c>
      <c r="F200" s="338" t="n">
        <v>45688</v>
      </c>
      <c r="G200" s="226" t="n"/>
      <c r="H200" s="627" t="n"/>
      <c r="I200" s="627" t="n">
        <v>-43503</v>
      </c>
      <c r="J200" s="223" t="inlineStr">
        <is>
          <t>អនុញ្ញាត (បានប្រកាស)</t>
        </is>
      </c>
      <c r="K200" s="223" t="n"/>
      <c r="L200" s="626">
        <f>I200</f>
        <v/>
      </c>
      <c r="M200" s="598">
        <f>I200-L200</f>
        <v/>
      </c>
      <c r="N200" s="223" t="n"/>
      <c r="O200" s="228">
        <f>U200=E200</f>
        <v/>
      </c>
      <c r="P200" s="228">
        <f>MONTH(F200)-MONTH(T200)</f>
        <v/>
      </c>
      <c r="Q200" s="228">
        <f>$B$5=X200</f>
        <v/>
      </c>
      <c r="R200" s="228">
        <f>I200-AD200</f>
        <v/>
      </c>
      <c r="S200" s="371" t="n"/>
      <c r="T200" s="372" t="n"/>
      <c r="U200" s="371" t="n"/>
      <c r="V200" s="371" t="n"/>
      <c r="W200" s="371" t="n"/>
      <c r="X200" s="371" t="n"/>
      <c r="Y200" s="371" t="n"/>
      <c r="Z200" s="373" t="n"/>
      <c r="AA200" s="373" t="n"/>
      <c r="AB200" s="371" t="n"/>
      <c r="AC200" s="371" t="n"/>
      <c r="AD200" s="373" t="n"/>
      <c r="AE200" s="371" t="n"/>
      <c r="AF200" s="625" t="n"/>
    </row>
    <row r="201">
      <c r="A201" s="222">
        <f>A200+1</f>
        <v/>
      </c>
      <c r="B201" s="224" t="inlineStr">
        <is>
          <t>CREDIT</t>
        </is>
      </c>
      <c r="C201" s="224" t="inlineStr">
        <is>
          <t>EXPEDITORS CAMBODIA LTD.</t>
        </is>
      </c>
      <c r="D201" s="225" t="inlineStr">
        <is>
          <t>L001-100045898</t>
        </is>
      </c>
      <c r="E201" s="359" t="inlineStr">
        <is>
          <t>TI-0306317-20</t>
        </is>
      </c>
      <c r="F201" s="338" t="n">
        <v>45688</v>
      </c>
      <c r="G201" s="226" t="n"/>
      <c r="H201" s="627" t="n"/>
      <c r="I201" s="627" t="n">
        <v>-49539</v>
      </c>
      <c r="J201" s="223" t="inlineStr">
        <is>
          <t>អនុញ្ញាត (បានប្រកាស)</t>
        </is>
      </c>
      <c r="K201" s="223" t="n"/>
      <c r="L201" s="626">
        <f>I201</f>
        <v/>
      </c>
      <c r="M201" s="598">
        <f>I201-L201</f>
        <v/>
      </c>
      <c r="N201" s="223" t="n"/>
      <c r="O201" s="228">
        <f>U201=E201</f>
        <v/>
      </c>
      <c r="P201" s="228">
        <f>MONTH(F201)-MONTH(T201)</f>
        <v/>
      </c>
      <c r="Q201" s="228">
        <f>$B$5=X201</f>
        <v/>
      </c>
      <c r="R201" s="228">
        <f>I201-AD201</f>
        <v/>
      </c>
      <c r="S201" s="371" t="n"/>
      <c r="T201" s="372" t="n"/>
      <c r="U201" s="371" t="n"/>
      <c r="V201" s="371" t="n"/>
      <c r="W201" s="371" t="n"/>
      <c r="X201" s="371" t="n"/>
      <c r="Y201" s="371" t="n"/>
      <c r="Z201" s="373" t="n"/>
      <c r="AA201" s="373" t="n"/>
      <c r="AB201" s="371" t="n"/>
      <c r="AC201" s="371" t="n"/>
      <c r="AD201" s="373" t="n"/>
      <c r="AE201" s="371" t="n"/>
      <c r="AF201" s="625" t="n"/>
    </row>
    <row r="202">
      <c r="A202" s="222">
        <f>A201+1</f>
        <v/>
      </c>
      <c r="B202" s="224" t="inlineStr">
        <is>
          <t>CREDIT</t>
        </is>
      </c>
      <c r="C202" s="224" t="inlineStr">
        <is>
          <t>EXPEDITORS CAMBODIA LTD.</t>
        </is>
      </c>
      <c r="D202" s="225" t="inlineStr">
        <is>
          <t>L001-100045898</t>
        </is>
      </c>
      <c r="E202" s="359" t="inlineStr">
        <is>
          <t>TI-0306317-19</t>
        </is>
      </c>
      <c r="F202" s="338" t="n">
        <v>45688</v>
      </c>
      <c r="G202" s="226" t="n"/>
      <c r="H202" s="627" t="n"/>
      <c r="I202" s="627" t="n">
        <v>-43503</v>
      </c>
      <c r="J202" s="223" t="inlineStr">
        <is>
          <t>អនុញ្ញាត (បានប្រកាស)</t>
        </is>
      </c>
      <c r="K202" s="223" t="n"/>
      <c r="L202" s="626">
        <f>I202</f>
        <v/>
      </c>
      <c r="M202" s="598">
        <f>I202-L202</f>
        <v/>
      </c>
      <c r="N202" s="223" t="n"/>
      <c r="O202" s="228">
        <f>U202=E202</f>
        <v/>
      </c>
      <c r="P202" s="228">
        <f>MONTH(F202)-MONTH(T202)</f>
        <v/>
      </c>
      <c r="Q202" s="228">
        <f>$B$5=X202</f>
        <v/>
      </c>
      <c r="R202" s="228">
        <f>I202-AD202</f>
        <v/>
      </c>
      <c r="S202" s="371" t="n"/>
      <c r="T202" s="372" t="n"/>
      <c r="U202" s="371" t="n"/>
      <c r="V202" s="371" t="n"/>
      <c r="W202" s="371" t="n"/>
      <c r="X202" s="371" t="n"/>
      <c r="Y202" s="371" t="n"/>
      <c r="Z202" s="373" t="n"/>
      <c r="AA202" s="373" t="n"/>
      <c r="AB202" s="371" t="n"/>
      <c r="AC202" s="371" t="n"/>
      <c r="AD202" s="373" t="n"/>
      <c r="AE202" s="371" t="n"/>
      <c r="AF202" s="625" t="n"/>
    </row>
    <row r="203">
      <c r="A203" s="222">
        <f>A202+1</f>
        <v/>
      </c>
      <c r="B203" s="224" t="inlineStr">
        <is>
          <t>CREDIT</t>
        </is>
      </c>
      <c r="C203" s="224" t="inlineStr">
        <is>
          <t>EXPEDITORS CAMBODIA LTD.</t>
        </is>
      </c>
      <c r="D203" s="225" t="inlineStr">
        <is>
          <t>L001-100045898</t>
        </is>
      </c>
      <c r="E203" s="359" t="inlineStr">
        <is>
          <t>TI-0306317-18</t>
        </is>
      </c>
      <c r="F203" s="338" t="n">
        <v>45688</v>
      </c>
      <c r="G203" s="226" t="n"/>
      <c r="H203" s="627" t="n"/>
      <c r="I203" s="627" t="n">
        <v>-123645</v>
      </c>
      <c r="J203" s="223" t="inlineStr">
        <is>
          <t>អនុញ្ញាត (បានប្រកាស)</t>
        </is>
      </c>
      <c r="K203" s="223" t="n"/>
      <c r="L203" s="626">
        <f>I203</f>
        <v/>
      </c>
      <c r="M203" s="598">
        <f>I203-L203</f>
        <v/>
      </c>
      <c r="N203" s="223" t="n"/>
      <c r="O203" s="228">
        <f>U203=E203</f>
        <v/>
      </c>
      <c r="P203" s="228">
        <f>MONTH(F203)-MONTH(T203)</f>
        <v/>
      </c>
      <c r="Q203" s="228">
        <f>$B$5=X203</f>
        <v/>
      </c>
      <c r="R203" s="228">
        <f>I203-AD203</f>
        <v/>
      </c>
      <c r="S203" s="371" t="n"/>
      <c r="T203" s="372" t="n"/>
      <c r="U203" s="371" t="n"/>
      <c r="V203" s="371" t="n"/>
      <c r="W203" s="371" t="n"/>
      <c r="X203" s="371" t="n"/>
      <c r="Y203" s="371" t="n"/>
      <c r="Z203" s="373" t="n"/>
      <c r="AA203" s="373" t="n"/>
      <c r="AB203" s="371" t="n"/>
      <c r="AC203" s="371" t="n"/>
      <c r="AD203" s="373" t="n"/>
      <c r="AE203" s="371" t="n"/>
      <c r="AF203" s="625" t="n"/>
    </row>
    <row r="204">
      <c r="A204" s="222">
        <f>A203+1</f>
        <v/>
      </c>
      <c r="B204" s="224" t="inlineStr">
        <is>
          <t>CREDIT</t>
        </is>
      </c>
      <c r="C204" s="224" t="inlineStr">
        <is>
          <t>EXPEDITORS CAMBODIA LTD.</t>
        </is>
      </c>
      <c r="D204" s="225" t="inlineStr">
        <is>
          <t>L001-100045898</t>
        </is>
      </c>
      <c r="E204" s="359" t="inlineStr">
        <is>
          <t>TI-0306317-17</t>
        </is>
      </c>
      <c r="F204" s="338" t="n">
        <v>45688</v>
      </c>
      <c r="G204" s="226" t="n"/>
      <c r="H204" s="627" t="n"/>
      <c r="I204" s="627" t="n">
        <v>-148908</v>
      </c>
      <c r="J204" s="223" t="inlineStr">
        <is>
          <t>អនុញ្ញាត (បានប្រកាស)</t>
        </is>
      </c>
      <c r="K204" s="223" t="n"/>
      <c r="L204" s="626">
        <f>I204</f>
        <v/>
      </c>
      <c r="M204" s="598">
        <f>I204-L204</f>
        <v/>
      </c>
      <c r="N204" s="223" t="n"/>
      <c r="O204" s="228">
        <f>U204=E204</f>
        <v/>
      </c>
      <c r="P204" s="228">
        <f>MONTH(F204)-MONTH(T204)</f>
        <v/>
      </c>
      <c r="Q204" s="228">
        <f>$B$5=X204</f>
        <v/>
      </c>
      <c r="R204" s="228">
        <f>I204-AD204</f>
        <v/>
      </c>
      <c r="S204" s="371" t="n"/>
      <c r="T204" s="372" t="n"/>
      <c r="U204" s="371" t="n"/>
      <c r="V204" s="371" t="n"/>
      <c r="W204" s="371" t="n"/>
      <c r="X204" s="371" t="n"/>
      <c r="Y204" s="371" t="n"/>
      <c r="Z204" s="373" t="n"/>
      <c r="AA204" s="373" t="n"/>
      <c r="AB204" s="371" t="n"/>
      <c r="AC204" s="371" t="n"/>
      <c r="AD204" s="373" t="n"/>
      <c r="AE204" s="371" t="n"/>
      <c r="AF204" s="625" t="n"/>
    </row>
    <row r="205">
      <c r="A205" s="222">
        <f>A204+1</f>
        <v/>
      </c>
      <c r="B205" s="224" t="inlineStr">
        <is>
          <t>CREDIT</t>
        </is>
      </c>
      <c r="C205" s="224" t="inlineStr">
        <is>
          <t>EXPEDITORS CAMBODIA LTD.</t>
        </is>
      </c>
      <c r="D205" s="225" t="inlineStr">
        <is>
          <t>L001-100045898</t>
        </is>
      </c>
      <c r="E205" s="359" t="inlineStr">
        <is>
          <t>TI-0306317-16</t>
        </is>
      </c>
      <c r="F205" s="338" t="n">
        <v>45688</v>
      </c>
      <c r="G205" s="226" t="n"/>
      <c r="H205" s="627" t="n"/>
      <c r="I205" s="627" t="n">
        <v>-42252</v>
      </c>
      <c r="J205" s="223" t="inlineStr">
        <is>
          <t>អនុញ្ញាត (បានប្រកាស)</t>
        </is>
      </c>
      <c r="K205" s="223" t="n"/>
      <c r="L205" s="626">
        <f>I205</f>
        <v/>
      </c>
      <c r="M205" s="598">
        <f>I205-L205</f>
        <v/>
      </c>
      <c r="N205" s="223" t="n"/>
      <c r="O205" s="228">
        <f>U205=E205</f>
        <v/>
      </c>
      <c r="P205" s="228">
        <f>MONTH(F205)-MONTH(T205)</f>
        <v/>
      </c>
      <c r="Q205" s="228">
        <f>$B$5=X205</f>
        <v/>
      </c>
      <c r="R205" s="228">
        <f>I205-AD205</f>
        <v/>
      </c>
      <c r="S205" s="371" t="n"/>
      <c r="T205" s="372" t="n"/>
      <c r="U205" s="371" t="n"/>
      <c r="V205" s="371" t="n"/>
      <c r="W205" s="371" t="n"/>
      <c r="X205" s="371" t="n"/>
      <c r="Y205" s="371" t="n"/>
      <c r="Z205" s="373" t="n"/>
      <c r="AA205" s="373" t="n"/>
      <c r="AB205" s="371" t="n"/>
      <c r="AC205" s="371" t="n"/>
      <c r="AD205" s="373" t="n"/>
      <c r="AE205" s="371" t="n"/>
      <c r="AF205" s="625" t="n"/>
    </row>
    <row r="206">
      <c r="A206" s="222">
        <f>A205+1</f>
        <v/>
      </c>
      <c r="B206" s="224" t="inlineStr">
        <is>
          <t>CREDIT</t>
        </is>
      </c>
      <c r="C206" s="224" t="inlineStr">
        <is>
          <t>EXPEDITORS CAMBODIA LTD.</t>
        </is>
      </c>
      <c r="D206" s="225" t="inlineStr">
        <is>
          <t>L001-100045898</t>
        </is>
      </c>
      <c r="E206" s="359" t="inlineStr">
        <is>
          <t>TI-0306317-15</t>
        </is>
      </c>
      <c r="F206" s="338" t="n">
        <v>45688</v>
      </c>
      <c r="G206" s="226" t="n"/>
      <c r="H206" s="627" t="n"/>
      <c r="I206" s="627" t="n">
        <v>-60360</v>
      </c>
      <c r="J206" s="223" t="inlineStr">
        <is>
          <t>អនុញ្ញាត (បានប្រកាស)</t>
        </is>
      </c>
      <c r="K206" s="223" t="n"/>
      <c r="L206" s="626">
        <f>I206</f>
        <v/>
      </c>
      <c r="M206" s="598">
        <f>I206-L206</f>
        <v/>
      </c>
      <c r="N206" s="223" t="n"/>
      <c r="O206" s="228">
        <f>U206=E206</f>
        <v/>
      </c>
      <c r="P206" s="228">
        <f>MONTH(F206)-MONTH(T206)</f>
        <v/>
      </c>
      <c r="Q206" s="228">
        <f>$B$5=X206</f>
        <v/>
      </c>
      <c r="R206" s="228">
        <f>I206-AD206</f>
        <v/>
      </c>
      <c r="S206" s="371" t="n"/>
      <c r="T206" s="372" t="n"/>
      <c r="U206" s="371" t="n"/>
      <c r="V206" s="371" t="n"/>
      <c r="W206" s="371" t="n"/>
      <c r="X206" s="371" t="n"/>
      <c r="Y206" s="371" t="n"/>
      <c r="Z206" s="373" t="n"/>
      <c r="AA206" s="373" t="n"/>
      <c r="AB206" s="371" t="n"/>
      <c r="AC206" s="371" t="n"/>
      <c r="AD206" s="373" t="n"/>
      <c r="AE206" s="371" t="n"/>
      <c r="AF206" s="625" t="n"/>
    </row>
    <row r="207">
      <c r="A207" s="222">
        <f>A206+1</f>
        <v/>
      </c>
      <c r="B207" s="224" t="inlineStr">
        <is>
          <t>CREDIT</t>
        </is>
      </c>
      <c r="C207" s="224" t="inlineStr">
        <is>
          <t>EXPEDITORS CAMBODIA LTD.</t>
        </is>
      </c>
      <c r="D207" s="225" t="inlineStr">
        <is>
          <t>L001-100045898</t>
        </is>
      </c>
      <c r="E207" s="359" t="inlineStr">
        <is>
          <t>TI-0306317-14</t>
        </is>
      </c>
      <c r="F207" s="338" t="n">
        <v>45688</v>
      </c>
      <c r="G207" s="226" t="n"/>
      <c r="H207" s="627" t="n"/>
      <c r="I207" s="627" t="n">
        <v>-78468</v>
      </c>
      <c r="J207" s="223" t="inlineStr">
        <is>
          <t>អនុញ្ញាត (បានប្រកាស)</t>
        </is>
      </c>
      <c r="K207" s="223" t="n"/>
      <c r="L207" s="626">
        <f>I207</f>
        <v/>
      </c>
      <c r="M207" s="598">
        <f>I207-L207</f>
        <v/>
      </c>
      <c r="N207" s="223" t="n"/>
      <c r="O207" s="228">
        <f>U207=E207</f>
        <v/>
      </c>
      <c r="P207" s="228">
        <f>MONTH(F207)-MONTH(T207)</f>
        <v/>
      </c>
      <c r="Q207" s="228">
        <f>$B$5=X207</f>
        <v/>
      </c>
      <c r="R207" s="228">
        <f>I207-AD207</f>
        <v/>
      </c>
      <c r="S207" s="371" t="n"/>
      <c r="T207" s="372" t="n"/>
      <c r="U207" s="371" t="n"/>
      <c r="V207" s="371" t="n"/>
      <c r="W207" s="371" t="n"/>
      <c r="X207" s="371" t="n"/>
      <c r="Y207" s="371" t="n"/>
      <c r="Z207" s="373" t="n"/>
      <c r="AA207" s="373" t="n"/>
      <c r="AB207" s="371" t="n"/>
      <c r="AC207" s="371" t="n"/>
      <c r="AD207" s="373" t="n"/>
      <c r="AE207" s="371" t="n"/>
      <c r="AF207" s="625" t="n"/>
    </row>
    <row r="208">
      <c r="A208" s="222">
        <f>A207+1</f>
        <v/>
      </c>
      <c r="B208" s="224" t="inlineStr">
        <is>
          <t>CREDIT</t>
        </is>
      </c>
      <c r="C208" s="224" t="inlineStr">
        <is>
          <t>EXPEDITORS CAMBODIA LTD.</t>
        </is>
      </c>
      <c r="D208" s="225" t="inlineStr">
        <is>
          <t>L001-100045898</t>
        </is>
      </c>
      <c r="E208" s="359" t="inlineStr">
        <is>
          <t>TI-0306317-13</t>
        </is>
      </c>
      <c r="F208" s="338" t="n">
        <v>45688</v>
      </c>
      <c r="G208" s="226" t="n"/>
      <c r="H208" s="627" t="n"/>
      <c r="I208" s="627" t="n">
        <v>-187116</v>
      </c>
      <c r="J208" s="223" t="inlineStr">
        <is>
          <t>អនុញ្ញាត (បានប្រកាស)</t>
        </is>
      </c>
      <c r="K208" s="223" t="n"/>
      <c r="L208" s="626">
        <f>I208</f>
        <v/>
      </c>
      <c r="M208" s="598">
        <f>I208-L208</f>
        <v/>
      </c>
      <c r="N208" s="223" t="n"/>
      <c r="O208" s="228">
        <f>U208=E208</f>
        <v/>
      </c>
      <c r="P208" s="228">
        <f>MONTH(F208)-MONTH(T208)</f>
        <v/>
      </c>
      <c r="Q208" s="228">
        <f>$B$5=X208</f>
        <v/>
      </c>
      <c r="R208" s="228">
        <f>I208-AD208</f>
        <v/>
      </c>
      <c r="S208" s="371" t="n"/>
      <c r="T208" s="372" t="n"/>
      <c r="U208" s="371" t="n"/>
      <c r="V208" s="371" t="n"/>
      <c r="W208" s="371" t="n"/>
      <c r="X208" s="371" t="n"/>
      <c r="Y208" s="371" t="n"/>
      <c r="Z208" s="373" t="n"/>
      <c r="AA208" s="373" t="n"/>
      <c r="AB208" s="371" t="n"/>
      <c r="AC208" s="371" t="n"/>
      <c r="AD208" s="373" t="n"/>
      <c r="AE208" s="371" t="n"/>
      <c r="AF208" s="625" t="n"/>
    </row>
    <row r="209">
      <c r="A209" s="222">
        <f>A208+1</f>
        <v/>
      </c>
      <c r="B209" s="224" t="inlineStr">
        <is>
          <t>CREDIT</t>
        </is>
      </c>
      <c r="C209" s="224" t="inlineStr">
        <is>
          <t>EXPEDITORS CAMBODIA LTD.</t>
        </is>
      </c>
      <c r="D209" s="225" t="inlineStr">
        <is>
          <t>L001-100045898</t>
        </is>
      </c>
      <c r="E209" s="359" t="inlineStr">
        <is>
          <t>TI-0306317-12</t>
        </is>
      </c>
      <c r="F209" s="338" t="n">
        <v>45688</v>
      </c>
      <c r="G209" s="226" t="n"/>
      <c r="H209" s="627" t="n"/>
      <c r="I209" s="627" t="n">
        <v>-18108</v>
      </c>
      <c r="J209" s="223" t="inlineStr">
        <is>
          <t>អនុញ្ញាត (បានប្រកាស)</t>
        </is>
      </c>
      <c r="K209" s="223" t="n"/>
      <c r="L209" s="626">
        <f>I209</f>
        <v/>
      </c>
      <c r="M209" s="598">
        <f>I209-L209</f>
        <v/>
      </c>
      <c r="N209" s="223" t="n"/>
      <c r="O209" s="228">
        <f>U209=E209</f>
        <v/>
      </c>
      <c r="P209" s="228">
        <f>MONTH(F209)-MONTH(T209)</f>
        <v/>
      </c>
      <c r="Q209" s="228">
        <f>$B$5=X209</f>
        <v/>
      </c>
      <c r="R209" s="228">
        <f>I209-AD209</f>
        <v/>
      </c>
      <c r="S209" s="371" t="n"/>
      <c r="T209" s="372" t="n"/>
      <c r="U209" s="371" t="n"/>
      <c r="V209" s="371" t="n"/>
      <c r="W209" s="371" t="n"/>
      <c r="X209" s="371" t="n"/>
      <c r="Y209" s="371" t="n"/>
      <c r="Z209" s="373" t="n"/>
      <c r="AA209" s="373" t="n"/>
      <c r="AB209" s="371" t="n"/>
      <c r="AC209" s="371" t="n"/>
      <c r="AD209" s="373" t="n"/>
      <c r="AE209" s="371" t="n"/>
      <c r="AF209" s="625" t="n"/>
    </row>
    <row r="210">
      <c r="A210" s="222">
        <f>A209+1</f>
        <v/>
      </c>
      <c r="B210" s="224" t="inlineStr">
        <is>
          <t>CREDIT</t>
        </is>
      </c>
      <c r="C210" s="224" t="inlineStr">
        <is>
          <t>EXPEDITORS CAMBODIA LTD.</t>
        </is>
      </c>
      <c r="D210" s="225" t="inlineStr">
        <is>
          <t>L001-100045898</t>
        </is>
      </c>
      <c r="E210" s="359" t="inlineStr">
        <is>
          <t>TI-0306317-11</t>
        </is>
      </c>
      <c r="F210" s="338" t="n">
        <v>45688</v>
      </c>
      <c r="G210" s="226" t="n"/>
      <c r="H210" s="627" t="n"/>
      <c r="I210" s="627" t="n">
        <v>-78468</v>
      </c>
      <c r="J210" s="223" t="inlineStr">
        <is>
          <t>អនុញ្ញាត (បានប្រកាស)</t>
        </is>
      </c>
      <c r="K210" s="223" t="n"/>
      <c r="L210" s="626">
        <f>I210</f>
        <v/>
      </c>
      <c r="M210" s="598">
        <f>I210-L210</f>
        <v/>
      </c>
      <c r="N210" s="223" t="n"/>
      <c r="O210" s="228">
        <f>U210=E210</f>
        <v/>
      </c>
      <c r="P210" s="228">
        <f>MONTH(F210)-MONTH(T210)</f>
        <v/>
      </c>
      <c r="Q210" s="228">
        <f>$B$5=X210</f>
        <v/>
      </c>
      <c r="R210" s="228">
        <f>I210-AD210</f>
        <v/>
      </c>
      <c r="S210" s="371" t="inlineStr">
        <is>
          <t>Wrong invoice number</t>
        </is>
      </c>
      <c r="T210" s="372" t="n"/>
      <c r="U210" s="371" t="n"/>
      <c r="V210" s="371" t="n"/>
      <c r="W210" s="371" t="n"/>
      <c r="X210" s="371" t="n"/>
      <c r="Y210" s="371" t="n"/>
      <c r="Z210" s="373" t="n"/>
      <c r="AA210" s="373" t="n"/>
      <c r="AB210" s="371" t="n"/>
      <c r="AC210" s="371" t="n"/>
      <c r="AD210" s="373" t="n"/>
      <c r="AE210" s="371" t="n"/>
      <c r="AF210" s="625" t="n"/>
    </row>
    <row r="211">
      <c r="A211" s="222">
        <f>A210+1</f>
        <v/>
      </c>
      <c r="B211" s="224" t="inlineStr">
        <is>
          <t>CREDIT</t>
        </is>
      </c>
      <c r="C211" s="224" t="inlineStr">
        <is>
          <t>EXPEDITORS CAMBODIA LTD.</t>
        </is>
      </c>
      <c r="D211" s="225" t="inlineStr">
        <is>
          <t>L001-100045898</t>
        </is>
      </c>
      <c r="E211" s="359" t="inlineStr">
        <is>
          <t>TI-0306317-10</t>
        </is>
      </c>
      <c r="F211" s="338" t="n">
        <v>45688</v>
      </c>
      <c r="G211" s="226" t="n"/>
      <c r="H211" s="627" t="n"/>
      <c r="I211" s="627" t="n">
        <v>-96576</v>
      </c>
      <c r="J211" s="223" t="inlineStr">
        <is>
          <t>អនុញ្ញាត (បានប្រកាស)</t>
        </is>
      </c>
      <c r="K211" s="223" t="n"/>
      <c r="L211" s="626">
        <f>I211</f>
        <v/>
      </c>
      <c r="M211" s="598">
        <f>I211-L211</f>
        <v/>
      </c>
      <c r="N211" s="223" t="n"/>
      <c r="O211" s="228">
        <f>U211=E211</f>
        <v/>
      </c>
      <c r="P211" s="228">
        <f>MONTH(F211)-MONTH(T211)</f>
        <v/>
      </c>
      <c r="Q211" s="228">
        <f>$B$5=X211</f>
        <v/>
      </c>
      <c r="R211" s="228">
        <f>I211-AD211</f>
        <v/>
      </c>
      <c r="S211" s="371" t="n"/>
      <c r="T211" s="372" t="n"/>
      <c r="U211" s="371" t="n"/>
      <c r="V211" s="371" t="n"/>
      <c r="W211" s="371" t="n"/>
      <c r="X211" s="371" t="n"/>
      <c r="Y211" s="371" t="n"/>
      <c r="Z211" s="373" t="n"/>
      <c r="AA211" s="373" t="n"/>
      <c r="AB211" s="371" t="n"/>
      <c r="AC211" s="371" t="n"/>
      <c r="AD211" s="373" t="n"/>
      <c r="AE211" s="371" t="n"/>
      <c r="AF211" s="625" t="n"/>
    </row>
    <row r="212">
      <c r="A212" s="222">
        <f>A211+1</f>
        <v/>
      </c>
      <c r="B212" s="224" t="inlineStr">
        <is>
          <t>CREDIT</t>
        </is>
      </c>
      <c r="C212" s="224" t="inlineStr">
        <is>
          <t>EXPEDITORS CAMBODIA LTD.</t>
        </is>
      </c>
      <c r="D212" s="225" t="inlineStr">
        <is>
          <t>L001-100045898</t>
        </is>
      </c>
      <c r="E212" s="359" t="inlineStr">
        <is>
          <t>TI-0306317-9</t>
        </is>
      </c>
      <c r="F212" s="338" t="n">
        <v>45688</v>
      </c>
      <c r="G212" s="226" t="n"/>
      <c r="H212" s="627" t="n"/>
      <c r="I212" s="627" t="n">
        <v>-247476</v>
      </c>
      <c r="J212" s="223" t="inlineStr">
        <is>
          <t>អនុញ្ញាត (បានប្រកាស)</t>
        </is>
      </c>
      <c r="K212" s="223" t="n"/>
      <c r="L212" s="626">
        <f>I212</f>
        <v/>
      </c>
      <c r="M212" s="598">
        <f>I212-L212</f>
        <v/>
      </c>
      <c r="N212" s="223" t="n"/>
      <c r="O212" s="228">
        <f>U212=E212</f>
        <v/>
      </c>
      <c r="P212" s="228">
        <f>MONTH(F212)-MONTH(T212)</f>
        <v/>
      </c>
      <c r="Q212" s="228">
        <f>$B$5=X212</f>
        <v/>
      </c>
      <c r="R212" s="228">
        <f>I212-AD212</f>
        <v/>
      </c>
      <c r="S212" s="371" t="n"/>
      <c r="T212" s="372" t="n"/>
      <c r="U212" s="371" t="n"/>
      <c r="V212" s="371" t="n"/>
      <c r="W212" s="371" t="n"/>
      <c r="X212" s="371" t="n"/>
      <c r="Y212" s="371" t="n"/>
      <c r="Z212" s="373" t="n"/>
      <c r="AA212" s="373" t="n"/>
      <c r="AB212" s="371" t="n"/>
      <c r="AC212" s="371" t="n"/>
      <c r="AD212" s="373" t="n"/>
      <c r="AE212" s="371" t="n"/>
      <c r="AF212" s="625" t="n"/>
    </row>
    <row r="213">
      <c r="A213" s="222">
        <f>A212+1</f>
        <v/>
      </c>
      <c r="B213" s="224" t="inlineStr">
        <is>
          <t>CREDIT</t>
        </is>
      </c>
      <c r="C213" s="224" t="inlineStr">
        <is>
          <t>EXPEDITORS CAMBODIA LTD.</t>
        </is>
      </c>
      <c r="D213" s="225" t="inlineStr">
        <is>
          <t>L001-100045898</t>
        </is>
      </c>
      <c r="E213" s="359" t="inlineStr">
        <is>
          <t>TI-0306317-8</t>
        </is>
      </c>
      <c r="F213" s="338" t="n">
        <v>45688</v>
      </c>
      <c r="G213" s="226" t="n"/>
      <c r="H213" s="627" t="n"/>
      <c r="I213" s="627" t="n">
        <v>-30180</v>
      </c>
      <c r="J213" s="223" t="inlineStr">
        <is>
          <t>អនុញ្ញាត (បានប្រកាស)</t>
        </is>
      </c>
      <c r="K213" s="223" t="n"/>
      <c r="L213" s="626">
        <f>I213</f>
        <v/>
      </c>
      <c r="M213" s="598">
        <f>I213-L213</f>
        <v/>
      </c>
      <c r="N213" s="223" t="n"/>
      <c r="O213" s="228">
        <f>U213=E213</f>
        <v/>
      </c>
      <c r="P213" s="228">
        <f>MONTH(F213)-MONTH(T213)</f>
        <v/>
      </c>
      <c r="Q213" s="228">
        <f>$B$5=X213</f>
        <v/>
      </c>
      <c r="R213" s="228">
        <f>I213-AD213</f>
        <v/>
      </c>
      <c r="S213" s="371" t="n"/>
      <c r="T213" s="372" t="n"/>
      <c r="U213" s="371" t="n"/>
      <c r="V213" s="371" t="n"/>
      <c r="W213" s="371" t="n"/>
      <c r="X213" s="371" t="n"/>
      <c r="Y213" s="371" t="n"/>
      <c r="Z213" s="373" t="n"/>
      <c r="AA213" s="373" t="n"/>
      <c r="AB213" s="371" t="n"/>
      <c r="AC213" s="371" t="n"/>
      <c r="AD213" s="373" t="n"/>
      <c r="AE213" s="371" t="n"/>
      <c r="AF213" s="625" t="n"/>
    </row>
    <row r="214">
      <c r="A214" s="222">
        <f>A213+1</f>
        <v/>
      </c>
      <c r="B214" s="224" t="inlineStr">
        <is>
          <t>CREDIT</t>
        </is>
      </c>
      <c r="C214" s="224" t="inlineStr">
        <is>
          <t>EXPEDITORS CAMBODIA LTD.</t>
        </is>
      </c>
      <c r="D214" s="225" t="inlineStr">
        <is>
          <t>L001-100045898</t>
        </is>
      </c>
      <c r="E214" s="359" t="inlineStr">
        <is>
          <t>TI-0306317-7</t>
        </is>
      </c>
      <c r="F214" s="338" t="n">
        <v>45688</v>
      </c>
      <c r="G214" s="226" t="n"/>
      <c r="H214" s="627" t="n"/>
      <c r="I214" s="627" t="n">
        <v>-24144</v>
      </c>
      <c r="J214" s="223" t="inlineStr">
        <is>
          <t>អនុញ្ញាត (បានប្រកាស)</t>
        </is>
      </c>
      <c r="K214" s="223" t="n"/>
      <c r="L214" s="626">
        <f>I214</f>
        <v/>
      </c>
      <c r="M214" s="598">
        <f>I214-L214</f>
        <v/>
      </c>
      <c r="N214" s="223" t="n"/>
      <c r="O214" s="228">
        <f>U214=E214</f>
        <v/>
      </c>
      <c r="P214" s="228">
        <f>MONTH(F214)-MONTH(T214)</f>
        <v/>
      </c>
      <c r="Q214" s="228">
        <f>$B$5=X214</f>
        <v/>
      </c>
      <c r="R214" s="228">
        <f>I214-AD214</f>
        <v/>
      </c>
      <c r="S214" s="371" t="n"/>
      <c r="T214" s="372" t="n"/>
      <c r="U214" s="371" t="n"/>
      <c r="V214" s="371" t="n"/>
      <c r="W214" s="371" t="n"/>
      <c r="X214" s="371" t="n"/>
      <c r="Y214" s="371" t="n"/>
      <c r="Z214" s="373" t="n"/>
      <c r="AA214" s="373" t="n"/>
      <c r="AB214" s="371" t="n"/>
      <c r="AC214" s="371" t="n"/>
      <c r="AD214" s="373" t="n"/>
      <c r="AE214" s="371" t="n"/>
      <c r="AF214" s="625" t="n"/>
    </row>
    <row r="215">
      <c r="A215" s="222">
        <f>A214+1</f>
        <v/>
      </c>
      <c r="B215" s="224" t="inlineStr">
        <is>
          <t>CREDIT</t>
        </is>
      </c>
      <c r="C215" s="224" t="inlineStr">
        <is>
          <t>EXPEDITORS CAMBODIA LTD.</t>
        </is>
      </c>
      <c r="D215" s="225" t="inlineStr">
        <is>
          <t>L001-100045898</t>
        </is>
      </c>
      <c r="E215" s="359" t="inlineStr">
        <is>
          <t>TI-0306317-6</t>
        </is>
      </c>
      <c r="F215" s="338" t="n">
        <v>45688</v>
      </c>
      <c r="G215" s="226" t="n"/>
      <c r="H215" s="627" t="n"/>
      <c r="I215" s="627" t="n">
        <v>-30180</v>
      </c>
      <c r="J215" s="223" t="inlineStr">
        <is>
          <t>អនុញ្ញាត (បានប្រកាស)</t>
        </is>
      </c>
      <c r="K215" s="223" t="n"/>
      <c r="L215" s="626">
        <f>I215</f>
        <v/>
      </c>
      <c r="M215" s="598">
        <f>I215-L215</f>
        <v/>
      </c>
      <c r="N215" s="223" t="n"/>
      <c r="O215" s="228">
        <f>U215=E215</f>
        <v/>
      </c>
      <c r="P215" s="228">
        <f>MONTH(F215)-MONTH(T215)</f>
        <v/>
      </c>
      <c r="Q215" s="228">
        <f>$B$5=X215</f>
        <v/>
      </c>
      <c r="R215" s="228">
        <f>I215-AD215</f>
        <v/>
      </c>
      <c r="S215" s="371" t="n"/>
      <c r="T215" s="372" t="n"/>
      <c r="U215" s="371" t="n"/>
      <c r="V215" s="371" t="n"/>
      <c r="W215" s="371" t="n"/>
      <c r="X215" s="371" t="n"/>
      <c r="Y215" s="371" t="n"/>
      <c r="Z215" s="373" t="n"/>
      <c r="AA215" s="373" t="n"/>
      <c r="AB215" s="371" t="n"/>
      <c r="AC215" s="371" t="n"/>
      <c r="AD215" s="373" t="n"/>
      <c r="AE215" s="371" t="n"/>
      <c r="AF215" s="625" t="n"/>
    </row>
    <row r="216">
      <c r="A216" s="222">
        <f>A215+1</f>
        <v/>
      </c>
      <c r="B216" s="224" t="inlineStr">
        <is>
          <t>CREDIT</t>
        </is>
      </c>
      <c r="C216" s="224" t="inlineStr">
        <is>
          <t>EXPEDITORS CAMBODIA LTD.</t>
        </is>
      </c>
      <c r="D216" s="225" t="inlineStr">
        <is>
          <t>L001-100045898</t>
        </is>
      </c>
      <c r="E216" s="359" t="inlineStr">
        <is>
          <t>TI-0306317-5</t>
        </is>
      </c>
      <c r="F216" s="338" t="n">
        <v>45688</v>
      </c>
      <c r="G216" s="226" t="n"/>
      <c r="H216" s="627" t="n"/>
      <c r="I216" s="627" t="n">
        <v>-48288</v>
      </c>
      <c r="J216" s="223" t="inlineStr">
        <is>
          <t>អនុញ្ញាត (បានប្រកាស)</t>
        </is>
      </c>
      <c r="K216" s="223" t="n"/>
      <c r="L216" s="626">
        <f>I216</f>
        <v/>
      </c>
      <c r="M216" s="598">
        <f>I216-L216</f>
        <v/>
      </c>
      <c r="N216" s="223" t="n"/>
      <c r="O216" s="228">
        <f>U216=E216</f>
        <v/>
      </c>
      <c r="P216" s="228">
        <f>MONTH(F216)-MONTH(T216)</f>
        <v/>
      </c>
      <c r="Q216" s="228">
        <f>$B$5=X216</f>
        <v/>
      </c>
      <c r="R216" s="228">
        <f>I216-AD216</f>
        <v/>
      </c>
      <c r="S216" s="371" t="n"/>
      <c r="T216" s="372" t="n"/>
      <c r="U216" s="371" t="n"/>
      <c r="V216" s="371" t="n"/>
      <c r="W216" s="371" t="n"/>
      <c r="X216" s="371" t="n"/>
      <c r="Y216" s="371" t="n"/>
      <c r="Z216" s="373" t="n"/>
      <c r="AA216" s="373" t="n"/>
      <c r="AB216" s="371" t="n"/>
      <c r="AC216" s="371" t="n"/>
      <c r="AD216" s="373" t="n"/>
      <c r="AE216" s="371" t="n"/>
      <c r="AF216" s="625" t="n"/>
    </row>
    <row r="217">
      <c r="A217" s="222">
        <f>A216+1</f>
        <v/>
      </c>
      <c r="B217" s="224" t="inlineStr">
        <is>
          <t>CREDIT</t>
        </is>
      </c>
      <c r="C217" s="224" t="inlineStr">
        <is>
          <t>EXPEDITORS CAMBODIA LTD.</t>
        </is>
      </c>
      <c r="D217" s="225" t="inlineStr">
        <is>
          <t>L001-100045898</t>
        </is>
      </c>
      <c r="E217" s="359" t="inlineStr">
        <is>
          <t>TI-0306317-4</t>
        </is>
      </c>
      <c r="F217" s="338" t="n">
        <v>45688</v>
      </c>
      <c r="G217" s="226" t="n"/>
      <c r="H217" s="627" t="n"/>
      <c r="I217" s="627" t="n">
        <v>-169008</v>
      </c>
      <c r="J217" s="223" t="inlineStr">
        <is>
          <t>អនុញ្ញាត (បានប្រកាស)</t>
        </is>
      </c>
      <c r="K217" s="223" t="n"/>
      <c r="L217" s="626">
        <f>I217</f>
        <v/>
      </c>
      <c r="M217" s="598">
        <f>I217-L217</f>
        <v/>
      </c>
      <c r="N217" s="223" t="n"/>
      <c r="O217" s="228">
        <f>U217=E217</f>
        <v/>
      </c>
      <c r="P217" s="228">
        <f>MONTH(F217)-MONTH(T217)</f>
        <v/>
      </c>
      <c r="Q217" s="228">
        <f>$B$5=X217</f>
        <v/>
      </c>
      <c r="R217" s="228">
        <f>I217-AD217</f>
        <v/>
      </c>
      <c r="S217" s="371" t="n"/>
      <c r="T217" s="372" t="n"/>
      <c r="U217" s="371" t="n"/>
      <c r="V217" s="371" t="n"/>
      <c r="W217" s="371" t="n"/>
      <c r="X217" s="371" t="n"/>
      <c r="Y217" s="371" t="n"/>
      <c r="Z217" s="373" t="n"/>
      <c r="AA217" s="373" t="n"/>
      <c r="AB217" s="371" t="n"/>
      <c r="AC217" s="371" t="n"/>
      <c r="AD217" s="373" t="n"/>
      <c r="AE217" s="371" t="n"/>
      <c r="AF217" s="625" t="n"/>
    </row>
    <row r="218">
      <c r="A218" s="222">
        <f>A217+1</f>
        <v/>
      </c>
      <c r="B218" s="224" t="inlineStr">
        <is>
          <t>CREDIT</t>
        </is>
      </c>
      <c r="C218" s="224" t="inlineStr">
        <is>
          <t>EXPEDITORS CAMBODIA LTD.</t>
        </is>
      </c>
      <c r="D218" s="225" t="inlineStr">
        <is>
          <t>L001-100045898</t>
        </is>
      </c>
      <c r="E218" s="359" t="inlineStr">
        <is>
          <t>TI-0306317-3</t>
        </is>
      </c>
      <c r="F218" s="338" t="n">
        <v>45688</v>
      </c>
      <c r="G218" s="226" t="n"/>
      <c r="H218" s="627" t="n"/>
      <c r="I218" s="627" t="n">
        <v>-48288</v>
      </c>
      <c r="J218" s="223" t="inlineStr">
        <is>
          <t>អនុញ្ញាត (បានប្រកាស)</t>
        </is>
      </c>
      <c r="K218" s="223" t="n"/>
      <c r="L218" s="626">
        <f>I218</f>
        <v/>
      </c>
      <c r="M218" s="598">
        <f>I218-L218</f>
        <v/>
      </c>
      <c r="N218" s="223" t="n"/>
      <c r="O218" s="228">
        <f>U218=E218</f>
        <v/>
      </c>
      <c r="P218" s="228">
        <f>MONTH(F218)-MONTH(T218)</f>
        <v/>
      </c>
      <c r="Q218" s="228">
        <f>$B$5=X218</f>
        <v/>
      </c>
      <c r="R218" s="228">
        <f>I218-AD218</f>
        <v/>
      </c>
      <c r="S218" s="371" t="n"/>
      <c r="T218" s="372" t="n"/>
      <c r="U218" s="371" t="n"/>
      <c r="V218" s="371" t="n"/>
      <c r="W218" s="371" t="n"/>
      <c r="X218" s="371" t="n"/>
      <c r="Y218" s="371" t="n"/>
      <c r="Z218" s="373" t="n"/>
      <c r="AA218" s="373" t="n"/>
      <c r="AB218" s="371" t="n"/>
      <c r="AC218" s="371" t="n"/>
      <c r="AD218" s="373" t="n"/>
      <c r="AE218" s="371" t="n"/>
      <c r="AF218" s="625" t="n"/>
    </row>
    <row r="219">
      <c r="A219" s="222">
        <f>A218+1</f>
        <v/>
      </c>
      <c r="B219" s="224" t="inlineStr">
        <is>
          <t>CREDIT</t>
        </is>
      </c>
      <c r="C219" s="224" t="inlineStr">
        <is>
          <t>EXPEDITORS CAMBODIA LTD.</t>
        </is>
      </c>
      <c r="D219" s="225" t="inlineStr">
        <is>
          <t>L001-100045898</t>
        </is>
      </c>
      <c r="E219" s="359" t="inlineStr">
        <is>
          <t>TI-0306317-2</t>
        </is>
      </c>
      <c r="F219" s="338" t="n">
        <v>45688</v>
      </c>
      <c r="G219" s="226" t="n"/>
      <c r="H219" s="627" t="n"/>
      <c r="I219" s="627" t="n">
        <v>-60360</v>
      </c>
      <c r="J219" s="223" t="inlineStr">
        <is>
          <t>អនុញ្ញាត (បានប្រកាស)</t>
        </is>
      </c>
      <c r="K219" s="223" t="n"/>
      <c r="L219" s="626">
        <f>I219</f>
        <v/>
      </c>
      <c r="M219" s="598">
        <f>I219-L219</f>
        <v/>
      </c>
      <c r="N219" s="223" t="n"/>
      <c r="O219" s="228">
        <f>U219=E219</f>
        <v/>
      </c>
      <c r="P219" s="228">
        <f>MONTH(F219)-MONTH(T219)</f>
        <v/>
      </c>
      <c r="Q219" s="228">
        <f>$B$5=X219</f>
        <v/>
      </c>
      <c r="R219" s="228">
        <f>I219-AD219</f>
        <v/>
      </c>
      <c r="S219" s="371" t="n"/>
      <c r="T219" s="372" t="n"/>
      <c r="U219" s="371" t="n"/>
      <c r="V219" s="371" t="n"/>
      <c r="W219" s="371" t="n"/>
      <c r="X219" s="371" t="n"/>
      <c r="Y219" s="371" t="n"/>
      <c r="Z219" s="373" t="n"/>
      <c r="AA219" s="373" t="n"/>
      <c r="AB219" s="371" t="n"/>
      <c r="AC219" s="371" t="n"/>
      <c r="AD219" s="373" t="n"/>
      <c r="AE219" s="371" t="n"/>
      <c r="AF219" s="625" t="n"/>
    </row>
    <row r="220">
      <c r="A220" s="222">
        <f>A219+1</f>
        <v/>
      </c>
      <c r="B220" s="224" t="inlineStr">
        <is>
          <t>CREDIT</t>
        </is>
      </c>
      <c r="C220" s="224" t="inlineStr">
        <is>
          <t>EXPEDITORS CAMBODIA LTD.</t>
        </is>
      </c>
      <c r="D220" s="225" t="inlineStr">
        <is>
          <t>L001-100045898</t>
        </is>
      </c>
      <c r="E220" s="359" t="inlineStr">
        <is>
          <t>TI-0306317-1</t>
        </is>
      </c>
      <c r="F220" s="338" t="n">
        <v>45688</v>
      </c>
      <c r="G220" s="226" t="n"/>
      <c r="H220" s="627" t="n"/>
      <c r="I220" s="627" t="n">
        <v>-38228</v>
      </c>
      <c r="J220" s="223" t="inlineStr">
        <is>
          <t>អនុញ្ញាត (បានប្រកាស)</t>
        </is>
      </c>
      <c r="K220" s="223" t="n"/>
      <c r="L220" s="626">
        <f>I220</f>
        <v/>
      </c>
      <c r="M220" s="598">
        <f>I220-L220</f>
        <v/>
      </c>
      <c r="N220" s="223" t="n"/>
      <c r="O220" s="228">
        <f>U220=E220</f>
        <v/>
      </c>
      <c r="P220" s="228">
        <f>MONTH(F220)-MONTH(T220)</f>
        <v/>
      </c>
      <c r="Q220" s="228">
        <f>$B$5=X220</f>
        <v/>
      </c>
      <c r="R220" s="228">
        <f>I220-AD220</f>
        <v/>
      </c>
      <c r="S220" s="371" t="n"/>
      <c r="T220" s="372" t="n"/>
      <c r="U220" s="371" t="n"/>
      <c r="V220" s="371" t="n"/>
      <c r="W220" s="371" t="n"/>
      <c r="X220" s="371" t="n"/>
      <c r="Y220" s="371" t="n"/>
      <c r="Z220" s="373" t="n"/>
      <c r="AA220" s="373" t="n"/>
      <c r="AB220" s="371" t="n"/>
      <c r="AC220" s="371" t="n"/>
      <c r="AD220" s="373" t="n"/>
      <c r="AE220" s="371" t="n"/>
      <c r="AF220" s="625" t="n"/>
    </row>
    <row r="221">
      <c r="A221" s="222">
        <f>A220+1</f>
        <v/>
      </c>
      <c r="B221" s="224" t="inlineStr">
        <is>
          <t>CREDIT</t>
        </is>
      </c>
      <c r="C221" s="224" t="inlineStr">
        <is>
          <t>EXPEDITORS CAMBODIA LTD.</t>
        </is>
      </c>
      <c r="D221" s="225" t="inlineStr">
        <is>
          <t>L001-100045898</t>
        </is>
      </c>
      <c r="E221" s="359" t="inlineStr">
        <is>
          <t>TI-0306317</t>
        </is>
      </c>
      <c r="F221" s="338" t="n">
        <v>45688</v>
      </c>
      <c r="G221" s="226" t="n"/>
      <c r="H221" s="627" t="n"/>
      <c r="I221" s="627" t="n">
        <v>-126756</v>
      </c>
      <c r="J221" s="223" t="inlineStr">
        <is>
          <t>អនុញ្ញាត (បានប្រកាស)</t>
        </is>
      </c>
      <c r="K221" s="223" t="n"/>
      <c r="L221" s="626">
        <f>I221</f>
        <v/>
      </c>
      <c r="M221" s="598">
        <f>I221-L221</f>
        <v/>
      </c>
      <c r="N221" s="223" t="n"/>
      <c r="O221" s="228">
        <f>U221=E221</f>
        <v/>
      </c>
      <c r="P221" s="228">
        <f>MONTH(F221)-MONTH(T221)</f>
        <v/>
      </c>
      <c r="Q221" s="228">
        <f>$B$5=X221</f>
        <v/>
      </c>
      <c r="R221" s="228">
        <f>I221-AD221</f>
        <v/>
      </c>
      <c r="S221" s="371" t="n"/>
      <c r="T221" s="372" t="n"/>
      <c r="U221" s="371" t="n"/>
      <c r="V221" s="371" t="n"/>
      <c r="W221" s="371" t="n"/>
      <c r="X221" s="371" t="n"/>
      <c r="Y221" s="371" t="n"/>
      <c r="Z221" s="373" t="n"/>
      <c r="AA221" s="373" t="n"/>
      <c r="AB221" s="371" t="n"/>
      <c r="AC221" s="371" t="n"/>
      <c r="AD221" s="373" t="n"/>
      <c r="AE221" s="371" t="n"/>
      <c r="AF221" s="625" t="n"/>
    </row>
    <row r="222">
      <c r="A222" s="222">
        <f>A221+1</f>
        <v/>
      </c>
      <c r="B222" s="224" t="inlineStr">
        <is>
          <t>Label Paper</t>
        </is>
      </c>
      <c r="C222" s="224" t="inlineStr">
        <is>
          <t>JIA CHENG FA (CAMBODIA) CO., LTD.</t>
        </is>
      </c>
      <c r="D222" s="225" t="inlineStr">
        <is>
          <t>K010-902104844</t>
        </is>
      </c>
      <c r="E222" s="359" t="inlineStr">
        <is>
          <t>T202500064</t>
        </is>
      </c>
      <c r="F222" s="338" t="n">
        <v>45722</v>
      </c>
      <c r="G222" s="226" t="n"/>
      <c r="H222" s="627" t="n"/>
      <c r="I222" s="627" t="n">
        <v>4922480</v>
      </c>
      <c r="J222" s="223" t="inlineStr">
        <is>
          <t>អនុញ្ញាត (បានប្រកាស)</t>
        </is>
      </c>
      <c r="K222" s="223" t="n"/>
      <c r="L222" s="626">
        <f>I222</f>
        <v/>
      </c>
      <c r="M222" s="598">
        <f>I222-L222</f>
        <v/>
      </c>
      <c r="N222" s="223" t="n"/>
      <c r="O222" s="228">
        <f>U222=E222</f>
        <v/>
      </c>
      <c r="P222" s="228">
        <f>MONTH(F222)-MONTH(T222)</f>
        <v/>
      </c>
      <c r="Q222" s="228">
        <f>$B$5=X222</f>
        <v/>
      </c>
      <c r="R222" s="228">
        <f>I222-AD222</f>
        <v/>
      </c>
      <c r="S222" s="371" t="n"/>
      <c r="T222" s="372" t="n">
        <v>45722</v>
      </c>
      <c r="U222" s="371" t="inlineStr">
        <is>
          <t>T202500064</t>
        </is>
      </c>
      <c r="V222" s="371" t="n">
        <v>0</v>
      </c>
      <c r="W222" s="371" t="inlineStr">
        <is>
          <t>បុគ្គលជាប់អាករ</t>
        </is>
      </c>
      <c r="X222" s="371" t="inlineStr">
        <is>
          <t>L001-901640009</t>
        </is>
      </c>
      <c r="Y222" s="371" t="inlineStr">
        <is>
          <t>ហូលីដេ ឌីហ្សាញ (ខេមបូឌា) ឯ.ក</t>
        </is>
      </c>
      <c r="Z222" s="373" t="n">
        <v>54147277</v>
      </c>
      <c r="AA222" s="373" t="n">
        <v>49224797</v>
      </c>
      <c r="AB222" s="371" t="n">
        <v>0</v>
      </c>
      <c r="AC222" s="371" t="inlineStr">
        <is>
          <t>-</t>
        </is>
      </c>
      <c r="AD222" s="373" t="n">
        <v>4922480</v>
      </c>
      <c r="AE222" s="371" t="n">
        <v>0</v>
      </c>
      <c r="AF222" s="625" t="n">
        <v>0</v>
      </c>
      <c r="AG222" s="205" t="n">
        <v>0</v>
      </c>
      <c r="AH222" s="205" t="n">
        <v>0</v>
      </c>
      <c r="AI222" s="205" t="n">
        <v>0</v>
      </c>
      <c r="AJ222" s="205" t="n">
        <v>0</v>
      </c>
      <c r="AK222" s="205" t="n">
        <v>0</v>
      </c>
      <c r="AL222" s="205" t="n">
        <v>0.01</v>
      </c>
      <c r="AM222" s="205" t="n">
        <v>0</v>
      </c>
      <c r="AN222" s="205" t="inlineStr">
        <is>
          <t>LABEL PAPER</t>
        </is>
      </c>
      <c r="AO222" s="205" t="inlineStr">
        <is>
          <t>បានប្រកាសនិងបង់ពន្ធ</t>
        </is>
      </c>
    </row>
    <row r="223">
      <c r="A223" s="222">
        <f>A222+1</f>
        <v/>
      </c>
      <c r="B223" s="224" t="inlineStr">
        <is>
          <t>Label Paper</t>
        </is>
      </c>
      <c r="C223" s="224" t="inlineStr">
        <is>
          <t>JIA CHENG FA (CAMBODIA) CO., LTD.</t>
        </is>
      </c>
      <c r="D223" s="225" t="inlineStr">
        <is>
          <t>K010-902104844</t>
        </is>
      </c>
      <c r="E223" s="359" t="inlineStr">
        <is>
          <t>T202500093</t>
        </is>
      </c>
      <c r="F223" s="338" t="n">
        <v>45744</v>
      </c>
      <c r="G223" s="226" t="n"/>
      <c r="H223" s="627" t="n"/>
      <c r="I223" s="627" t="n">
        <v>35177345</v>
      </c>
      <c r="J223" s="223" t="inlineStr">
        <is>
          <t>អនុញ្ញាត (បានប្រកាស)</t>
        </is>
      </c>
      <c r="K223" s="223" t="n"/>
      <c r="L223" s="626">
        <f>I223</f>
        <v/>
      </c>
      <c r="M223" s="598">
        <f>I223-L223</f>
        <v/>
      </c>
      <c r="N223" s="223" t="inlineStr">
        <is>
          <t>បានពិនិត្យវិក្កយបត្រ</t>
        </is>
      </c>
      <c r="O223" s="228">
        <f>U223=E223</f>
        <v/>
      </c>
      <c r="P223" s="228">
        <f>MONTH(F223)-MONTH(T223)</f>
        <v/>
      </c>
      <c r="Q223" s="228">
        <f>$B$5=X223</f>
        <v/>
      </c>
      <c r="R223" s="228">
        <f>I223-AD223</f>
        <v/>
      </c>
      <c r="S223" s="371" t="n"/>
      <c r="T223" s="372" t="n">
        <v>45744</v>
      </c>
      <c r="U223" s="371" t="inlineStr">
        <is>
          <t>T202500093</t>
        </is>
      </c>
      <c r="V223" s="371" t="n">
        <v>0</v>
      </c>
      <c r="W223" s="371" t="inlineStr">
        <is>
          <t>បុគ្គលជាប់អាករ</t>
        </is>
      </c>
      <c r="X223" s="371" t="inlineStr">
        <is>
          <t>L001-901640009</t>
        </is>
      </c>
      <c r="Y223" s="371" t="inlineStr">
        <is>
          <t>ហូលីដេ ឌីហ្សាញ (ខេមបូឌា) ឯ.ក</t>
        </is>
      </c>
      <c r="Z223" s="373" t="n">
        <v>386950793</v>
      </c>
      <c r="AA223" s="373" t="n">
        <v>351773448</v>
      </c>
      <c r="AB223" s="371" t="n">
        <v>0</v>
      </c>
      <c r="AC223" s="371" t="inlineStr">
        <is>
          <t>-</t>
        </is>
      </c>
      <c r="AD223" s="373" t="n">
        <v>35177345</v>
      </c>
      <c r="AE223" s="371" t="n">
        <v>0</v>
      </c>
      <c r="AF223" s="625" t="n">
        <v>0</v>
      </c>
      <c r="AG223" s="205" t="n">
        <v>0</v>
      </c>
      <c r="AH223" s="205" t="n">
        <v>0</v>
      </c>
      <c r="AI223" s="205" t="n">
        <v>0</v>
      </c>
      <c r="AJ223" s="205" t="n">
        <v>0</v>
      </c>
      <c r="AK223" s="205" t="n">
        <v>0</v>
      </c>
      <c r="AL223" s="205" t="n">
        <v>0.01</v>
      </c>
      <c r="AM223" s="205" t="n">
        <v>0</v>
      </c>
      <c r="AN223" s="205" t="inlineStr">
        <is>
          <t>LABEL PAPER</t>
        </is>
      </c>
      <c r="AO223" s="205" t="inlineStr">
        <is>
          <t>បានប្រកាសនិងបង់ពន្ធ</t>
        </is>
      </c>
    </row>
    <row r="224">
      <c r="A224" s="222">
        <f>A223+1</f>
        <v/>
      </c>
      <c r="B224" s="224" t="inlineStr">
        <is>
          <t>Label Paper</t>
        </is>
      </c>
      <c r="C224" s="224" t="inlineStr">
        <is>
          <t>JIA CHENG FA (CAMBODIA) CO., LTD.</t>
        </is>
      </c>
      <c r="D224" s="225" t="inlineStr">
        <is>
          <t>K010-902104844</t>
        </is>
      </c>
      <c r="E224" s="359" t="inlineStr">
        <is>
          <t>T202500145</t>
        </is>
      </c>
      <c r="F224" s="338" t="n">
        <v>45777</v>
      </c>
      <c r="G224" s="226" t="n"/>
      <c r="H224" s="627" t="n"/>
      <c r="I224" s="627" t="n">
        <v>5998255</v>
      </c>
      <c r="J224" s="223" t="inlineStr">
        <is>
          <t>អនុញ្ញាត (បានប្រកាស)</t>
        </is>
      </c>
      <c r="K224" s="223" t="n"/>
      <c r="L224" s="626">
        <f>I224</f>
        <v/>
      </c>
      <c r="M224" s="598">
        <f>I224-L224</f>
        <v/>
      </c>
      <c r="N224" s="223" t="inlineStr">
        <is>
          <t>បានពិនិត្យវិក្កយបត្រ</t>
        </is>
      </c>
      <c r="O224" s="228">
        <f>U224=E224</f>
        <v/>
      </c>
      <c r="P224" s="228">
        <f>MONTH(F224)-MONTH(T224)</f>
        <v/>
      </c>
      <c r="Q224" s="228">
        <f>$B$5=X224</f>
        <v/>
      </c>
      <c r="R224" s="228">
        <f>I224-AD224</f>
        <v/>
      </c>
      <c r="S224" s="371" t="n"/>
      <c r="T224" s="372" t="n">
        <v>45777</v>
      </c>
      <c r="U224" s="371" t="inlineStr">
        <is>
          <t>T202500145</t>
        </is>
      </c>
      <c r="V224" s="371" t="n">
        <v>0</v>
      </c>
      <c r="W224" s="371" t="inlineStr">
        <is>
          <t>បុគ្គលជាប់អាករ</t>
        </is>
      </c>
      <c r="X224" s="371" t="inlineStr">
        <is>
          <t>L001-901640009</t>
        </is>
      </c>
      <c r="Y224" s="371" t="inlineStr">
        <is>
          <t>ហូលីដេ ឌីហ្សាញ (ខេមបូឌា) ឯ.ក</t>
        </is>
      </c>
      <c r="Z224" s="373" t="n">
        <v>65980809</v>
      </c>
      <c r="AA224" s="373" t="n">
        <v>59982554</v>
      </c>
      <c r="AB224" s="371" t="n">
        <v>0</v>
      </c>
      <c r="AC224" s="371" t="inlineStr">
        <is>
          <t>-</t>
        </is>
      </c>
      <c r="AD224" s="373" t="n">
        <v>5998255</v>
      </c>
      <c r="AE224" s="371" t="n">
        <v>0</v>
      </c>
      <c r="AF224" s="625" t="n">
        <v>0</v>
      </c>
      <c r="AG224" s="205" t="n">
        <v>0</v>
      </c>
      <c r="AH224" s="205" t="n">
        <v>0</v>
      </c>
      <c r="AI224" s="205" t="n">
        <v>0</v>
      </c>
      <c r="AJ224" s="205" t="n">
        <v>0</v>
      </c>
      <c r="AK224" s="205" t="n">
        <v>0</v>
      </c>
      <c r="AL224" s="205" t="n">
        <v>0.01</v>
      </c>
      <c r="AM224" s="205" t="n">
        <v>0</v>
      </c>
      <c r="AN224" s="205" t="inlineStr">
        <is>
          <t>LABEL PAPER</t>
        </is>
      </c>
      <c r="AO224" s="205" t="inlineStr">
        <is>
          <t>បានប្រកាសនិងបង់ពន្ធ</t>
        </is>
      </c>
    </row>
    <row r="225">
      <c r="A225" s="222">
        <f>A224+1</f>
        <v/>
      </c>
      <c r="B225" s="224" t="inlineStr">
        <is>
          <t>Label Paper</t>
        </is>
      </c>
      <c r="C225" s="224" t="inlineStr">
        <is>
          <t>JIA CHENG FA (CAMBODIA) CO., LTD.</t>
        </is>
      </c>
      <c r="D225" s="225" t="inlineStr">
        <is>
          <t>K010-902104844</t>
        </is>
      </c>
      <c r="E225" s="359" t="inlineStr">
        <is>
          <t>T202500169</t>
        </is>
      </c>
      <c r="F225" s="338" t="n">
        <v>45807</v>
      </c>
      <c r="G225" s="226" t="n"/>
      <c r="H225" s="627" t="n"/>
      <c r="I225" s="627" t="n">
        <v>6455343</v>
      </c>
      <c r="J225" s="223" t="inlineStr">
        <is>
          <t>អនុញ្ញាត (បានប្រកាស)</t>
        </is>
      </c>
      <c r="K225" s="223" t="n"/>
      <c r="L225" s="626">
        <f>I225</f>
        <v/>
      </c>
      <c r="M225" s="598">
        <f>I225-L225</f>
        <v/>
      </c>
      <c r="N225" s="223" t="inlineStr">
        <is>
          <t>បានពិនិត្យវិក្កយបត្រ</t>
        </is>
      </c>
      <c r="O225" s="228">
        <f>U225=E225</f>
        <v/>
      </c>
      <c r="P225" s="228">
        <f>MONTH(F225)-MONTH(T225)</f>
        <v/>
      </c>
      <c r="Q225" s="228">
        <f>$B$5=X225</f>
        <v/>
      </c>
      <c r="R225" s="228">
        <f>I225-AD225</f>
        <v/>
      </c>
      <c r="S225" s="371" t="n"/>
      <c r="T225" s="372" t="n">
        <v>45807</v>
      </c>
      <c r="U225" s="371" t="inlineStr">
        <is>
          <t>T202500169</t>
        </is>
      </c>
      <c r="V225" s="371" t="n">
        <v>0</v>
      </c>
      <c r="W225" s="371" t="inlineStr">
        <is>
          <t>បុគ្គលជាប់អាករ</t>
        </is>
      </c>
      <c r="X225" s="371" t="inlineStr">
        <is>
          <t>L001-901640009</t>
        </is>
      </c>
      <c r="Y225" s="371" t="inlineStr">
        <is>
          <t>ហូលីដេ ឌីហ្សាញ (ខេមបូឌា) ឯ.ក</t>
        </is>
      </c>
      <c r="Z225" s="373" t="n">
        <v>71008770</v>
      </c>
      <c r="AA225" s="373" t="n">
        <v>64553427</v>
      </c>
      <c r="AB225" s="371" t="n">
        <v>0</v>
      </c>
      <c r="AC225" s="371" t="inlineStr">
        <is>
          <t>-</t>
        </is>
      </c>
      <c r="AD225" s="373" t="n">
        <v>6455343</v>
      </c>
      <c r="AE225" s="371" t="n">
        <v>0</v>
      </c>
      <c r="AF225" s="625" t="n">
        <v>0</v>
      </c>
      <c r="AG225" s="205" t="n">
        <v>0</v>
      </c>
      <c r="AH225" s="205" t="n">
        <v>0</v>
      </c>
      <c r="AI225" s="205" t="n">
        <v>0</v>
      </c>
      <c r="AJ225" s="205" t="n">
        <v>0</v>
      </c>
      <c r="AK225" s="205" t="n">
        <v>0</v>
      </c>
      <c r="AL225" s="205" t="n">
        <v>0.01</v>
      </c>
      <c r="AM225" s="205" t="n">
        <v>0</v>
      </c>
      <c r="AN225" s="205" t="inlineStr">
        <is>
          <t>LABEL PAPER</t>
        </is>
      </c>
      <c r="AO225" s="205" t="inlineStr">
        <is>
          <t>បានប្រកាសនិងបង់ពន្ធ</t>
        </is>
      </c>
    </row>
    <row r="226">
      <c r="A226" s="222">
        <f>A225+1</f>
        <v/>
      </c>
      <c r="B226" s="224" t="inlineStr">
        <is>
          <t>Lift-On&amp;Lift-Off-Im</t>
        </is>
      </c>
      <c r="C226" s="224" t="inlineStr">
        <is>
          <t>Port Autonome Du Sihanoukville</t>
        </is>
      </c>
      <c r="D226" s="225" t="inlineStr">
        <is>
          <t>L001-100044638</t>
        </is>
      </c>
      <c r="E226" s="359" t="n">
        <v>202500043532</v>
      </c>
      <c r="F226" s="338" t="n">
        <v>45715</v>
      </c>
      <c r="G226" s="226" t="n"/>
      <c r="H226" s="627" t="n"/>
      <c r="I226" s="627" t="n">
        <v>591876</v>
      </c>
      <c r="J226" s="223" t="inlineStr">
        <is>
          <t>អនុញ្ញាត (បានប្រកាស)</t>
        </is>
      </c>
      <c r="K226" s="223" t="n"/>
      <c r="L226" s="626">
        <f>I226</f>
        <v/>
      </c>
      <c r="M226" s="598">
        <f>I226-L226</f>
        <v/>
      </c>
      <c r="N226" s="223" t="n"/>
      <c r="O226" s="228">
        <f>U226=E226</f>
        <v/>
      </c>
      <c r="P226" s="228">
        <f>MONTH(F226)-MONTH(T226)</f>
        <v/>
      </c>
      <c r="Q226" s="228">
        <f>$B$5=X226</f>
        <v/>
      </c>
      <c r="R226" s="228">
        <f>I226-AD226</f>
        <v/>
      </c>
      <c r="S226" s="371" t="n"/>
      <c r="T226" s="372" t="n">
        <v>45715</v>
      </c>
      <c r="U226" s="371" t="n">
        <v>202500043532</v>
      </c>
      <c r="V226" s="371" t="n">
        <v>0</v>
      </c>
      <c r="W226" s="371" t="inlineStr">
        <is>
          <t>បុគ្គលជាប់អាករ</t>
        </is>
      </c>
      <c r="X226" s="371" t="inlineStr">
        <is>
          <t>L001-901640009</t>
        </is>
      </c>
      <c r="Y226" s="371" t="inlineStr">
        <is>
          <t>ហូលីដេ ឌីហ្សាញ (ខេមបូឌា) ឯ.ក</t>
        </is>
      </c>
      <c r="Z226" s="373" t="n">
        <v>6672996</v>
      </c>
      <c r="AA226" s="373" t="n">
        <v>6066360</v>
      </c>
      <c r="AB226" s="371" t="n">
        <v>0</v>
      </c>
      <c r="AC226" s="371" t="inlineStr">
        <is>
          <t>-</t>
        </is>
      </c>
      <c r="AD226" s="373" t="n">
        <v>606636</v>
      </c>
      <c r="AE226" s="371" t="n">
        <v>0</v>
      </c>
      <c r="AF226" s="625" t="n">
        <v>0</v>
      </c>
      <c r="AG226" s="205" t="n">
        <v>0</v>
      </c>
      <c r="AH226" s="205" t="n">
        <v>0</v>
      </c>
      <c r="AI226" s="205" t="n">
        <v>0</v>
      </c>
      <c r="AJ226" s="205" t="n">
        <v>0</v>
      </c>
      <c r="AK226" s="205" t="n">
        <v>0</v>
      </c>
      <c r="AL226" s="205" t="n">
        <v>0.01</v>
      </c>
      <c r="AM226" s="205" t="n">
        <v>0</v>
      </c>
      <c r="AN226" s="205" t="inlineStr">
        <is>
          <t>LOLO</t>
        </is>
      </c>
    </row>
    <row r="227">
      <c r="A227" s="222">
        <f>A226+1</f>
        <v/>
      </c>
      <c r="B227" s="224" t="inlineStr">
        <is>
          <t>Terminal Handling Service-Im</t>
        </is>
      </c>
      <c r="C227" s="224" t="inlineStr">
        <is>
          <t>SITC CONTAINER LINES (CAMBODIA) Co., Ltd.</t>
        </is>
      </c>
      <c r="D227" s="225" t="inlineStr">
        <is>
          <t>L001-107035863</t>
        </is>
      </c>
      <c r="E227" s="359" t="inlineStr">
        <is>
          <t>SITC2025-005903</t>
        </is>
      </c>
      <c r="F227" s="338" t="n">
        <v>45712</v>
      </c>
      <c r="G227" s="226" t="n"/>
      <c r="H227" s="627" t="n"/>
      <c r="I227" s="627" t="n">
        <v>3513636</v>
      </c>
      <c r="J227" s="223" t="inlineStr">
        <is>
          <t>អនុញ្ញាត (បានប្រកាស)</t>
        </is>
      </c>
      <c r="K227" s="223" t="n"/>
      <c r="L227" s="626">
        <f>I227</f>
        <v/>
      </c>
      <c r="M227" s="598">
        <f>I227-L227</f>
        <v/>
      </c>
      <c r="N227" s="223" t="n"/>
      <c r="O227" s="228">
        <f>U227=E227</f>
        <v/>
      </c>
      <c r="P227" s="228">
        <f>MONTH(F227)-MONTH(T227)</f>
        <v/>
      </c>
      <c r="Q227" s="228">
        <f>$B$5=X227</f>
        <v/>
      </c>
      <c r="R227" s="228">
        <f>I227-AD227</f>
        <v/>
      </c>
      <c r="S227" s="371" t="n"/>
      <c r="T227" s="372" t="n">
        <v>45712</v>
      </c>
      <c r="U227" s="371" t="inlineStr">
        <is>
          <t>SITC2025-005903</t>
        </is>
      </c>
      <c r="V227" s="371" t="n">
        <v>0</v>
      </c>
      <c r="W227" s="371" t="inlineStr">
        <is>
          <t>បុគ្គលជាប់អាករ</t>
        </is>
      </c>
      <c r="X227" s="371" t="inlineStr">
        <is>
          <t>L001-901640009</t>
        </is>
      </c>
      <c r="Y227" s="371" t="inlineStr">
        <is>
          <t>ហូលីដេ ឌីហ្សាញ (ខេមបូឌា) ឯ.ក</t>
        </is>
      </c>
      <c r="Z227" s="373" t="n">
        <v>38649996</v>
      </c>
      <c r="AA227" s="373" t="n">
        <v>35136360</v>
      </c>
      <c r="AB227" s="371" t="n">
        <v>0</v>
      </c>
      <c r="AC227" s="371" t="inlineStr">
        <is>
          <t>-</t>
        </is>
      </c>
      <c r="AD227" s="373" t="n">
        <v>3513636</v>
      </c>
      <c r="AE227" s="371" t="n">
        <v>0</v>
      </c>
      <c r="AF227" s="625" t="n">
        <v>0</v>
      </c>
      <c r="AG227" s="205" t="n">
        <v>0</v>
      </c>
      <c r="AH227" s="205" t="n">
        <v>0</v>
      </c>
      <c r="AI227" s="205" t="n">
        <v>0</v>
      </c>
      <c r="AJ227" s="205" t="n">
        <v>0</v>
      </c>
      <c r="AK227" s="205" t="n">
        <v>0</v>
      </c>
      <c r="AL227" s="205" t="n">
        <v>0.01</v>
      </c>
      <c r="AM227" s="205" t="n">
        <v>0</v>
      </c>
      <c r="AN227" s="205" t="inlineStr">
        <is>
          <t>EMF,KHTHC,KHCIC,KHTHC,KHCIC,EMF,EIB,EIB,KHDOC</t>
        </is>
      </c>
    </row>
    <row r="228">
      <c r="A228" s="222">
        <f>A227+1</f>
        <v/>
      </c>
      <c r="B228" s="224" t="inlineStr">
        <is>
          <t>Trucking Fee-Im</t>
        </is>
      </c>
      <c r="C228" s="224" t="inlineStr">
        <is>
          <t>BRILLIANT TRANSPORT AND TRADING Co., Ltd.</t>
        </is>
      </c>
      <c r="D228" s="225" t="inlineStr">
        <is>
          <t>K002-100089305</t>
        </is>
      </c>
      <c r="E228" s="359" t="inlineStr">
        <is>
          <t>BTT25-0000437</t>
        </is>
      </c>
      <c r="F228" s="338" t="n">
        <v>45715</v>
      </c>
      <c r="G228" s="226" t="n"/>
      <c r="H228" s="627" t="n"/>
      <c r="I228" s="627" t="n">
        <v>4206490</v>
      </c>
      <c r="J228" s="223" t="inlineStr">
        <is>
          <t>អនុញ្ញាត (បានប្រកាស)</t>
        </is>
      </c>
      <c r="K228" s="223" t="n"/>
      <c r="L228" s="626">
        <f>I228</f>
        <v/>
      </c>
      <c r="M228" s="598">
        <f>I228-L228</f>
        <v/>
      </c>
      <c r="N228" s="223" t="n"/>
      <c r="O228" s="228">
        <f>U228=E228</f>
        <v/>
      </c>
      <c r="P228" s="228">
        <f>MONTH(F228)-MONTH(T228)</f>
        <v/>
      </c>
      <c r="Q228" s="228">
        <f>$B$5=X228</f>
        <v/>
      </c>
      <c r="R228" s="228">
        <f>I228-AD228</f>
        <v/>
      </c>
      <c r="S228" s="371" t="n"/>
      <c r="T228" s="372" t="n">
        <v>45715</v>
      </c>
      <c r="U228" s="371" t="inlineStr">
        <is>
          <t>BTT25-0000437</t>
        </is>
      </c>
      <c r="V228" s="371" t="n">
        <v>0</v>
      </c>
      <c r="W228" s="371" t="inlineStr">
        <is>
          <t>បុគ្គលជាប់អាករ</t>
        </is>
      </c>
      <c r="X228" s="371" t="inlineStr">
        <is>
          <t>L001-901640009</t>
        </is>
      </c>
      <c r="Y228" s="371" t="inlineStr">
        <is>
          <t>ហូលីដេ ឌីហ្សាញ (ខេមបូឌា) ឯ.ក</t>
        </is>
      </c>
      <c r="Z228" s="373" t="n">
        <v>46271390</v>
      </c>
      <c r="AA228" s="373" t="n">
        <v>42064900</v>
      </c>
      <c r="AB228" s="371" t="n">
        <v>0</v>
      </c>
      <c r="AC228" s="371" t="inlineStr">
        <is>
          <t>-</t>
        </is>
      </c>
      <c r="AD228" s="373" t="n">
        <v>4206490</v>
      </c>
      <c r="AE228" s="371" t="n">
        <v>0</v>
      </c>
      <c r="AF228" s="625" t="n">
        <v>0</v>
      </c>
      <c r="AG228" s="205" t="n">
        <v>0</v>
      </c>
      <c r="AH228" s="205" t="n">
        <v>0</v>
      </c>
      <c r="AI228" s="205" t="n">
        <v>0</v>
      </c>
      <c r="AJ228" s="205" t="n">
        <v>0</v>
      </c>
      <c r="AK228" s="205" t="n">
        <v>0</v>
      </c>
      <c r="AL228" s="205" t="n">
        <v>0.01</v>
      </c>
      <c r="AM228" s="205" t="n">
        <v>0</v>
      </c>
      <c r="AN228" s="205" t="inlineStr">
        <is>
          <t>Truking / Service</t>
        </is>
      </c>
    </row>
    <row r="229">
      <c r="A229" s="222">
        <f>A228+1</f>
        <v/>
      </c>
      <c r="B229" s="224" t="inlineStr">
        <is>
          <t>Lift-On&amp;Lift-Off-Im</t>
        </is>
      </c>
      <c r="C229" s="224" t="inlineStr">
        <is>
          <t>Port Autonome Du Sihanoukville</t>
        </is>
      </c>
      <c r="D229" s="225" t="inlineStr">
        <is>
          <t>L001-100044638</t>
        </is>
      </c>
      <c r="E229" s="359" t="n">
        <v>202500041308</v>
      </c>
      <c r="F229" s="338" t="n">
        <v>45712</v>
      </c>
      <c r="G229" s="226" t="n"/>
      <c r="H229" s="627" t="n"/>
      <c r="I229" s="627" t="n">
        <v>69791</v>
      </c>
      <c r="J229" s="223" t="inlineStr">
        <is>
          <t>អនុញ្ញាត (បានប្រកាស)</t>
        </is>
      </c>
      <c r="K229" s="223" t="n"/>
      <c r="L229" s="626">
        <f>I229</f>
        <v/>
      </c>
      <c r="M229" s="598">
        <f>I229-L229</f>
        <v/>
      </c>
      <c r="N229" s="223" t="n"/>
      <c r="O229" s="228">
        <f>U229=E229</f>
        <v/>
      </c>
      <c r="P229" s="228">
        <f>MONTH(F229)-MONTH(T229)</f>
        <v/>
      </c>
      <c r="Q229" s="228">
        <f>$B$5=X229</f>
        <v/>
      </c>
      <c r="R229" s="228">
        <f>I229-AD229</f>
        <v/>
      </c>
      <c r="S229" s="371" t="n"/>
      <c r="T229" s="372" t="n">
        <v>45712</v>
      </c>
      <c r="U229" s="371" t="n">
        <v>202500041308</v>
      </c>
      <c r="V229" s="371" t="n">
        <v>0</v>
      </c>
      <c r="W229" s="371" t="inlineStr">
        <is>
          <t>បុគ្គលជាប់អាករ</t>
        </is>
      </c>
      <c r="X229" s="371" t="inlineStr">
        <is>
          <t>L001-901640009</t>
        </is>
      </c>
      <c r="Y229" s="371" t="inlineStr">
        <is>
          <t>ហូលីដេ ឌីហ្សាញ (ខេមបូឌា) ឯ.ក</t>
        </is>
      </c>
      <c r="Z229" s="373" t="n">
        <v>767705</v>
      </c>
      <c r="AA229" s="373" t="n">
        <v>697914</v>
      </c>
      <c r="AB229" s="371" t="n">
        <v>0</v>
      </c>
      <c r="AC229" s="371" t="inlineStr">
        <is>
          <t>-</t>
        </is>
      </c>
      <c r="AD229" s="373" t="n">
        <v>69791</v>
      </c>
      <c r="AE229" s="371" t="n">
        <v>0</v>
      </c>
      <c r="AF229" s="625" t="n">
        <v>0</v>
      </c>
      <c r="AG229" s="205" t="n">
        <v>0</v>
      </c>
      <c r="AH229" s="205" t="n">
        <v>0</v>
      </c>
      <c r="AI229" s="205" t="n">
        <v>0</v>
      </c>
      <c r="AJ229" s="205" t="n">
        <v>0</v>
      </c>
      <c r="AK229" s="205" t="n">
        <v>0</v>
      </c>
      <c r="AL229" s="205" t="n">
        <v>0.01</v>
      </c>
      <c r="AM229" s="205" t="n">
        <v>0</v>
      </c>
      <c r="AN229" s="205" t="inlineStr">
        <is>
          <t>LOLO</t>
        </is>
      </c>
    </row>
    <row r="230">
      <c r="A230" s="222">
        <f>A229+1</f>
        <v/>
      </c>
      <c r="B230" s="224" t="inlineStr">
        <is>
          <t>Trucking Fee-Im</t>
        </is>
      </c>
      <c r="C230" s="224" t="inlineStr">
        <is>
          <t>BRILLIANT TRANSPORT AND TRADING Co., Ltd.</t>
        </is>
      </c>
      <c r="D230" s="225" t="inlineStr">
        <is>
          <t>K002-100089305</t>
        </is>
      </c>
      <c r="E230" s="359" t="inlineStr">
        <is>
          <t>BTT25-0000436</t>
        </is>
      </c>
      <c r="F230" s="338" t="n">
        <v>45709</v>
      </c>
      <c r="G230" s="226" t="n"/>
      <c r="H230" s="627" t="n"/>
      <c r="I230" s="627" t="n">
        <v>489464</v>
      </c>
      <c r="J230" s="223" t="inlineStr">
        <is>
          <t>អនុញ្ញាត (បានប្រកាស)</t>
        </is>
      </c>
      <c r="K230" s="223" t="n"/>
      <c r="L230" s="626">
        <f>I230</f>
        <v/>
      </c>
      <c r="M230" s="598">
        <f>I230-L230</f>
        <v/>
      </c>
      <c r="N230" s="223" t="n"/>
      <c r="O230" s="228">
        <f>U230=E230</f>
        <v/>
      </c>
      <c r="P230" s="228">
        <f>MONTH(F230)-MONTH(T230)</f>
        <v/>
      </c>
      <c r="Q230" s="228">
        <f>$B$5=X230</f>
        <v/>
      </c>
      <c r="R230" s="228">
        <f>I230-AD230</f>
        <v/>
      </c>
      <c r="S230" s="371" t="n"/>
      <c r="T230" s="372" t="n">
        <v>45709</v>
      </c>
      <c r="U230" s="371" t="inlineStr">
        <is>
          <t>BTT25-0000436</t>
        </is>
      </c>
      <c r="V230" s="371" t="n">
        <v>0</v>
      </c>
      <c r="W230" s="371" t="inlineStr">
        <is>
          <t>បុគ្គលជាប់អាករ</t>
        </is>
      </c>
      <c r="X230" s="371" t="inlineStr">
        <is>
          <t>L001-901640009</t>
        </is>
      </c>
      <c r="Y230" s="371" t="inlineStr">
        <is>
          <t>ហូលីដេ ឌីហ្សាញ (ខេមបូឌា) ឯ.ក</t>
        </is>
      </c>
      <c r="Z230" s="373" t="n">
        <v>5384104</v>
      </c>
      <c r="AA230" s="373" t="n">
        <v>4894640</v>
      </c>
      <c r="AB230" s="371" t="n">
        <v>0</v>
      </c>
      <c r="AC230" s="371" t="inlineStr">
        <is>
          <t>-</t>
        </is>
      </c>
      <c r="AD230" s="373" t="n">
        <v>489464</v>
      </c>
      <c r="AE230" s="371" t="n">
        <v>0</v>
      </c>
      <c r="AF230" s="625" t="n">
        <v>0</v>
      </c>
      <c r="AG230" s="205" t="n">
        <v>0</v>
      </c>
      <c r="AH230" s="205" t="n">
        <v>0</v>
      </c>
      <c r="AI230" s="205" t="n">
        <v>0</v>
      </c>
      <c r="AJ230" s="205" t="n">
        <v>0</v>
      </c>
      <c r="AK230" s="205" t="n">
        <v>0</v>
      </c>
      <c r="AL230" s="205" t="n">
        <v>0.01</v>
      </c>
      <c r="AM230" s="205" t="n">
        <v>0</v>
      </c>
      <c r="AN230" s="205" t="inlineStr">
        <is>
          <t>Truking / Service</t>
        </is>
      </c>
    </row>
    <row r="231">
      <c r="A231" s="222">
        <f>A230+1</f>
        <v/>
      </c>
      <c r="B231" s="224" t="inlineStr">
        <is>
          <t>Lift-On&amp;Lift-Off-Im</t>
        </is>
      </c>
      <c r="C231" s="224" t="inlineStr">
        <is>
          <t>Port Autonome Du Sihanoukville</t>
        </is>
      </c>
      <c r="D231" s="225" t="inlineStr">
        <is>
          <t>L001-100044638</t>
        </is>
      </c>
      <c r="E231" s="359" t="n">
        <v>202500038487</v>
      </c>
      <c r="F231" s="338" t="n">
        <v>45707</v>
      </c>
      <c r="G231" s="226" t="n"/>
      <c r="H231" s="627" t="n"/>
      <c r="I231" s="627" t="n">
        <v>349392</v>
      </c>
      <c r="J231" s="223" t="inlineStr">
        <is>
          <t>អនុញ្ញាត (បានប្រកាស)</t>
        </is>
      </c>
      <c r="K231" s="223" t="n"/>
      <c r="L231" s="626">
        <f>I231</f>
        <v/>
      </c>
      <c r="M231" s="598">
        <f>I231-L231</f>
        <v/>
      </c>
      <c r="N231" s="223" t="n"/>
      <c r="O231" s="228">
        <f>U231=E231</f>
        <v/>
      </c>
      <c r="P231" s="228">
        <f>MONTH(F231)-MONTH(T231)</f>
        <v/>
      </c>
      <c r="Q231" s="228">
        <f>$B$5=X231</f>
        <v/>
      </c>
      <c r="R231" s="228">
        <f>I231-AD231</f>
        <v/>
      </c>
      <c r="S231" s="371" t="n"/>
      <c r="T231" s="372" t="n">
        <v>45707</v>
      </c>
      <c r="U231" s="371" t="n">
        <v>202500038487</v>
      </c>
      <c r="V231" s="371" t="n">
        <v>0</v>
      </c>
      <c r="W231" s="371" t="inlineStr">
        <is>
          <t>បុគ្គលជាប់អាករ</t>
        </is>
      </c>
      <c r="X231" s="371" t="inlineStr">
        <is>
          <t>L001-901640009</t>
        </is>
      </c>
      <c r="Y231" s="371" t="inlineStr">
        <is>
          <t>ហូលីដេ ឌីហ្សាញ (ខេមបូឌា) ឯ.ក</t>
        </is>
      </c>
      <c r="Z231" s="373" t="n">
        <v>3843312</v>
      </c>
      <c r="AA231" s="373" t="n">
        <v>3493920</v>
      </c>
      <c r="AB231" s="371" t="n">
        <v>0</v>
      </c>
      <c r="AC231" s="371" t="inlineStr">
        <is>
          <t>-</t>
        </is>
      </c>
      <c r="AD231" s="373" t="n">
        <v>349392</v>
      </c>
      <c r="AE231" s="371" t="n">
        <v>0</v>
      </c>
      <c r="AF231" s="625" t="n">
        <v>0</v>
      </c>
      <c r="AG231" s="205" t="n">
        <v>0</v>
      </c>
      <c r="AH231" s="205" t="n">
        <v>0</v>
      </c>
      <c r="AI231" s="205" t="n">
        <v>0</v>
      </c>
      <c r="AJ231" s="205" t="n">
        <v>0</v>
      </c>
      <c r="AK231" s="205" t="n">
        <v>0</v>
      </c>
      <c r="AL231" s="205" t="n">
        <v>0.01</v>
      </c>
      <c r="AM231" s="205" t="n">
        <v>0</v>
      </c>
      <c r="AN231" s="205" t="inlineStr">
        <is>
          <t>LOLO</t>
        </is>
      </c>
    </row>
    <row r="232">
      <c r="A232" s="222">
        <f>A231+1</f>
        <v/>
      </c>
      <c r="B232" s="224" t="inlineStr">
        <is>
          <t>Security Service</t>
        </is>
      </c>
      <c r="C232" s="224" t="inlineStr">
        <is>
          <t>V.P.R.Y SECURITY CO., LTD.</t>
        </is>
      </c>
      <c r="D232" s="225" t="inlineStr">
        <is>
          <t>K010-902303788</t>
        </is>
      </c>
      <c r="E232" s="359" t="inlineStr">
        <is>
          <t>VPRY24-00132</t>
        </is>
      </c>
      <c r="F232" s="338" t="n">
        <v>45590</v>
      </c>
      <c r="G232" s="226" t="n"/>
      <c r="H232" s="627" t="n"/>
      <c r="I232" s="627" t="n">
        <v>2044714</v>
      </c>
      <c r="J232" s="223" t="inlineStr">
        <is>
          <t>អនុញ្ញាត (បានប្រកាស)</t>
        </is>
      </c>
      <c r="K232" s="628">
        <f>L232</f>
        <v/>
      </c>
      <c r="L232" s="626">
        <f>AD232</f>
        <v/>
      </c>
      <c r="M232" s="598">
        <f>I232-L232</f>
        <v/>
      </c>
      <c r="N232" s="223" t="n"/>
      <c r="O232" s="228">
        <f>U232=E232</f>
        <v/>
      </c>
      <c r="P232" s="228">
        <f>MONTH(F232)-MONTH(T232)</f>
        <v/>
      </c>
      <c r="Q232" s="228">
        <f>$B$5=X232</f>
        <v/>
      </c>
      <c r="R232" s="228">
        <f>I232-AD232</f>
        <v/>
      </c>
      <c r="S232" s="371" t="n"/>
      <c r="T232" s="372" t="n">
        <v>45590</v>
      </c>
      <c r="U232" s="371" t="inlineStr">
        <is>
          <t>VPRY24-00132</t>
        </is>
      </c>
      <c r="V232" s="371" t="n">
        <v>0</v>
      </c>
      <c r="W232" s="371" t="inlineStr">
        <is>
          <t>បុគ្គលជាប់អាករ</t>
        </is>
      </c>
      <c r="X232" s="371" t="inlineStr">
        <is>
          <t>L001-901640009</t>
        </is>
      </c>
      <c r="Y232" s="371" t="inlineStr">
        <is>
          <t>ហូលីដេ ឌីហ្សាញ (ខេមបូឌា) ឯ.ក</t>
        </is>
      </c>
      <c r="Z232" s="373" t="n">
        <v>22491848</v>
      </c>
      <c r="AA232" s="373" t="n">
        <v>20447135</v>
      </c>
      <c r="AB232" s="371" t="n">
        <v>0</v>
      </c>
      <c r="AC232" s="371" t="inlineStr">
        <is>
          <t>-</t>
        </is>
      </c>
      <c r="AD232" s="373" t="n">
        <v>2044713</v>
      </c>
      <c r="AE232" s="371" t="n">
        <v>0</v>
      </c>
      <c r="AF232" s="625" t="n">
        <v>0</v>
      </c>
      <c r="AG232" s="205" t="n">
        <v>0</v>
      </c>
      <c r="AH232" s="205" t="n">
        <v>0</v>
      </c>
      <c r="AI232" s="205" t="n">
        <v>0</v>
      </c>
      <c r="AJ232" s="205" t="n">
        <v>0</v>
      </c>
      <c r="AK232" s="205" t="n">
        <v>0</v>
      </c>
      <c r="AL232" s="205" t="n">
        <v>0.01</v>
      </c>
      <c r="AM232" s="205" t="n">
        <v>0</v>
      </c>
      <c r="AN232" s="205" t="inlineStr">
        <is>
          <t>SERVICE</t>
        </is>
      </c>
      <c r="AO232" s="205" t="inlineStr">
        <is>
          <t>បានប្រកាសនិងបង់ពន្ធ</t>
        </is>
      </c>
    </row>
    <row r="233">
      <c r="A233" s="222">
        <f>A232+1</f>
        <v/>
      </c>
      <c r="B233" s="224" t="inlineStr">
        <is>
          <t>Trucking Fee-Im</t>
        </is>
      </c>
      <c r="C233" s="224" t="inlineStr">
        <is>
          <t>BRILLIANT TRANSPORT AND TRADING Co., Ltd.</t>
        </is>
      </c>
      <c r="D233" s="225" t="inlineStr">
        <is>
          <t>K002-100089305</t>
        </is>
      </c>
      <c r="E233" s="359" t="inlineStr">
        <is>
          <t>BTT25-0000403</t>
        </is>
      </c>
      <c r="F233" s="338" t="n">
        <v>45707</v>
      </c>
      <c r="G233" s="226" t="n"/>
      <c r="H233" s="627" t="n"/>
      <c r="I233" s="627" t="n">
        <v>2152576</v>
      </c>
      <c r="J233" s="223" t="inlineStr">
        <is>
          <t>អនុញ្ញាត (បានប្រកាស)</t>
        </is>
      </c>
      <c r="K233" s="223" t="n"/>
      <c r="L233" s="626">
        <f>I233</f>
        <v/>
      </c>
      <c r="M233" s="598">
        <f>I233-L233</f>
        <v/>
      </c>
      <c r="N233" s="223" t="n"/>
      <c r="O233" s="228">
        <f>U233=E233</f>
        <v/>
      </c>
      <c r="P233" s="228">
        <f>MONTH(F233)-MONTH(T233)</f>
        <v/>
      </c>
      <c r="Q233" s="228">
        <f>$B$5=X233</f>
        <v/>
      </c>
      <c r="R233" s="228">
        <f>I233-AD233</f>
        <v/>
      </c>
      <c r="S233" s="371" t="n"/>
      <c r="T233" s="372" t="n">
        <v>45707</v>
      </c>
      <c r="U233" s="371" t="inlineStr">
        <is>
          <t>BTT25-0000403</t>
        </is>
      </c>
      <c r="V233" s="371" t="n">
        <v>0</v>
      </c>
      <c r="W233" s="371" t="inlineStr">
        <is>
          <t>បុគ្គលជាប់អាករ</t>
        </is>
      </c>
      <c r="X233" s="371" t="inlineStr">
        <is>
          <t>L001-901640009</t>
        </is>
      </c>
      <c r="Y233" s="371" t="inlineStr">
        <is>
          <t>ហូលីដេ ឌីហ្សាញ (ខេមបូឌា) ឯ.ក</t>
        </is>
      </c>
      <c r="Z233" s="373" t="n">
        <v>23678336</v>
      </c>
      <c r="AA233" s="373" t="n">
        <v>21525760</v>
      </c>
      <c r="AB233" s="371" t="n">
        <v>0</v>
      </c>
      <c r="AC233" s="371" t="inlineStr">
        <is>
          <t>-</t>
        </is>
      </c>
      <c r="AD233" s="373" t="n">
        <v>2152576</v>
      </c>
      <c r="AE233" s="371" t="n">
        <v>0</v>
      </c>
      <c r="AF233" s="625" t="n">
        <v>0</v>
      </c>
      <c r="AG233" s="205" t="n">
        <v>0</v>
      </c>
      <c r="AH233" s="205" t="n">
        <v>0</v>
      </c>
      <c r="AI233" s="205" t="n">
        <v>0</v>
      </c>
      <c r="AJ233" s="205" t="n">
        <v>0</v>
      </c>
      <c r="AK233" s="205" t="n">
        <v>0</v>
      </c>
      <c r="AL233" s="205" t="n">
        <v>0.01</v>
      </c>
      <c r="AM233" s="205" t="n">
        <v>0</v>
      </c>
      <c r="AN233" s="205" t="inlineStr">
        <is>
          <t>Truking / Service</t>
        </is>
      </c>
    </row>
    <row r="234">
      <c r="A234" s="222">
        <f>A233+1</f>
        <v/>
      </c>
      <c r="B234" s="224" t="inlineStr">
        <is>
          <t>Lift-On&amp;Lift-Off-Im</t>
        </is>
      </c>
      <c r="C234" s="224" t="inlineStr">
        <is>
          <t>Port Autonome Du Sihanoukville</t>
        </is>
      </c>
      <c r="D234" s="225" t="inlineStr">
        <is>
          <t>L001-100044638</t>
        </is>
      </c>
      <c r="E234" s="359" t="n">
        <v>202500034018</v>
      </c>
      <c r="F234" s="338" t="n">
        <v>45700</v>
      </c>
      <c r="G234" s="226" t="n"/>
      <c r="H234" s="627" t="n"/>
      <c r="I234" s="627" t="n">
        <v>342770</v>
      </c>
      <c r="J234" s="223" t="inlineStr">
        <is>
          <t>អនុញ្ញាត (បានប្រកាស)</t>
        </is>
      </c>
      <c r="K234" s="223" t="n"/>
      <c r="L234" s="626">
        <f>I234</f>
        <v/>
      </c>
      <c r="M234" s="598">
        <f>I234-L234</f>
        <v/>
      </c>
      <c r="N234" s="223" t="n"/>
      <c r="O234" s="228">
        <f>U234=E234</f>
        <v/>
      </c>
      <c r="P234" s="228">
        <f>MONTH(F234)-MONTH(T234)</f>
        <v/>
      </c>
      <c r="Q234" s="228">
        <f>$B$5=X234</f>
        <v/>
      </c>
      <c r="R234" s="228">
        <f>I234-AD234</f>
        <v/>
      </c>
      <c r="S234" s="371" t="n"/>
      <c r="T234" s="372" t="n">
        <v>45700</v>
      </c>
      <c r="U234" s="371" t="n">
        <v>202500034018</v>
      </c>
      <c r="V234" s="371" t="n">
        <v>0</v>
      </c>
      <c r="W234" s="371" t="inlineStr">
        <is>
          <t>បុគ្គលជាប់អាករ</t>
        </is>
      </c>
      <c r="X234" s="371" t="inlineStr">
        <is>
          <t>L001-901640009</t>
        </is>
      </c>
      <c r="Y234" s="371" t="inlineStr">
        <is>
          <t>ហូលីដេ ឌីហ្សាញ (ខេមបូឌា) ឯ.ក</t>
        </is>
      </c>
      <c r="Z234" s="373" t="n">
        <v>3770465</v>
      </c>
      <c r="AA234" s="373" t="n">
        <v>3427695</v>
      </c>
      <c r="AB234" s="371" t="n">
        <v>0</v>
      </c>
      <c r="AC234" s="371" t="inlineStr">
        <is>
          <t>-</t>
        </is>
      </c>
      <c r="AD234" s="373" t="n">
        <v>342770</v>
      </c>
      <c r="AE234" s="371" t="n">
        <v>0</v>
      </c>
      <c r="AF234" s="625" t="n">
        <v>0</v>
      </c>
      <c r="AG234" s="205" t="n">
        <v>0</v>
      </c>
      <c r="AH234" s="205" t="n">
        <v>0</v>
      </c>
      <c r="AI234" s="205" t="n">
        <v>0</v>
      </c>
      <c r="AJ234" s="205" t="n">
        <v>0</v>
      </c>
      <c r="AK234" s="205" t="n">
        <v>0</v>
      </c>
      <c r="AL234" s="205" t="n">
        <v>0.01</v>
      </c>
      <c r="AM234" s="205" t="n">
        <v>0</v>
      </c>
      <c r="AN234" s="205" t="inlineStr">
        <is>
          <t>LOLO</t>
        </is>
      </c>
    </row>
    <row r="235">
      <c r="A235" s="222">
        <f>A234+1</f>
        <v/>
      </c>
      <c r="B235" s="224" t="inlineStr">
        <is>
          <t>Security Service</t>
        </is>
      </c>
      <c r="C235" s="224" t="inlineStr">
        <is>
          <t>V.P.R.Y SECURITY CO., LTD.</t>
        </is>
      </c>
      <c r="D235" s="225" t="inlineStr">
        <is>
          <t>K010-902303788</t>
        </is>
      </c>
      <c r="E235" s="359" t="inlineStr">
        <is>
          <t>VPRY2024-00148</t>
        </is>
      </c>
      <c r="F235" s="338" t="n">
        <v>45621</v>
      </c>
      <c r="G235" s="226" t="n"/>
      <c r="H235" s="627" t="n"/>
      <c r="I235" s="627" t="n">
        <v>2021049</v>
      </c>
      <c r="J235" s="223" t="inlineStr">
        <is>
          <t>ព្យួរទុក (មិនមានទិន្នន័យ)</t>
        </is>
      </c>
      <c r="K235" s="223" t="n"/>
      <c r="L235" s="626" t="n"/>
      <c r="M235" s="598">
        <f>I235-L235</f>
        <v/>
      </c>
      <c r="N235" s="223" t="n"/>
      <c r="O235" s="228">
        <f>U235=E235</f>
        <v/>
      </c>
      <c r="P235" s="228">
        <f>MONTH(F235)-MONTH(T235)</f>
        <v/>
      </c>
      <c r="Q235" s="228">
        <f>$B$5=X235</f>
        <v/>
      </c>
      <c r="R235" s="228">
        <f>I235-AD235</f>
        <v/>
      </c>
      <c r="S235" s="371" t="n"/>
      <c r="T235" s="372" t="n">
        <v>45621</v>
      </c>
      <c r="U235" s="371" t="inlineStr">
        <is>
          <t>VPRY24-00148</t>
        </is>
      </c>
      <c r="V235" s="371" t="n">
        <v>0</v>
      </c>
      <c r="W235" s="371" t="inlineStr">
        <is>
          <t>បុគ្គលជាប់អាករ</t>
        </is>
      </c>
      <c r="X235" s="371" t="inlineStr">
        <is>
          <t>L001-901640009</t>
        </is>
      </c>
      <c r="Y235" s="371" t="inlineStr">
        <is>
          <t>ហូលីដេ ឌីហ្សាញ (ខេមបូឌា) ឯ.ក</t>
        </is>
      </c>
      <c r="Z235" s="373" t="n">
        <v>22231539</v>
      </c>
      <c r="AA235" s="373" t="n">
        <v>20210490</v>
      </c>
      <c r="AB235" s="371" t="n">
        <v>0</v>
      </c>
      <c r="AC235" s="371" t="inlineStr">
        <is>
          <t>-</t>
        </is>
      </c>
      <c r="AD235" s="373" t="n">
        <v>2021049</v>
      </c>
      <c r="AE235" s="371" t="n">
        <v>0</v>
      </c>
      <c r="AF235" s="625" t="n">
        <v>0</v>
      </c>
      <c r="AG235" s="205" t="n">
        <v>0</v>
      </c>
      <c r="AH235" s="205" t="n">
        <v>0</v>
      </c>
      <c r="AI235" s="205" t="n">
        <v>0</v>
      </c>
      <c r="AJ235" s="205" t="n">
        <v>0</v>
      </c>
      <c r="AK235" s="205" t="n">
        <v>0</v>
      </c>
      <c r="AL235" s="205" t="n">
        <v>0.01</v>
      </c>
      <c r="AM235" s="205" t="n">
        <v>0</v>
      </c>
      <c r="AN235" s="205" t="inlineStr">
        <is>
          <t>SECURITY SERVICE</t>
        </is>
      </c>
      <c r="AO235" s="205" t="inlineStr">
        <is>
          <t>បានប្រកាសនិងបង់ពន្ធ</t>
        </is>
      </c>
    </row>
    <row r="236">
      <c r="A236" s="222">
        <f>A235+1</f>
        <v/>
      </c>
      <c r="B236" s="224" t="inlineStr">
        <is>
          <t>Security Service</t>
        </is>
      </c>
      <c r="C236" s="224" t="inlineStr">
        <is>
          <t>V.P.R.Y SECURITY CO., LTD.</t>
        </is>
      </c>
      <c r="D236" s="225" t="inlineStr">
        <is>
          <t>K010-902303788</t>
        </is>
      </c>
      <c r="E236" s="359" t="inlineStr">
        <is>
          <t>VPRY24-00169</t>
        </is>
      </c>
      <c r="F236" s="338" t="n">
        <v>45653</v>
      </c>
      <c r="G236" s="226" t="n"/>
      <c r="H236" s="627" t="n"/>
      <c r="I236" s="627" t="n">
        <v>2024574</v>
      </c>
      <c r="J236" s="223" t="inlineStr">
        <is>
          <t>អនុញ្ញាត (បានប្រកាស)</t>
        </is>
      </c>
      <c r="K236" s="628">
        <f>L236</f>
        <v/>
      </c>
      <c r="L236" s="626">
        <f>AD236</f>
        <v/>
      </c>
      <c r="M236" s="598">
        <f>I236-L236</f>
        <v/>
      </c>
      <c r="N236" s="223" t="n"/>
      <c r="O236" s="228">
        <f>U236=E236</f>
        <v/>
      </c>
      <c r="P236" s="228">
        <f>MONTH(F236)-MONTH(T236)</f>
        <v/>
      </c>
      <c r="Q236" s="228">
        <f>$B$5=X236</f>
        <v/>
      </c>
      <c r="R236" s="228">
        <f>I236-AD236</f>
        <v/>
      </c>
      <c r="S236" s="371" t="n"/>
      <c r="T236" s="372" t="n">
        <v>45653</v>
      </c>
      <c r="U236" s="371" t="inlineStr">
        <is>
          <t>VPRY24-00169</t>
        </is>
      </c>
      <c r="V236" s="371" t="n">
        <v>0</v>
      </c>
      <c r="W236" s="371" t="inlineStr">
        <is>
          <t>បុគ្គលជាប់អាករ</t>
        </is>
      </c>
      <c r="X236" s="371" t="inlineStr">
        <is>
          <t>L001-901640009</t>
        </is>
      </c>
      <c r="Y236" s="371" t="inlineStr">
        <is>
          <t>ហូលីដេ ឌីហ្សាញ (ខេមបូឌា) ឯ.ក</t>
        </is>
      </c>
      <c r="Z236" s="373" t="n">
        <v>22270308</v>
      </c>
      <c r="AA236" s="373" t="n">
        <v>20245735</v>
      </c>
      <c r="AB236" s="371" t="n">
        <v>0</v>
      </c>
      <c r="AC236" s="371" t="inlineStr">
        <is>
          <t>-</t>
        </is>
      </c>
      <c r="AD236" s="373" t="n">
        <v>2024573</v>
      </c>
      <c r="AE236" s="371" t="n">
        <v>0</v>
      </c>
      <c r="AF236" s="625" t="n">
        <v>0</v>
      </c>
      <c r="AG236" s="205" t="n">
        <v>0</v>
      </c>
      <c r="AH236" s="205" t="n">
        <v>0</v>
      </c>
      <c r="AI236" s="205" t="n">
        <v>0</v>
      </c>
      <c r="AJ236" s="205" t="n">
        <v>0</v>
      </c>
      <c r="AK236" s="205" t="n">
        <v>0</v>
      </c>
      <c r="AL236" s="205" t="n">
        <v>0.01</v>
      </c>
      <c r="AM236" s="205" t="n">
        <v>0</v>
      </c>
      <c r="AN236" s="205" t="inlineStr">
        <is>
          <t>SECURITY SERVICES</t>
        </is>
      </c>
      <c r="AO236" s="205" t="inlineStr">
        <is>
          <t>បានប្រកាសនិងបង់ពន្ធ</t>
        </is>
      </c>
    </row>
    <row r="237">
      <c r="A237" s="222">
        <f>A236+1</f>
        <v/>
      </c>
      <c r="B237" s="224" t="inlineStr">
        <is>
          <t>Security Service</t>
        </is>
      </c>
      <c r="C237" s="224" t="inlineStr">
        <is>
          <t>V.P.R.Y SECURITY CO., LTD.</t>
        </is>
      </c>
      <c r="D237" s="225" t="inlineStr">
        <is>
          <t>K010-902303788</t>
        </is>
      </c>
      <c r="E237" s="359" t="inlineStr">
        <is>
          <t>VPRY24-00009</t>
        </is>
      </c>
      <c r="F237" s="338" t="n">
        <v>45682</v>
      </c>
      <c r="G237" s="226" t="n"/>
      <c r="H237" s="627" t="n"/>
      <c r="I237" s="627" t="n">
        <v>2026084</v>
      </c>
      <c r="J237" s="223" t="inlineStr">
        <is>
          <t>អនុញ្ញាត (បានប្រកាស)</t>
        </is>
      </c>
      <c r="K237" s="223" t="n"/>
      <c r="L237" s="626">
        <f>I237</f>
        <v/>
      </c>
      <c r="M237" s="598">
        <f>I237-L237</f>
        <v/>
      </c>
      <c r="N237" s="223" t="n"/>
      <c r="O237" s="228">
        <f>U237=E237</f>
        <v/>
      </c>
      <c r="P237" s="228">
        <f>MONTH(F237)-MONTH(T237)</f>
        <v/>
      </c>
      <c r="Q237" s="228">
        <f>$B$5=X237</f>
        <v/>
      </c>
      <c r="R237" s="228">
        <f>I237-AD237</f>
        <v/>
      </c>
      <c r="S237" s="371" t="n"/>
      <c r="T237" s="372" t="n">
        <v>45682</v>
      </c>
      <c r="U237" s="371" t="inlineStr">
        <is>
          <t>VPRY24-00009</t>
        </is>
      </c>
      <c r="V237" s="371" t="n">
        <v>0</v>
      </c>
      <c r="W237" s="371" t="inlineStr">
        <is>
          <t>បុគ្គលជាប់អាករ</t>
        </is>
      </c>
      <c r="X237" s="371" t="inlineStr">
        <is>
          <t>L001-901640009</t>
        </is>
      </c>
      <c r="Y237" s="371" t="inlineStr">
        <is>
          <t>ហូលីដេ ឌីហ្សាញ (ខេមបូឌា) ឯ.ក</t>
        </is>
      </c>
      <c r="Z237" s="373" t="n">
        <v>22286924</v>
      </c>
      <c r="AA237" s="373" t="n">
        <v>20260840</v>
      </c>
      <c r="AB237" s="371" t="n">
        <v>0</v>
      </c>
      <c r="AC237" s="371" t="inlineStr">
        <is>
          <t>-</t>
        </is>
      </c>
      <c r="AD237" s="373" t="n">
        <v>2026084</v>
      </c>
      <c r="AE237" s="371" t="n">
        <v>0</v>
      </c>
      <c r="AF237" s="625" t="n">
        <v>0</v>
      </c>
      <c r="AG237" s="205" t="n">
        <v>0</v>
      </c>
      <c r="AH237" s="205" t="n">
        <v>0</v>
      </c>
      <c r="AI237" s="205" t="n">
        <v>0</v>
      </c>
      <c r="AJ237" s="205" t="n">
        <v>0</v>
      </c>
      <c r="AK237" s="205" t="n">
        <v>0</v>
      </c>
      <c r="AL237" s="205" t="n">
        <v>0.01</v>
      </c>
      <c r="AM237" s="205" t="n">
        <v>0</v>
      </c>
      <c r="AN237" s="205" t="inlineStr">
        <is>
          <t>SECURITY SERVICES</t>
        </is>
      </c>
      <c r="AO237" s="205" t="inlineStr">
        <is>
          <t>បានប្រកាសនិងបង់ពន្ធ</t>
        </is>
      </c>
    </row>
    <row r="238">
      <c r="A238" s="222">
        <f>A237+1</f>
        <v/>
      </c>
      <c r="B238" s="224" t="inlineStr">
        <is>
          <t>Security Service</t>
        </is>
      </c>
      <c r="C238" s="224" t="inlineStr">
        <is>
          <t>V.P.R.Y SECURITY CO., LTD.</t>
        </is>
      </c>
      <c r="D238" s="225" t="inlineStr">
        <is>
          <t>K010-902303788</t>
        </is>
      </c>
      <c r="E238" s="359" t="inlineStr">
        <is>
          <t>VPRY24-00032</t>
        </is>
      </c>
      <c r="F238" s="338" t="n">
        <v>45715</v>
      </c>
      <c r="G238" s="226" t="n"/>
      <c r="H238" s="627" t="n"/>
      <c r="I238" s="627" t="n">
        <v>2019035</v>
      </c>
      <c r="J238" s="223" t="inlineStr">
        <is>
          <t>អនុញ្ញាត (បានប្រកាស)</t>
        </is>
      </c>
      <c r="K238" s="223" t="n"/>
      <c r="L238" s="626">
        <f>I238</f>
        <v/>
      </c>
      <c r="M238" s="598">
        <f>I238-L238</f>
        <v/>
      </c>
      <c r="N238" s="223" t="n"/>
      <c r="O238" s="228">
        <f>U238=E238</f>
        <v/>
      </c>
      <c r="P238" s="228">
        <f>MONTH(F238)-MONTH(T238)</f>
        <v/>
      </c>
      <c r="Q238" s="228">
        <f>$B$5=X238</f>
        <v/>
      </c>
      <c r="R238" s="228">
        <f>I238-AD238</f>
        <v/>
      </c>
      <c r="S238" s="371" t="n"/>
      <c r="T238" s="372" t="n">
        <v>45690</v>
      </c>
      <c r="U238" s="371" t="inlineStr">
        <is>
          <t>VPRY24-00032</t>
        </is>
      </c>
      <c r="V238" s="371" t="n">
        <v>0</v>
      </c>
      <c r="W238" s="371" t="inlineStr">
        <is>
          <t>បុគ្គលជាប់អាករ</t>
        </is>
      </c>
      <c r="X238" s="371" t="inlineStr">
        <is>
          <t>L001-901640009</t>
        </is>
      </c>
      <c r="Y238" s="371" t="inlineStr">
        <is>
          <t>ហូលីដេ ឌីហ្សាញ (ខេមបូឌា) ឯ.ក</t>
        </is>
      </c>
      <c r="Z238" s="373" t="n">
        <v>22209385</v>
      </c>
      <c r="AA238" s="373" t="n">
        <v>20190350</v>
      </c>
      <c r="AB238" s="371" t="n">
        <v>0</v>
      </c>
      <c r="AC238" s="371" t="inlineStr">
        <is>
          <t>-</t>
        </is>
      </c>
      <c r="AD238" s="373" t="n">
        <v>2019035</v>
      </c>
      <c r="AE238" s="371" t="n">
        <v>0</v>
      </c>
      <c r="AF238" s="625" t="n">
        <v>0</v>
      </c>
      <c r="AG238" s="205" t="n">
        <v>0</v>
      </c>
      <c r="AH238" s="205" t="n">
        <v>0</v>
      </c>
      <c r="AI238" s="205" t="n">
        <v>0</v>
      </c>
      <c r="AJ238" s="205" t="n">
        <v>0</v>
      </c>
      <c r="AK238" s="205" t="n">
        <v>0</v>
      </c>
      <c r="AL238" s="205" t="n">
        <v>0.01</v>
      </c>
      <c r="AM238" s="205" t="n">
        <v>0</v>
      </c>
      <c r="AN238" s="205" t="inlineStr">
        <is>
          <t>Service</t>
        </is>
      </c>
      <c r="AO238" s="205" t="inlineStr">
        <is>
          <t>បានប្រកាសនិងបង់ពន្ធ</t>
        </is>
      </c>
    </row>
    <row r="239">
      <c r="A239" s="222">
        <f>A238+1</f>
        <v/>
      </c>
      <c r="B239" s="224" t="inlineStr">
        <is>
          <t>Terminal Handling Service-Im</t>
        </is>
      </c>
      <c r="C239" s="224" t="inlineStr">
        <is>
          <t>SITC CONTAINER LINES (CAMBODIA) Co., Ltd.</t>
        </is>
      </c>
      <c r="D239" s="225" t="inlineStr">
        <is>
          <t>L001-107035863</t>
        </is>
      </c>
      <c r="E239" s="359" t="inlineStr">
        <is>
          <t>SITC2025-005017</t>
        </is>
      </c>
      <c r="F239" s="338" t="n">
        <v>45695</v>
      </c>
      <c r="G239" s="226" t="n"/>
      <c r="H239" s="627" t="n"/>
      <c r="I239" s="627" t="n">
        <v>1831752</v>
      </c>
      <c r="J239" s="223" t="inlineStr">
        <is>
          <t>អនុញ្ញាត (បានប្រកាស)</t>
        </is>
      </c>
      <c r="K239" s="223" t="n"/>
      <c r="L239" s="626">
        <f>I239</f>
        <v/>
      </c>
      <c r="M239" s="598">
        <f>I239-L239</f>
        <v/>
      </c>
      <c r="N239" s="223" t="n"/>
      <c r="O239" s="228">
        <f>U239=E239</f>
        <v/>
      </c>
      <c r="P239" s="228">
        <f>MONTH(F239)-MONTH(T239)</f>
        <v/>
      </c>
      <c r="Q239" s="228">
        <f>$B$5=X239</f>
        <v/>
      </c>
      <c r="R239" s="228">
        <f>I239-AD239</f>
        <v/>
      </c>
      <c r="S239" s="371" t="n"/>
      <c r="T239" s="372" t="n">
        <v>45695</v>
      </c>
      <c r="U239" s="371" t="inlineStr">
        <is>
          <t>SITC2025-005017</t>
        </is>
      </c>
      <c r="V239" s="371" t="n">
        <v>0</v>
      </c>
      <c r="W239" s="371" t="inlineStr">
        <is>
          <t>បុគ្គលជាប់អាករ</t>
        </is>
      </c>
      <c r="X239" s="371" t="inlineStr">
        <is>
          <t>L001-901640009</t>
        </is>
      </c>
      <c r="Y239" s="371" t="inlineStr">
        <is>
          <t>ហូលីដេ ឌីហ្សាញ (ខេមបូឌា) ឯ.ក</t>
        </is>
      </c>
      <c r="Z239" s="373" t="n">
        <v>20149272</v>
      </c>
      <c r="AA239" s="373" t="n">
        <v>18317520</v>
      </c>
      <c r="AB239" s="371" t="n">
        <v>0</v>
      </c>
      <c r="AC239" s="371" t="inlineStr">
        <is>
          <t>-</t>
        </is>
      </c>
      <c r="AD239" s="373" t="n">
        <v>1831752</v>
      </c>
      <c r="AE239" s="371" t="n">
        <v>0</v>
      </c>
      <c r="AF239" s="625" t="n">
        <v>0</v>
      </c>
      <c r="AG239" s="205" t="n">
        <v>0</v>
      </c>
      <c r="AH239" s="205" t="n">
        <v>0</v>
      </c>
      <c r="AI239" s="205" t="n">
        <v>0</v>
      </c>
      <c r="AJ239" s="205" t="n">
        <v>0</v>
      </c>
      <c r="AK239" s="205" t="n">
        <v>0</v>
      </c>
      <c r="AL239" s="205" t="n">
        <v>0.01</v>
      </c>
      <c r="AM239" s="205" t="n">
        <v>0</v>
      </c>
      <c r="AN239" s="205" t="inlineStr">
        <is>
          <t>KHTHC,EIB,EMF,KHCIC,KHDOC</t>
        </is>
      </c>
    </row>
    <row r="240">
      <c r="A240" s="222">
        <f>A239+1</f>
        <v/>
      </c>
      <c r="B240" s="224" t="inlineStr">
        <is>
          <t>Trucking Fee-Im</t>
        </is>
      </c>
      <c r="C240" s="224" t="inlineStr">
        <is>
          <t>BRILLIANT TRANSPORT AND TRADING Co., Ltd.</t>
        </is>
      </c>
      <c r="D240" s="225" t="inlineStr">
        <is>
          <t>K002-100089305</t>
        </is>
      </c>
      <c r="E240" s="359" t="inlineStr">
        <is>
          <t>BTT25-0000355</t>
        </is>
      </c>
      <c r="F240" s="338" t="n">
        <v>45695</v>
      </c>
      <c r="G240" s="226" t="n"/>
      <c r="H240" s="627" t="n"/>
      <c r="I240" s="627" t="n">
        <v>3692289</v>
      </c>
      <c r="J240" s="223" t="inlineStr">
        <is>
          <t>អនុញ្ញាត (បានប្រកាស)</t>
        </is>
      </c>
      <c r="K240" s="223" t="n"/>
      <c r="L240" s="626">
        <f>I240</f>
        <v/>
      </c>
      <c r="M240" s="598">
        <f>I240-L240</f>
        <v/>
      </c>
      <c r="N240" s="223" t="n"/>
      <c r="O240" s="228">
        <f>U240=E240</f>
        <v/>
      </c>
      <c r="P240" s="228">
        <f>MONTH(F240)-MONTH(T240)</f>
        <v/>
      </c>
      <c r="Q240" s="228">
        <f>$B$5=X240</f>
        <v/>
      </c>
      <c r="R240" s="228">
        <f>I240-AD240</f>
        <v/>
      </c>
      <c r="S240" s="371" t="n"/>
      <c r="T240" s="372" t="n">
        <v>45700</v>
      </c>
      <c r="U240" s="371" t="inlineStr">
        <is>
          <t>BTT25-0000355</t>
        </is>
      </c>
      <c r="V240" s="371" t="n">
        <v>0</v>
      </c>
      <c r="W240" s="371" t="inlineStr">
        <is>
          <t>បុគ្គលជាប់អាករ</t>
        </is>
      </c>
      <c r="X240" s="371" t="inlineStr">
        <is>
          <t>L001-901640009</t>
        </is>
      </c>
      <c r="Y240" s="371" t="inlineStr">
        <is>
          <t>ហូលីដេ ឌីហ្សាញ (ខេមបូឌា) ឯ.ក</t>
        </is>
      </c>
      <c r="Z240" s="373" t="n">
        <v>40615179</v>
      </c>
      <c r="AA240" s="373" t="n">
        <v>36922890</v>
      </c>
      <c r="AB240" s="371" t="n">
        <v>0</v>
      </c>
      <c r="AC240" s="371" t="inlineStr">
        <is>
          <t>-</t>
        </is>
      </c>
      <c r="AD240" s="373" t="n">
        <v>3692289</v>
      </c>
      <c r="AE240" s="371" t="n">
        <v>0</v>
      </c>
      <c r="AF240" s="625" t="n">
        <v>0</v>
      </c>
      <c r="AG240" s="205" t="n">
        <v>0</v>
      </c>
      <c r="AH240" s="205" t="n">
        <v>0</v>
      </c>
      <c r="AI240" s="205" t="n">
        <v>0</v>
      </c>
      <c r="AJ240" s="205" t="n">
        <v>0</v>
      </c>
      <c r="AK240" s="205" t="n">
        <v>0</v>
      </c>
      <c r="AL240" s="205" t="n">
        <v>0.01</v>
      </c>
      <c r="AM240" s="205" t="n">
        <v>0</v>
      </c>
      <c r="AN240" s="205" t="inlineStr">
        <is>
          <t>Truking / Service</t>
        </is>
      </c>
    </row>
    <row r="241">
      <c r="A241" s="222">
        <f>A240+1</f>
        <v/>
      </c>
      <c r="B241" s="224" t="inlineStr">
        <is>
          <t>Lift-On&amp;Lift-Off-Im</t>
        </is>
      </c>
      <c r="C241" s="224" t="inlineStr">
        <is>
          <t>Port Autonome Du Sihanoukville</t>
        </is>
      </c>
      <c r="D241" s="225" t="inlineStr">
        <is>
          <t>L001-100044638</t>
        </is>
      </c>
      <c r="E241" s="359" t="n">
        <v>202500032421</v>
      </c>
      <c r="F241" s="338" t="n">
        <v>45698</v>
      </c>
      <c r="G241" s="226" t="n"/>
      <c r="H241" s="627" t="n"/>
      <c r="I241" s="627" t="n">
        <v>160278</v>
      </c>
      <c r="J241" s="223" t="inlineStr">
        <is>
          <t>អនុញ្ញាត (បានប្រកាស)</t>
        </is>
      </c>
      <c r="K241" s="223" t="n"/>
      <c r="L241" s="626">
        <f>I241</f>
        <v/>
      </c>
      <c r="M241" s="598">
        <f>I241-L241</f>
        <v/>
      </c>
      <c r="N241" s="223" t="n"/>
      <c r="O241" s="228">
        <f>U241=E241</f>
        <v/>
      </c>
      <c r="P241" s="228">
        <f>MONTH(F241)-MONTH(T241)</f>
        <v/>
      </c>
      <c r="Q241" s="228">
        <f>$B$5=X241</f>
        <v/>
      </c>
      <c r="R241" s="228">
        <f>I241-AD241</f>
        <v/>
      </c>
      <c r="S241" s="371" t="n"/>
      <c r="T241" s="372" t="n">
        <v>45698</v>
      </c>
      <c r="U241" s="371" t="n">
        <v>202500032421</v>
      </c>
      <c r="V241" s="371" t="n">
        <v>0</v>
      </c>
      <c r="W241" s="371" t="inlineStr">
        <is>
          <t>បុគ្គលជាប់អាករ</t>
        </is>
      </c>
      <c r="X241" s="371" t="inlineStr">
        <is>
          <t>L001-901640009</t>
        </is>
      </c>
      <c r="Y241" s="371" t="inlineStr">
        <is>
          <t>ហូលីដេ ឌីហ្សាញ (ខេមបូឌា) ឯ.ក</t>
        </is>
      </c>
      <c r="Z241" s="373" t="n">
        <v>1763061</v>
      </c>
      <c r="AA241" s="373" t="n">
        <v>1602783</v>
      </c>
      <c r="AB241" s="371" t="n">
        <v>0</v>
      </c>
      <c r="AC241" s="371" t="inlineStr">
        <is>
          <t>-</t>
        </is>
      </c>
      <c r="AD241" s="373" t="n">
        <v>160278</v>
      </c>
      <c r="AE241" s="371" t="n">
        <v>0</v>
      </c>
      <c r="AF241" s="625" t="n">
        <v>0</v>
      </c>
      <c r="AG241" s="205" t="n">
        <v>0</v>
      </c>
      <c r="AH241" s="205" t="n">
        <v>0</v>
      </c>
      <c r="AI241" s="205" t="n">
        <v>0</v>
      </c>
      <c r="AJ241" s="205" t="n">
        <v>0</v>
      </c>
      <c r="AK241" s="205" t="n">
        <v>0</v>
      </c>
      <c r="AL241" s="205" t="n">
        <v>0.01</v>
      </c>
      <c r="AM241" s="205" t="n">
        <v>0</v>
      </c>
      <c r="AN241" s="205" t="inlineStr">
        <is>
          <t>LOLO</t>
        </is>
      </c>
    </row>
    <row r="242">
      <c r="A242" s="222">
        <f>A241+1</f>
        <v/>
      </c>
      <c r="B242" s="224" t="inlineStr">
        <is>
          <t>Security Service</t>
        </is>
      </c>
      <c r="C242" s="224" t="inlineStr">
        <is>
          <t>V.P.R.Y SECURITY CO., LTD.</t>
        </is>
      </c>
      <c r="D242" s="225" t="inlineStr">
        <is>
          <t>K010-902303788</t>
        </is>
      </c>
      <c r="E242" s="359" t="inlineStr">
        <is>
          <t>VPRY24-00050</t>
        </is>
      </c>
      <c r="F242" s="338" t="n">
        <v>45742</v>
      </c>
      <c r="G242" s="226" t="n"/>
      <c r="H242" s="627" t="n"/>
      <c r="I242" s="627" t="n">
        <v>2203652</v>
      </c>
      <c r="J242" s="223" t="inlineStr">
        <is>
          <t>ព្យួរទុក (មិនមានទិន្នន័យ)</t>
        </is>
      </c>
      <c r="K242" s="223" t="n"/>
      <c r="L242" s="626" t="n"/>
      <c r="M242" s="598">
        <f>I242-L242</f>
        <v/>
      </c>
      <c r="N242" s="223" t="n"/>
      <c r="O242" s="228">
        <f>U242=E242</f>
        <v/>
      </c>
      <c r="P242" s="228">
        <f>MONTH(F242)-MONTH(T242)</f>
        <v/>
      </c>
      <c r="Q242" s="228">
        <f>$B$5=X242</f>
        <v/>
      </c>
      <c r="R242" s="228">
        <f>I242-AD242</f>
        <v/>
      </c>
      <c r="S242" s="371" t="n"/>
      <c r="T242" s="372" t="n">
        <v>45742</v>
      </c>
      <c r="U242" s="371" t="inlineStr">
        <is>
          <t>VPRY25-00050</t>
        </is>
      </c>
      <c r="V242" s="371" t="n">
        <v>0</v>
      </c>
      <c r="W242" s="371" t="inlineStr">
        <is>
          <t>បុគ្គលជាប់អាករ</t>
        </is>
      </c>
      <c r="X242" s="371" t="inlineStr">
        <is>
          <t>L001-901640009</t>
        </is>
      </c>
      <c r="Y242" s="371" t="inlineStr">
        <is>
          <t>ហូលីដេ ឌីហ្សាញ (ខេមបូឌា) ឯ.ក</t>
        </is>
      </c>
      <c r="Z242" s="373" t="n">
        <v>24240167</v>
      </c>
      <c r="AA242" s="373" t="n">
        <v>22036515</v>
      </c>
      <c r="AB242" s="371" t="n">
        <v>0</v>
      </c>
      <c r="AC242" s="371" t="inlineStr">
        <is>
          <t>-</t>
        </is>
      </c>
      <c r="AD242" s="373" t="n">
        <v>2203652</v>
      </c>
      <c r="AE242" s="371" t="n">
        <v>0</v>
      </c>
      <c r="AF242" s="625" t="n">
        <v>0</v>
      </c>
      <c r="AG242" s="205" t="n">
        <v>0</v>
      </c>
      <c r="AH242" s="205" t="n">
        <v>0</v>
      </c>
      <c r="AI242" s="205" t="n">
        <v>0</v>
      </c>
      <c r="AJ242" s="205" t="n">
        <v>0</v>
      </c>
      <c r="AK242" s="205" t="n">
        <v>0</v>
      </c>
      <c r="AL242" s="205" t="n">
        <v>0.01</v>
      </c>
      <c r="AM242" s="205" t="n">
        <v>0</v>
      </c>
      <c r="AN242" s="205" t="inlineStr">
        <is>
          <t>Service</t>
        </is>
      </c>
      <c r="AO242" s="205" t="inlineStr">
        <is>
          <t>បានប្រកាសនិងបង់ពន្ធ</t>
        </is>
      </c>
    </row>
    <row r="243">
      <c r="A243" s="222">
        <f>A242+1</f>
        <v/>
      </c>
      <c r="B243" s="224" t="inlineStr">
        <is>
          <t>Trucking Fee-Im</t>
        </is>
      </c>
      <c r="C243" s="224" t="inlineStr">
        <is>
          <t>BRILLIANT TRANSPORT AND TRADING Co., Ltd.</t>
        </is>
      </c>
      <c r="D243" s="225" t="inlineStr">
        <is>
          <t>K002-100089305</t>
        </is>
      </c>
      <c r="E243" s="359" t="inlineStr">
        <is>
          <t>BTT25-0000316</t>
        </is>
      </c>
      <c r="F243" s="338" t="n">
        <v>45691</v>
      </c>
      <c r="G243" s="226" t="n"/>
      <c r="H243" s="627" t="n"/>
      <c r="I243" s="627" t="n">
        <v>186621</v>
      </c>
      <c r="J243" s="223" t="inlineStr">
        <is>
          <t>អនុញ្ញាត (បានប្រកាស)</t>
        </is>
      </c>
      <c r="K243" s="223" t="n"/>
      <c r="L243" s="626">
        <f>I243</f>
        <v/>
      </c>
      <c r="M243" s="598">
        <f>I243-L243</f>
        <v/>
      </c>
      <c r="N243" s="223" t="n"/>
      <c r="O243" s="228">
        <f>U243=E243</f>
        <v/>
      </c>
      <c r="P243" s="228">
        <f>MONTH(F243)-MONTH(T243)</f>
        <v/>
      </c>
      <c r="Q243" s="228">
        <f>$B$5=X243</f>
        <v/>
      </c>
      <c r="R243" s="228">
        <f>I243-AD243</f>
        <v/>
      </c>
      <c r="S243" s="371" t="n"/>
      <c r="T243" s="372" t="n">
        <v>45691</v>
      </c>
      <c r="U243" s="371" t="inlineStr">
        <is>
          <t>BTT25-0000316</t>
        </is>
      </c>
      <c r="V243" s="371" t="n">
        <v>0</v>
      </c>
      <c r="W243" s="371" t="inlineStr">
        <is>
          <t>បុគ្គលជាប់អាករ</t>
        </is>
      </c>
      <c r="X243" s="371" t="inlineStr">
        <is>
          <t>L001-901640009</t>
        </is>
      </c>
      <c r="Y243" s="371" t="inlineStr">
        <is>
          <t>ហូលីដេ ឌីហ្សាញ (ខេមបូឌា) ឯ.ក</t>
        </is>
      </c>
      <c r="Z243" s="373" t="n">
        <v>2052829</v>
      </c>
      <c r="AA243" s="373" t="n">
        <v>1866208</v>
      </c>
      <c r="AB243" s="371" t="n">
        <v>0</v>
      </c>
      <c r="AC243" s="371" t="inlineStr">
        <is>
          <t>-</t>
        </is>
      </c>
      <c r="AD243" s="373" t="n">
        <v>186621</v>
      </c>
      <c r="AE243" s="371" t="n">
        <v>0</v>
      </c>
      <c r="AF243" s="625" t="n">
        <v>0</v>
      </c>
      <c r="AG243" s="205" t="n">
        <v>0</v>
      </c>
      <c r="AH243" s="205" t="n">
        <v>0</v>
      </c>
      <c r="AI243" s="205" t="n">
        <v>0</v>
      </c>
      <c r="AJ243" s="205" t="n">
        <v>0</v>
      </c>
      <c r="AK243" s="205" t="n">
        <v>0</v>
      </c>
      <c r="AL243" s="205" t="n">
        <v>0.01</v>
      </c>
      <c r="AM243" s="205" t="n">
        <v>0</v>
      </c>
      <c r="AN243" s="205" t="inlineStr">
        <is>
          <t>Truking / Service</t>
        </is>
      </c>
    </row>
    <row r="244">
      <c r="A244" s="222">
        <f>A243+1</f>
        <v/>
      </c>
      <c r="B244" s="224" t="inlineStr">
        <is>
          <t>Trucking Fee-Im</t>
        </is>
      </c>
      <c r="C244" s="224" t="inlineStr">
        <is>
          <t>BRILLIANT TRANSPORT AND TRADING Co., Ltd.</t>
        </is>
      </c>
      <c r="D244" s="225" t="inlineStr">
        <is>
          <t>K002-100089305</t>
        </is>
      </c>
      <c r="E244" s="359" t="inlineStr">
        <is>
          <t>BTT25-0000448</t>
        </is>
      </c>
      <c r="F244" s="338" t="n">
        <v>45691</v>
      </c>
      <c r="G244" s="226" t="n"/>
      <c r="H244" s="627" t="n"/>
      <c r="I244" s="627" t="n">
        <v>150423</v>
      </c>
      <c r="J244" s="223" t="inlineStr">
        <is>
          <t>អនុញ្ញាត (បានប្រកាស)</t>
        </is>
      </c>
      <c r="K244" s="223" t="n"/>
      <c r="L244" s="626">
        <f>I244</f>
        <v/>
      </c>
      <c r="M244" s="598">
        <f>I244-L244</f>
        <v/>
      </c>
      <c r="N244" s="223" t="n"/>
      <c r="O244" s="228">
        <f>U244=E244</f>
        <v/>
      </c>
      <c r="P244" s="228">
        <f>MONTH(F244)-MONTH(T244)</f>
        <v/>
      </c>
      <c r="Q244" s="228">
        <f>$B$5=X244</f>
        <v/>
      </c>
      <c r="R244" s="228">
        <f>I244-AD244</f>
        <v/>
      </c>
      <c r="S244" s="371" t="n"/>
      <c r="T244" s="372" t="n">
        <v>45691</v>
      </c>
      <c r="U244" s="371" t="inlineStr">
        <is>
          <t>BTT25-0000448</t>
        </is>
      </c>
      <c r="V244" s="371" t="n">
        <v>0</v>
      </c>
      <c r="W244" s="371" t="inlineStr">
        <is>
          <t>បុគ្គលជាប់អាករ</t>
        </is>
      </c>
      <c r="X244" s="371" t="inlineStr">
        <is>
          <t>L001-901640009</t>
        </is>
      </c>
      <c r="Y244" s="371" t="inlineStr">
        <is>
          <t>ហូលីដេ ឌីហ្សាញ (ខេមបូឌា) ឯ.ក</t>
        </is>
      </c>
      <c r="Z244" s="373" t="n">
        <v>1654651</v>
      </c>
      <c r="AA244" s="373" t="n">
        <v>1504228</v>
      </c>
      <c r="AB244" s="371" t="n">
        <v>0</v>
      </c>
      <c r="AC244" s="371" t="inlineStr">
        <is>
          <t>-</t>
        </is>
      </c>
      <c r="AD244" s="373" t="n">
        <v>150423</v>
      </c>
      <c r="AE244" s="371" t="n">
        <v>0</v>
      </c>
      <c r="AF244" s="625" t="n">
        <v>0</v>
      </c>
      <c r="AG244" s="205" t="n">
        <v>0</v>
      </c>
      <c r="AH244" s="205" t="n">
        <v>0</v>
      </c>
      <c r="AI244" s="205" t="n">
        <v>0</v>
      </c>
      <c r="AJ244" s="205" t="n">
        <v>0</v>
      </c>
      <c r="AK244" s="205" t="n">
        <v>0</v>
      </c>
      <c r="AL244" s="205" t="n">
        <v>0.01</v>
      </c>
      <c r="AM244" s="205" t="n">
        <v>0</v>
      </c>
      <c r="AN244" s="205" t="inlineStr">
        <is>
          <t>Truking / Service</t>
        </is>
      </c>
    </row>
    <row r="245">
      <c r="A245" s="222">
        <f>A244+1</f>
        <v/>
      </c>
      <c r="B245" s="224" t="inlineStr">
        <is>
          <t>Trucking Fee-Im</t>
        </is>
      </c>
      <c r="C245" s="224" t="inlineStr">
        <is>
          <t>BRILLIANT TRANSPORT AND TRADING Co., Ltd.</t>
        </is>
      </c>
      <c r="D245" s="225" t="inlineStr">
        <is>
          <t>K002-100089305</t>
        </is>
      </c>
      <c r="E245" s="359" t="inlineStr">
        <is>
          <t>BTT25-0000354</t>
        </is>
      </c>
      <c r="F245" s="338" t="n">
        <v>45698</v>
      </c>
      <c r="G245" s="226" t="n"/>
      <c r="H245" s="627" t="n"/>
      <c r="I245" s="627" t="n">
        <v>1739361</v>
      </c>
      <c r="J245" s="223" t="inlineStr">
        <is>
          <t>អនុញ្ញាត (បានប្រកាស)</t>
        </is>
      </c>
      <c r="K245" s="223" t="n"/>
      <c r="L245" s="626">
        <f>I245</f>
        <v/>
      </c>
      <c r="M245" s="598">
        <f>I245-L245</f>
        <v/>
      </c>
      <c r="N245" s="223" t="n"/>
      <c r="O245" s="228">
        <f>U245=E245</f>
        <v/>
      </c>
      <c r="P245" s="228">
        <f>MONTH(F245)-MONTH(T245)</f>
        <v/>
      </c>
      <c r="Q245" s="228">
        <f>$B$5=X245</f>
        <v/>
      </c>
      <c r="R245" s="228">
        <f>I245-AD245</f>
        <v/>
      </c>
      <c r="S245" s="371" t="n"/>
      <c r="T245" s="372" t="n">
        <v>45698</v>
      </c>
      <c r="U245" s="371" t="inlineStr">
        <is>
          <t>BTT25-0000354</t>
        </is>
      </c>
      <c r="V245" s="371" t="n">
        <v>0</v>
      </c>
      <c r="W245" s="371" t="inlineStr">
        <is>
          <t>បុគ្គលជាប់អាករ</t>
        </is>
      </c>
      <c r="X245" s="371" t="inlineStr">
        <is>
          <t>L001-901640009</t>
        </is>
      </c>
      <c r="Y245" s="371" t="inlineStr">
        <is>
          <t>ហូលីដេ ឌីហ្សាញ (ខេមបូឌា) ឯ.ក</t>
        </is>
      </c>
      <c r="Z245" s="373" t="n">
        <v>19132971</v>
      </c>
      <c r="AA245" s="373" t="n">
        <v>17393610</v>
      </c>
      <c r="AB245" s="371" t="n">
        <v>0</v>
      </c>
      <c r="AC245" s="371" t="inlineStr">
        <is>
          <t>-</t>
        </is>
      </c>
      <c r="AD245" s="373" t="n">
        <v>1739361</v>
      </c>
      <c r="AE245" s="371" t="n">
        <v>0</v>
      </c>
      <c r="AF245" s="625" t="n">
        <v>0</v>
      </c>
      <c r="AG245" s="205" t="n">
        <v>0</v>
      </c>
      <c r="AH245" s="205" t="n">
        <v>0</v>
      </c>
      <c r="AI245" s="205" t="n">
        <v>0</v>
      </c>
      <c r="AJ245" s="205" t="n">
        <v>0</v>
      </c>
      <c r="AK245" s="205" t="n">
        <v>0</v>
      </c>
      <c r="AL245" s="205" t="n">
        <v>0.01</v>
      </c>
      <c r="AM245" s="205" t="n">
        <v>0</v>
      </c>
      <c r="AN245" s="205" t="inlineStr">
        <is>
          <t>Truking / Service</t>
        </is>
      </c>
    </row>
    <row r="246">
      <c r="A246" s="222">
        <f>A245+1</f>
        <v/>
      </c>
      <c r="B246" s="224" t="inlineStr">
        <is>
          <t>Terminal Handling Service-Im</t>
        </is>
      </c>
      <c r="C246" s="224" t="inlineStr">
        <is>
          <t>SITC CONTAINER LINES (CAMBODIA) Co., Ltd.</t>
        </is>
      </c>
      <c r="D246" s="225" t="inlineStr">
        <is>
          <t>L001-107035863</t>
        </is>
      </c>
      <c r="E246" s="359" t="inlineStr">
        <is>
          <t>SITC2025-004731</t>
        </is>
      </c>
      <c r="F246" s="338" t="n">
        <v>45693</v>
      </c>
      <c r="G246" s="226" t="n"/>
      <c r="H246" s="627" t="n"/>
      <c r="I246" s="627" t="n">
        <v>868320</v>
      </c>
      <c r="J246" s="223" t="inlineStr">
        <is>
          <t>អនុញ្ញាត (បានប្រកាស)</t>
        </is>
      </c>
      <c r="K246" s="223" t="n"/>
      <c r="L246" s="626">
        <f>I246</f>
        <v/>
      </c>
      <c r="M246" s="598">
        <f>I246-L246</f>
        <v/>
      </c>
      <c r="N246" s="223" t="n"/>
      <c r="O246" s="228">
        <f>U246=E246</f>
        <v/>
      </c>
      <c r="P246" s="228">
        <f>MONTH(F246)-MONTH(T246)</f>
        <v/>
      </c>
      <c r="Q246" s="228">
        <f>$B$5=X246</f>
        <v/>
      </c>
      <c r="R246" s="228">
        <f>I246-AD246</f>
        <v/>
      </c>
      <c r="S246" s="371" t="n"/>
      <c r="T246" s="372" t="n">
        <v>45693</v>
      </c>
      <c r="U246" s="371" t="inlineStr">
        <is>
          <t>SITC2025-004731</t>
        </is>
      </c>
      <c r="V246" s="371" t="n">
        <v>0</v>
      </c>
      <c r="W246" s="371" t="inlineStr">
        <is>
          <t>បុគ្គលជាប់អាករ</t>
        </is>
      </c>
      <c r="X246" s="371" t="inlineStr">
        <is>
          <t>L001-901640009</t>
        </is>
      </c>
      <c r="Y246" s="371" t="inlineStr">
        <is>
          <t>ហូលីដេ ឌីហ្សាញ (ខេមបូឌា) ឯ.ក</t>
        </is>
      </c>
      <c r="Z246" s="373" t="n">
        <v>9551520</v>
      </c>
      <c r="AA246" s="373" t="n">
        <v>8683200</v>
      </c>
      <c r="AB246" s="371" t="n">
        <v>0</v>
      </c>
      <c r="AC246" s="371" t="inlineStr">
        <is>
          <t>-</t>
        </is>
      </c>
      <c r="AD246" s="373" t="n">
        <v>868320</v>
      </c>
      <c r="AE246" s="371" t="n">
        <v>0</v>
      </c>
      <c r="AF246" s="625" t="n">
        <v>0</v>
      </c>
      <c r="AG246" s="205" t="n">
        <v>0</v>
      </c>
      <c r="AH246" s="205" t="n">
        <v>0</v>
      </c>
      <c r="AI246" s="205" t="n">
        <v>0</v>
      </c>
      <c r="AJ246" s="205" t="n">
        <v>0</v>
      </c>
      <c r="AK246" s="205" t="n">
        <v>0</v>
      </c>
      <c r="AL246" s="205" t="n">
        <v>0.01</v>
      </c>
      <c r="AM246" s="205" t="n">
        <v>0</v>
      </c>
      <c r="AN246" s="205" t="inlineStr">
        <is>
          <t>KHCIC,KHTHC,KHDOC,EIB,EMF</t>
        </is>
      </c>
    </row>
    <row r="247">
      <c r="A247" s="222">
        <f>A246+1</f>
        <v/>
      </c>
      <c r="B247" s="224" t="inlineStr">
        <is>
          <t>Security Service</t>
        </is>
      </c>
      <c r="C247" s="224" t="inlineStr">
        <is>
          <t>V.P.R.Y SECURITY CO., LTD.</t>
        </is>
      </c>
      <c r="D247" s="225" t="inlineStr">
        <is>
          <t>K010-902303788</t>
        </is>
      </c>
      <c r="E247" s="359" t="inlineStr">
        <is>
          <t>VPRY24-00085</t>
        </is>
      </c>
      <c r="F247" s="338" t="n">
        <v>45775</v>
      </c>
      <c r="G247" s="226" t="n"/>
      <c r="H247" s="627" t="n"/>
      <c r="I247" s="627" t="n">
        <v>2203101</v>
      </c>
      <c r="J247" s="223" t="inlineStr">
        <is>
          <t>ព្យួរទុក (មិនមានទិន្នន័យ)</t>
        </is>
      </c>
      <c r="K247" s="223" t="n"/>
      <c r="L247" s="626" t="n"/>
      <c r="M247" s="598">
        <f>I247-L247</f>
        <v/>
      </c>
      <c r="N247" s="223" t="n"/>
      <c r="O247" s="228">
        <f>U247=E247</f>
        <v/>
      </c>
      <c r="P247" s="228">
        <f>MONTH(F247)-MONTH(T247)</f>
        <v/>
      </c>
      <c r="Q247" s="228">
        <f>$B$5=X247</f>
        <v/>
      </c>
      <c r="R247" s="228">
        <f>I247-AD247</f>
        <v/>
      </c>
      <c r="S247" s="371" t="n"/>
      <c r="T247" s="372" t="n">
        <v>45775</v>
      </c>
      <c r="U247" s="371" t="inlineStr">
        <is>
          <t>VPRY25-00085</t>
        </is>
      </c>
      <c r="V247" s="371" t="n">
        <v>0</v>
      </c>
      <c r="W247" s="371" t="inlineStr">
        <is>
          <t>បុគ្គលជាប់អាករ</t>
        </is>
      </c>
      <c r="X247" s="371" t="inlineStr">
        <is>
          <t>L001-901640009</t>
        </is>
      </c>
      <c r="Y247" s="371" t="inlineStr">
        <is>
          <t>ហូលីដេ ឌីហ្សាញ (ខេមបូឌា) ឯ.ក</t>
        </is>
      </c>
      <c r="Z247" s="373" t="n">
        <v>24234111</v>
      </c>
      <c r="AA247" s="373" t="n">
        <v>22031010</v>
      </c>
      <c r="AB247" s="371" t="n">
        <v>0</v>
      </c>
      <c r="AC247" s="371" t="inlineStr">
        <is>
          <t>-</t>
        </is>
      </c>
      <c r="AD247" s="373" t="n">
        <v>2203101</v>
      </c>
      <c r="AE247" s="371" t="n">
        <v>0</v>
      </c>
      <c r="AF247" s="625" t="n">
        <v>0</v>
      </c>
      <c r="AG247" s="205" t="n">
        <v>0</v>
      </c>
      <c r="AH247" s="205" t="n">
        <v>0</v>
      </c>
      <c r="AI247" s="205" t="n">
        <v>0</v>
      </c>
      <c r="AJ247" s="205" t="n">
        <v>0</v>
      </c>
      <c r="AK247" s="205" t="n">
        <v>0</v>
      </c>
      <c r="AL247" s="205" t="n">
        <v>0.01</v>
      </c>
      <c r="AM247" s="205" t="n">
        <v>0</v>
      </c>
      <c r="AN247" s="205" t="inlineStr">
        <is>
          <t>Service</t>
        </is>
      </c>
      <c r="AO247" s="205" t="inlineStr">
        <is>
          <t>បានប្រកាសនិងបង់ពន្ធ</t>
        </is>
      </c>
    </row>
    <row r="248">
      <c r="A248" s="222">
        <f>A247+1</f>
        <v/>
      </c>
      <c r="B248" s="224" t="inlineStr">
        <is>
          <t>Security Service</t>
        </is>
      </c>
      <c r="C248" s="224" t="inlineStr">
        <is>
          <t>V.P.R.Y SECURITY CO., LTD.</t>
        </is>
      </c>
      <c r="D248" s="225" t="inlineStr">
        <is>
          <t>K010-902303788</t>
        </is>
      </c>
      <c r="E248" s="359" t="inlineStr">
        <is>
          <t>VPRY24-00091</t>
        </is>
      </c>
      <c r="F248" s="338" t="n">
        <v>45805</v>
      </c>
      <c r="G248" s="226" t="n"/>
      <c r="H248" s="627" t="n"/>
      <c r="I248" s="627" t="n">
        <v>2203652</v>
      </c>
      <c r="J248" s="223" t="inlineStr">
        <is>
          <t>ព្យួរទុក (មិនមានទិន្នន័យ)</t>
        </is>
      </c>
      <c r="K248" s="223" t="n"/>
      <c r="L248" s="626" t="n"/>
      <c r="M248" s="598">
        <f>I248-L248</f>
        <v/>
      </c>
      <c r="N248" s="223" t="n"/>
      <c r="O248" s="228">
        <f>U248=E248</f>
        <v/>
      </c>
      <c r="P248" s="228">
        <f>MONTH(F248)-MONTH(T248)</f>
        <v/>
      </c>
      <c r="Q248" s="228">
        <f>$B$5=X248</f>
        <v/>
      </c>
      <c r="R248" s="228">
        <f>I248-AD248</f>
        <v/>
      </c>
      <c r="S248" s="371" t="n"/>
      <c r="T248" s="372" t="n">
        <v>45805</v>
      </c>
      <c r="U248" s="371" t="inlineStr">
        <is>
          <t>VPRY25-00091</t>
        </is>
      </c>
      <c r="V248" s="371" t="n">
        <v>0</v>
      </c>
      <c r="W248" s="371" t="inlineStr">
        <is>
          <t>បុគ្គលជាប់អាករ</t>
        </is>
      </c>
      <c r="X248" s="371" t="inlineStr">
        <is>
          <t>L001-901640009</t>
        </is>
      </c>
      <c r="Y248" s="371" t="inlineStr">
        <is>
          <t>ហូលីដេ ឌីហ្សាញ (ខេមបូឌា) ឯ.ក</t>
        </is>
      </c>
      <c r="Z248" s="373" t="n">
        <v>24240167</v>
      </c>
      <c r="AA248" s="373" t="n">
        <v>22036515</v>
      </c>
      <c r="AB248" s="371" t="n">
        <v>0</v>
      </c>
      <c r="AC248" s="371" t="inlineStr">
        <is>
          <t>-</t>
        </is>
      </c>
      <c r="AD248" s="373" t="n">
        <v>2203652</v>
      </c>
      <c r="AE248" s="371" t="n">
        <v>0</v>
      </c>
      <c r="AF248" s="625" t="n">
        <v>0</v>
      </c>
      <c r="AG248" s="205" t="n">
        <v>0</v>
      </c>
      <c r="AH248" s="205" t="n">
        <v>0</v>
      </c>
      <c r="AI248" s="205" t="n">
        <v>0</v>
      </c>
      <c r="AJ248" s="205" t="n">
        <v>0</v>
      </c>
      <c r="AK248" s="205" t="n">
        <v>0</v>
      </c>
      <c r="AL248" s="205" t="n">
        <v>0.01</v>
      </c>
      <c r="AM248" s="205" t="n">
        <v>0</v>
      </c>
      <c r="AN248" s="205" t="inlineStr">
        <is>
          <t>Service</t>
        </is>
      </c>
      <c r="AO248" s="205" t="inlineStr">
        <is>
          <t>បានប្រកាសនិងបង់ពន្ធ</t>
        </is>
      </c>
    </row>
    <row r="249">
      <c r="A249" s="222">
        <f>A248+1</f>
        <v/>
      </c>
      <c r="B249" s="224" t="inlineStr">
        <is>
          <t>Transportation Fee</t>
        </is>
      </c>
      <c r="C249" s="224" t="inlineStr">
        <is>
          <t>YE E DA INTERNATIONAL LOGISTICS CO., LTD.</t>
        </is>
      </c>
      <c r="D249" s="225" t="inlineStr">
        <is>
          <t>K010-902401220</t>
        </is>
      </c>
      <c r="E249" s="359" t="n">
        <v>10</v>
      </c>
      <c r="F249" s="338" t="n">
        <v>45714</v>
      </c>
      <c r="G249" s="226" t="n"/>
      <c r="H249" s="627" t="n"/>
      <c r="I249" s="627" t="n">
        <v>398795</v>
      </c>
      <c r="J249" s="223" t="inlineStr">
        <is>
          <t>អនុញ្ញាត (បានប្រកាស)</t>
        </is>
      </c>
      <c r="K249" s="223" t="n"/>
      <c r="L249" s="626">
        <f>I249</f>
        <v/>
      </c>
      <c r="M249" s="598">
        <f>I249-L249</f>
        <v/>
      </c>
      <c r="N249" s="223" t="n"/>
      <c r="O249" s="228">
        <f>U249=E249</f>
        <v/>
      </c>
      <c r="P249" s="228">
        <f>MONTH(F249)-MONTH(T249)</f>
        <v/>
      </c>
      <c r="Q249" s="228">
        <f>$B$5=X249</f>
        <v/>
      </c>
      <c r="R249" s="228">
        <f>I249-AD249</f>
        <v/>
      </c>
      <c r="S249" s="371" t="n"/>
      <c r="T249" s="372" t="n">
        <v>45714</v>
      </c>
      <c r="U249" s="371" t="n">
        <v>10</v>
      </c>
      <c r="V249" s="371" t="n">
        <v>0</v>
      </c>
      <c r="W249" s="371" t="n">
        <v>0</v>
      </c>
      <c r="X249" s="371" t="inlineStr">
        <is>
          <t>L001-901640009</t>
        </is>
      </c>
      <c r="Y249" s="371" t="n">
        <v>0</v>
      </c>
      <c r="Z249" s="373" t="n">
        <v>0</v>
      </c>
      <c r="AA249" s="373" t="n">
        <v>0</v>
      </c>
      <c r="AB249" s="371" t="n">
        <v>0</v>
      </c>
      <c r="AC249" s="371" t="n">
        <v>0</v>
      </c>
      <c r="AD249" s="373" t="n">
        <v>398795</v>
      </c>
      <c r="AE249" s="371" t="n">
        <v>0</v>
      </c>
      <c r="AF249" s="625" t="n">
        <v>0</v>
      </c>
      <c r="AG249" s="205" t="n">
        <v>0</v>
      </c>
      <c r="AH249" s="205" t="n">
        <v>0</v>
      </c>
      <c r="AI249" s="205" t="n">
        <v>0</v>
      </c>
      <c r="AJ249" s="205" t="n">
        <v>0</v>
      </c>
      <c r="AK249" s="205" t="n">
        <v>0</v>
      </c>
      <c r="AL249" s="205" t="n">
        <v>0</v>
      </c>
      <c r="AM249" s="205" t="n">
        <v>0</v>
      </c>
      <c r="AN249" s="205" t="n">
        <v>0</v>
      </c>
      <c r="AO249" s="205" t="n">
        <v>0</v>
      </c>
    </row>
    <row r="250">
      <c r="A250" s="222">
        <f>A249+1</f>
        <v/>
      </c>
      <c r="B250" s="224" t="inlineStr">
        <is>
          <t>Transportation Fee</t>
        </is>
      </c>
      <c r="C250" s="224" t="inlineStr">
        <is>
          <t>YE E DA INTERNATIONAL LOGISTICS CO., LTD.</t>
        </is>
      </c>
      <c r="D250" s="225" t="inlineStr">
        <is>
          <t>K010-902401220</t>
        </is>
      </c>
      <c r="E250" s="359" t="n">
        <v>15</v>
      </c>
      <c r="F250" s="338" t="n">
        <v>45743</v>
      </c>
      <c r="G250" s="226" t="n"/>
      <c r="H250" s="627" t="n"/>
      <c r="I250" s="627" t="n">
        <v>1996209</v>
      </c>
      <c r="J250" s="223" t="inlineStr">
        <is>
          <t>អនុញ្ញាត (បានប្រកាស)</t>
        </is>
      </c>
      <c r="K250" s="223" t="n"/>
      <c r="L250" s="626">
        <f>I250</f>
        <v/>
      </c>
      <c r="M250" s="598">
        <f>I250-L250</f>
        <v/>
      </c>
      <c r="N250" s="223" t="n"/>
      <c r="O250" s="228">
        <f>U250=E250</f>
        <v/>
      </c>
      <c r="P250" s="228">
        <f>MONTH(F250)-MONTH(T250)</f>
        <v/>
      </c>
      <c r="Q250" s="228">
        <f>$B$5=X250</f>
        <v/>
      </c>
      <c r="R250" s="228">
        <f>I250-AD250</f>
        <v/>
      </c>
      <c r="S250" s="371" t="n"/>
      <c r="T250" s="372" t="n">
        <v>45743</v>
      </c>
      <c r="U250" s="371" t="n">
        <v>15</v>
      </c>
      <c r="V250" s="371" t="n">
        <v>0</v>
      </c>
      <c r="W250" s="371" t="inlineStr">
        <is>
          <t>បុគ្គលជាប់អាករ</t>
        </is>
      </c>
      <c r="X250" s="371" t="inlineStr">
        <is>
          <t>L001-901640009</t>
        </is>
      </c>
      <c r="Y250" s="371" t="inlineStr">
        <is>
          <t>ហូលីដេ ឌីហ្សាញ (ខេមបូឌា) ឯ.ក</t>
        </is>
      </c>
      <c r="Z250" s="373" t="n">
        <v>21958294</v>
      </c>
      <c r="AA250" s="373" t="n">
        <v>19962085</v>
      </c>
      <c r="AB250" s="371" t="n">
        <v>0</v>
      </c>
      <c r="AC250" s="371" t="inlineStr">
        <is>
          <t>-</t>
        </is>
      </c>
      <c r="AD250" s="373" t="n">
        <v>1996209</v>
      </c>
      <c r="AE250" s="371" t="n">
        <v>0</v>
      </c>
      <c r="AF250" s="625" t="n">
        <v>0</v>
      </c>
      <c r="AG250" s="205" t="n">
        <v>0</v>
      </c>
      <c r="AH250" s="205" t="n">
        <v>0</v>
      </c>
      <c r="AI250" s="205" t="n">
        <v>0</v>
      </c>
      <c r="AJ250" s="205" t="n">
        <v>0</v>
      </c>
      <c r="AK250" s="205" t="n">
        <v>0</v>
      </c>
      <c r="AL250" s="205" t="n">
        <v>0.01</v>
      </c>
      <c r="AM250" s="205" t="n">
        <v>0</v>
      </c>
      <c r="AN250" s="205" t="inlineStr">
        <is>
          <t>Transportation Fee</t>
        </is>
      </c>
      <c r="AO250" s="205" t="inlineStr">
        <is>
          <t>បានប្រកាសនិងបង់ពន្ធ</t>
        </is>
      </c>
    </row>
    <row r="251">
      <c r="A251" s="222">
        <f>A250+1</f>
        <v/>
      </c>
      <c r="B251" s="224" t="inlineStr">
        <is>
          <t>Transportation Fee</t>
        </is>
      </c>
      <c r="C251" s="224" t="inlineStr">
        <is>
          <t>YE E DA INTERNATIONAL LOGISTICS CO., LTD.</t>
        </is>
      </c>
      <c r="D251" s="225" t="inlineStr">
        <is>
          <t>K010-902401220</t>
        </is>
      </c>
      <c r="E251" s="359" t="n">
        <v>18</v>
      </c>
      <c r="F251" s="338" t="n">
        <v>45772</v>
      </c>
      <c r="G251" s="226" t="n"/>
      <c r="H251" s="627" t="n"/>
      <c r="I251" s="627" t="n">
        <v>3339703</v>
      </c>
      <c r="J251" s="223" t="inlineStr">
        <is>
          <t>អនុញ្ញាត (បានប្រកាស)</t>
        </is>
      </c>
      <c r="K251" s="223" t="n"/>
      <c r="L251" s="626">
        <f>I251</f>
        <v/>
      </c>
      <c r="M251" s="598">
        <f>I251-L251</f>
        <v/>
      </c>
      <c r="N251" s="223" t="n"/>
      <c r="O251" s="228">
        <f>U251=E251</f>
        <v/>
      </c>
      <c r="P251" s="228">
        <f>MONTH(F251)-MONTH(T251)</f>
        <v/>
      </c>
      <c r="Q251" s="228">
        <f>$B$5=X251</f>
        <v/>
      </c>
      <c r="R251" s="228">
        <f>I251-AD251</f>
        <v/>
      </c>
      <c r="S251" s="371" t="n"/>
      <c r="T251" s="372" t="n">
        <v>45772</v>
      </c>
      <c r="U251" s="371" t="n">
        <v>18</v>
      </c>
      <c r="V251" s="371" t="n">
        <v>0</v>
      </c>
      <c r="W251" s="371" t="inlineStr">
        <is>
          <t>បុគ្គលជាប់អាករ</t>
        </is>
      </c>
      <c r="X251" s="371" t="inlineStr">
        <is>
          <t>L001-901640009</t>
        </is>
      </c>
      <c r="Y251" s="371" t="inlineStr">
        <is>
          <t>ហូលីដេ ឌីហ្សាញ (ខេមបូឌា) ឯ.ក</t>
        </is>
      </c>
      <c r="Z251" s="373" t="n">
        <v>36736732</v>
      </c>
      <c r="AA251" s="373" t="n">
        <v>33397029</v>
      </c>
      <c r="AB251" s="371" t="n">
        <v>0</v>
      </c>
      <c r="AC251" s="371" t="inlineStr">
        <is>
          <t>-</t>
        </is>
      </c>
      <c r="AD251" s="373" t="n">
        <v>3339703</v>
      </c>
      <c r="AE251" s="371" t="n">
        <v>0</v>
      </c>
      <c r="AF251" s="625" t="n">
        <v>0</v>
      </c>
      <c r="AG251" s="205" t="n">
        <v>0</v>
      </c>
      <c r="AH251" s="205" t="n">
        <v>0</v>
      </c>
      <c r="AI251" s="205" t="n">
        <v>0</v>
      </c>
      <c r="AJ251" s="205" t="n">
        <v>0</v>
      </c>
      <c r="AK251" s="205" t="n">
        <v>0</v>
      </c>
      <c r="AL251" s="205" t="n">
        <v>0.01</v>
      </c>
      <c r="AM251" s="205" t="n">
        <v>0</v>
      </c>
      <c r="AN251" s="205" t="inlineStr">
        <is>
          <t>Transportation Fee</t>
        </is>
      </c>
      <c r="AO251" s="205" t="inlineStr">
        <is>
          <t>បានប្រកាសនិងបង់ពន្ធ</t>
        </is>
      </c>
    </row>
    <row r="252">
      <c r="A252" s="222">
        <f>A251+1</f>
        <v/>
      </c>
      <c r="B252" s="224" t="inlineStr">
        <is>
          <t>THC, Doc, Admin, Agency Fee-Im</t>
        </is>
      </c>
      <c r="C252" s="224" t="inlineStr">
        <is>
          <t>STRAITS INTERNATIONAL Pte . Ltd.</t>
        </is>
      </c>
      <c r="D252" s="225" t="inlineStr">
        <is>
          <t>L001-100045162</t>
        </is>
      </c>
      <c r="E252" s="359" t="n">
        <v>2431343</v>
      </c>
      <c r="F252" s="338" t="n">
        <v>45643</v>
      </c>
      <c r="G252" s="226" t="n"/>
      <c r="H252" s="627" t="n"/>
      <c r="I252" s="627" t="n">
        <v>1476983</v>
      </c>
      <c r="J252" s="223" t="inlineStr">
        <is>
          <t>អនុញ្ញាត (បានប្រកាស)</t>
        </is>
      </c>
      <c r="K252" s="223" t="n"/>
      <c r="L252" s="626">
        <f>I252</f>
        <v/>
      </c>
      <c r="M252" s="598">
        <f>I252-L252</f>
        <v/>
      </c>
      <c r="N252" s="223" t="n"/>
      <c r="O252" s="228">
        <f>U252=E252</f>
        <v/>
      </c>
      <c r="P252" s="228">
        <f>MONTH(F252)-MONTH(T252)</f>
        <v/>
      </c>
      <c r="Q252" s="228">
        <f>$B$5=X252</f>
        <v/>
      </c>
      <c r="R252" s="228">
        <f>I252-AD252</f>
        <v/>
      </c>
      <c r="S252" s="371" t="inlineStr">
        <is>
          <t>ប្រកាសខុស</t>
        </is>
      </c>
      <c r="T252" s="372" t="n">
        <v>45643</v>
      </c>
      <c r="U252" s="371" t="n">
        <v>2431343</v>
      </c>
      <c r="V252" s="371" t="n">
        <v>0</v>
      </c>
      <c r="W252" s="371" t="inlineStr">
        <is>
          <t>បុគ្គលជាប់អាករ</t>
        </is>
      </c>
      <c r="X252" s="371" t="inlineStr">
        <is>
          <t>L001-901640009</t>
        </is>
      </c>
      <c r="Y252" s="371" t="inlineStr">
        <is>
          <t>ហូលីដេ ឌីហ្សាញ (ខេមបូឌា) ឯ.ក</t>
        </is>
      </c>
      <c r="Z252" s="373" t="n">
        <v>16246808</v>
      </c>
      <c r="AA252" s="373" t="n">
        <v>14769825</v>
      </c>
      <c r="AB252" s="371" t="n">
        <v>0</v>
      </c>
      <c r="AC252" s="371" t="inlineStr">
        <is>
          <t>-</t>
        </is>
      </c>
      <c r="AD252" s="373" t="n">
        <v>1476983</v>
      </c>
      <c r="AE252" s="371" t="n">
        <v>0</v>
      </c>
      <c r="AF252" s="625" t="n">
        <v>0</v>
      </c>
      <c r="AG252" s="205" t="n">
        <v>0</v>
      </c>
      <c r="AH252" s="205" t="n">
        <v>0</v>
      </c>
      <c r="AI252" s="205" t="n">
        <v>0</v>
      </c>
      <c r="AJ252" s="205" t="n">
        <v>0</v>
      </c>
      <c r="AK252" s="205" t="n">
        <v>0</v>
      </c>
      <c r="AL252" s="205" t="n">
        <v>0.01</v>
      </c>
      <c r="AM252" s="205" t="n">
        <v>0</v>
      </c>
      <c r="AN252" s="205" t="inlineStr">
        <is>
          <t>THC&amp;LOCAL CHARGES</t>
        </is>
      </c>
      <c r="AO252" s="205" t="inlineStr">
        <is>
          <t>បានប្រកាសនិងបង់ពន្ធ</t>
        </is>
      </c>
    </row>
    <row r="253">
      <c r="A253" s="222">
        <f>A252+1</f>
        <v/>
      </c>
      <c r="B253" s="224" t="inlineStr">
        <is>
          <t>THC, Doc, CIC Fee-Im</t>
        </is>
      </c>
      <c r="C253" s="224" t="inlineStr">
        <is>
          <t>STRAITS INTERNATIONAL Pte . Ltd.</t>
        </is>
      </c>
      <c r="D253" s="225" t="inlineStr">
        <is>
          <t>L001-100045162</t>
        </is>
      </c>
      <c r="E253" s="359" t="n">
        <v>2501560</v>
      </c>
      <c r="F253" s="338" t="n">
        <v>45671</v>
      </c>
      <c r="G253" s="226" t="n"/>
      <c r="H253" s="627" t="n"/>
      <c r="I253" s="627" t="n">
        <v>993102</v>
      </c>
      <c r="J253" s="223" t="inlineStr">
        <is>
          <t>អនុញ្ញាត (បានប្រកាស)</t>
        </is>
      </c>
      <c r="K253" s="223" t="n"/>
      <c r="L253" s="626">
        <f>I253</f>
        <v/>
      </c>
      <c r="M253" s="598">
        <f>I253-L253</f>
        <v/>
      </c>
      <c r="N253" s="223" t="n"/>
      <c r="O253" s="228">
        <f>U253=E253</f>
        <v/>
      </c>
      <c r="P253" s="228">
        <f>MONTH(F253)-MONTH(T253)</f>
        <v/>
      </c>
      <c r="Q253" s="228">
        <f>$B$5=X253</f>
        <v/>
      </c>
      <c r="R253" s="228">
        <f>I253-AD253</f>
        <v/>
      </c>
      <c r="S253" s="371" t="n"/>
      <c r="T253" s="372" t="n">
        <v>45671</v>
      </c>
      <c r="U253" s="371" t="n">
        <v>2501560</v>
      </c>
      <c r="V253" s="371" t="n">
        <v>0</v>
      </c>
      <c r="W253" s="371" t="inlineStr">
        <is>
          <t>បុគ្គលជាប់អាករ</t>
        </is>
      </c>
      <c r="X253" s="371" t="inlineStr">
        <is>
          <t>L001-901640009</t>
        </is>
      </c>
      <c r="Y253" s="371" t="inlineStr">
        <is>
          <t>ហូលីដេ ឌីហ្សាញ (ខេមបូឌា) ឯ.ក</t>
        </is>
      </c>
      <c r="Z253" s="373" t="n">
        <v>10924122</v>
      </c>
      <c r="AA253" s="373" t="n">
        <v>9931020</v>
      </c>
      <c r="AB253" s="371" t="n">
        <v>0</v>
      </c>
      <c r="AC253" s="371" t="inlineStr">
        <is>
          <t>-</t>
        </is>
      </c>
      <c r="AD253" s="373" t="n">
        <v>993102</v>
      </c>
      <c r="AE253" s="371" t="n">
        <v>0</v>
      </c>
      <c r="AF253" s="625" t="n">
        <v>0</v>
      </c>
      <c r="AG253" s="205" t="n">
        <v>0</v>
      </c>
      <c r="AH253" s="205" t="n">
        <v>0</v>
      </c>
      <c r="AI253" s="205" t="n">
        <v>0</v>
      </c>
      <c r="AJ253" s="205" t="n">
        <v>0</v>
      </c>
      <c r="AK253" s="205" t="n">
        <v>0</v>
      </c>
      <c r="AL253" s="205" t="n">
        <v>0.01</v>
      </c>
      <c r="AM253" s="205" t="n">
        <v>0</v>
      </c>
      <c r="AN253" s="205" t="inlineStr">
        <is>
          <t>THC&amp;LOCAL CHARGES</t>
        </is>
      </c>
      <c r="AO253" s="205" t="inlineStr">
        <is>
          <t>បានប្រកាសនិងបង់ពន្ធ</t>
        </is>
      </c>
    </row>
    <row r="254">
      <c r="A254" s="222">
        <f>A253+1</f>
        <v/>
      </c>
      <c r="B254" s="224" t="inlineStr">
        <is>
          <t>THC, Doc, CIC Fee-Im</t>
        </is>
      </c>
      <c r="C254" s="224" t="inlineStr">
        <is>
          <t>STRAITS INTERNATIONAL Pte . Ltd.</t>
        </is>
      </c>
      <c r="D254" s="225" t="inlineStr">
        <is>
          <t>L001-100045162</t>
        </is>
      </c>
      <c r="E254" s="359" t="n">
        <v>2501027</v>
      </c>
      <c r="F254" s="338" t="n">
        <v>45665</v>
      </c>
      <c r="G254" s="226" t="n"/>
      <c r="H254" s="627" t="n"/>
      <c r="I254" s="627" t="n">
        <v>992856</v>
      </c>
      <c r="J254" s="223" t="inlineStr">
        <is>
          <t>អនុញ្ញាត (បានប្រកាស)</t>
        </is>
      </c>
      <c r="K254" s="223" t="n"/>
      <c r="L254" s="626">
        <f>I254</f>
        <v/>
      </c>
      <c r="M254" s="598">
        <f>I254-L254</f>
        <v/>
      </c>
      <c r="N254" s="223" t="n"/>
      <c r="O254" s="228">
        <f>U254=E254</f>
        <v/>
      </c>
      <c r="P254" s="228">
        <f>MONTH(F254)-MONTH(T254)</f>
        <v/>
      </c>
      <c r="Q254" s="228">
        <f>$B$5=X254</f>
        <v/>
      </c>
      <c r="R254" s="228">
        <f>I254-AD254</f>
        <v/>
      </c>
      <c r="S254" s="371" t="n"/>
      <c r="T254" s="372" t="n">
        <v>45665</v>
      </c>
      <c r="U254" s="371" t="n">
        <v>2501027</v>
      </c>
      <c r="V254" s="371" t="n">
        <v>0</v>
      </c>
      <c r="W254" s="371" t="inlineStr">
        <is>
          <t>បុគ្គលជាប់អាករ</t>
        </is>
      </c>
      <c r="X254" s="371" t="inlineStr">
        <is>
          <t>L001-901640009</t>
        </is>
      </c>
      <c r="Y254" s="371" t="inlineStr">
        <is>
          <t>ហូលីដេ ឌីហ្សាញ (ខេមបូឌា) ឯ.ក</t>
        </is>
      </c>
      <c r="Z254" s="373" t="n">
        <v>10921416</v>
      </c>
      <c r="AA254" s="373" t="n">
        <v>9928560</v>
      </c>
      <c r="AB254" s="371" t="n">
        <v>0</v>
      </c>
      <c r="AC254" s="371" t="inlineStr">
        <is>
          <t>-</t>
        </is>
      </c>
      <c r="AD254" s="373" t="n">
        <v>992856</v>
      </c>
      <c r="AE254" s="371" t="n">
        <v>0</v>
      </c>
      <c r="AF254" s="625" t="n">
        <v>0</v>
      </c>
      <c r="AG254" s="205" t="n">
        <v>0</v>
      </c>
      <c r="AH254" s="205" t="n">
        <v>0</v>
      </c>
      <c r="AI254" s="205" t="n">
        <v>0</v>
      </c>
      <c r="AJ254" s="205" t="n">
        <v>0</v>
      </c>
      <c r="AK254" s="205" t="n">
        <v>0</v>
      </c>
      <c r="AL254" s="205" t="n">
        <v>0.01</v>
      </c>
      <c r="AM254" s="205" t="n">
        <v>0</v>
      </c>
      <c r="AN254" s="205" t="inlineStr">
        <is>
          <t>THC&amp;LOCAL CHARGES</t>
        </is>
      </c>
      <c r="AO254" s="205" t="inlineStr">
        <is>
          <t>បានប្រកាសនិងបង់ពន្ធ</t>
        </is>
      </c>
    </row>
    <row r="255">
      <c r="A255" s="222">
        <f>A254+1</f>
        <v/>
      </c>
      <c r="B255" s="224" t="inlineStr">
        <is>
          <t>Lift-On &amp; Lift-On-Im</t>
        </is>
      </c>
      <c r="C255" s="224" t="inlineStr">
        <is>
          <t>Port Autonome Du Sihanoukville</t>
        </is>
      </c>
      <c r="D255" s="225" t="inlineStr">
        <is>
          <t>L001-100044638</t>
        </is>
      </c>
      <c r="E255" s="359" t="n">
        <v>202500060076</v>
      </c>
      <c r="F255" s="338" t="n">
        <v>45736</v>
      </c>
      <c r="G255" s="226" t="n"/>
      <c r="H255" s="627" t="n"/>
      <c r="I255" s="627" t="n">
        <v>488053</v>
      </c>
      <c r="J255" s="223" t="inlineStr">
        <is>
          <t>អនុញ្ញាត (បានប្រកាស)</t>
        </is>
      </c>
      <c r="K255" s="223" t="n"/>
      <c r="L255" s="626">
        <f>I255</f>
        <v/>
      </c>
      <c r="M255" s="598">
        <f>I255-L255</f>
        <v/>
      </c>
      <c r="N255" s="223" t="n"/>
      <c r="O255" s="228">
        <f>U255=E255</f>
        <v/>
      </c>
      <c r="P255" s="228">
        <f>MONTH(F255)-MONTH(T255)</f>
        <v/>
      </c>
      <c r="Q255" s="228">
        <f>$B$5=X255</f>
        <v/>
      </c>
      <c r="R255" s="228">
        <f>I255-AD255</f>
        <v/>
      </c>
      <c r="S255" s="371" t="n"/>
      <c r="T255" s="372" t="n">
        <v>45736</v>
      </c>
      <c r="U255" s="371" t="n">
        <v>202500060076</v>
      </c>
      <c r="V255" s="371" t="n">
        <v>0</v>
      </c>
      <c r="W255" s="371" t="inlineStr">
        <is>
          <t>បុគ្គលជាប់អាករ</t>
        </is>
      </c>
      <c r="X255" s="371" t="inlineStr">
        <is>
          <t>L001-901640009</t>
        </is>
      </c>
      <c r="Y255" s="371" t="inlineStr">
        <is>
          <t>ហូលីដេ ឌីហ្សាញ (ខេមបូឌា) ឯ.ក</t>
        </is>
      </c>
      <c r="Z255" s="373" t="n">
        <v>5368579</v>
      </c>
      <c r="AA255" s="373" t="n">
        <v>4880526</v>
      </c>
      <c r="AB255" s="371" t="n">
        <v>0</v>
      </c>
      <c r="AC255" s="371" t="inlineStr">
        <is>
          <t>-</t>
        </is>
      </c>
      <c r="AD255" s="373" t="n">
        <v>488053</v>
      </c>
      <c r="AE255" s="371" t="n">
        <v>0</v>
      </c>
      <c r="AF255" s="625" t="n">
        <v>0</v>
      </c>
      <c r="AG255" s="205" t="n">
        <v>0</v>
      </c>
      <c r="AH255" s="205" t="n">
        <v>0</v>
      </c>
      <c r="AI255" s="205" t="n">
        <v>0</v>
      </c>
      <c r="AJ255" s="205" t="n">
        <v>0</v>
      </c>
      <c r="AK255" s="205" t="n">
        <v>0</v>
      </c>
      <c r="AL255" s="205" t="n">
        <v>0.01</v>
      </c>
      <c r="AM255" s="205" t="n">
        <v>0</v>
      </c>
      <c r="AN255" s="205" t="inlineStr">
        <is>
          <t>LOLO</t>
        </is>
      </c>
    </row>
    <row r="256">
      <c r="A256" s="222">
        <f>A255+1</f>
        <v/>
      </c>
      <c r="B256" s="224" t="inlineStr">
        <is>
          <t>Terminal Handling Charge</t>
        </is>
      </c>
      <c r="C256" s="224" t="inlineStr">
        <is>
          <t>SITC CONTAINER LINES (CAMBODIA) Co., Ltd.</t>
        </is>
      </c>
      <c r="D256" s="225" t="inlineStr">
        <is>
          <t>L001-107035863</t>
        </is>
      </c>
      <c r="E256" s="359" t="inlineStr">
        <is>
          <t>SITC2025-008751</t>
        </is>
      </c>
      <c r="F256" s="338" t="n">
        <v>45734</v>
      </c>
      <c r="G256" s="226" t="n"/>
      <c r="H256" s="627" t="n"/>
      <c r="I256" s="627" t="n">
        <v>2941138</v>
      </c>
      <c r="J256" s="223" t="inlineStr">
        <is>
          <t>អនុញ្ញាត (បានប្រកាស)</t>
        </is>
      </c>
      <c r="K256" s="223" t="n"/>
      <c r="L256" s="626">
        <f>I256</f>
        <v/>
      </c>
      <c r="M256" s="598">
        <f>I256-L256</f>
        <v/>
      </c>
      <c r="N256" s="223" t="n"/>
      <c r="O256" s="228">
        <f>U256=E256</f>
        <v/>
      </c>
      <c r="P256" s="228">
        <f>MONTH(F256)-MONTH(T256)</f>
        <v/>
      </c>
      <c r="Q256" s="228">
        <f>$B$5=X256</f>
        <v/>
      </c>
      <c r="R256" s="228">
        <f>I256-AD256</f>
        <v/>
      </c>
      <c r="S256" s="371" t="n"/>
      <c r="T256" s="372" t="n">
        <v>45734</v>
      </c>
      <c r="U256" s="371" t="inlineStr">
        <is>
          <t>SITC2025-008751</t>
        </is>
      </c>
      <c r="V256" s="371" t="n">
        <v>0</v>
      </c>
      <c r="W256" s="371" t="inlineStr">
        <is>
          <t>បុគ្គលជាប់អាករ</t>
        </is>
      </c>
      <c r="X256" s="371" t="inlineStr">
        <is>
          <t>L001-901640009</t>
        </is>
      </c>
      <c r="Y256" s="371" t="inlineStr">
        <is>
          <t>ហូលីដេ ឌីហ្សាញ (ខេមបូឌា) ឯ.ក</t>
        </is>
      </c>
      <c r="Z256" s="373" t="n">
        <v>32352518</v>
      </c>
      <c r="AA256" s="373" t="n">
        <v>29411380</v>
      </c>
      <c r="AB256" s="371" t="n">
        <v>0</v>
      </c>
      <c r="AC256" s="371" t="inlineStr">
        <is>
          <t>-</t>
        </is>
      </c>
      <c r="AD256" s="373" t="n">
        <v>2941138</v>
      </c>
      <c r="AE256" s="371" t="n">
        <v>0</v>
      </c>
      <c r="AF256" s="625" t="n">
        <v>0</v>
      </c>
      <c r="AG256" s="205" t="n">
        <v>0</v>
      </c>
      <c r="AH256" s="205" t="n">
        <v>0</v>
      </c>
      <c r="AI256" s="205" t="n">
        <v>0</v>
      </c>
      <c r="AJ256" s="205" t="n">
        <v>0</v>
      </c>
      <c r="AK256" s="205" t="n">
        <v>0</v>
      </c>
      <c r="AL256" s="205" t="n">
        <v>0.01</v>
      </c>
      <c r="AM256" s="205" t="n">
        <v>0</v>
      </c>
      <c r="AN256" s="205" t="inlineStr">
        <is>
          <t>EMF,KHTHC,KHDOC,KHCIC,EIB</t>
        </is>
      </c>
    </row>
    <row r="257">
      <c r="A257" s="222">
        <f>A256+1</f>
        <v/>
      </c>
      <c r="B257" s="224" t="inlineStr">
        <is>
          <t>Trucking &amp; Clearance-Im</t>
        </is>
      </c>
      <c r="C257" s="224" t="inlineStr">
        <is>
          <t>BRILLIANT TRANSPORT AND TRADING Co., Ltd.</t>
        </is>
      </c>
      <c r="D257" s="225" t="inlineStr">
        <is>
          <t>K002-100089305</t>
        </is>
      </c>
      <c r="E257" s="359" t="inlineStr">
        <is>
          <t>BTT25-0000615</t>
        </is>
      </c>
      <c r="F257" s="338" t="n">
        <v>45736</v>
      </c>
      <c r="G257" s="226" t="n"/>
      <c r="H257" s="627" t="n"/>
      <c r="I257" s="627" t="n">
        <v>3297761</v>
      </c>
      <c r="J257" s="223" t="inlineStr">
        <is>
          <t>អនុញ្ញាត (បានប្រកាស)</t>
        </is>
      </c>
      <c r="K257" s="223" t="n"/>
      <c r="L257" s="626">
        <f>I257</f>
        <v/>
      </c>
      <c r="M257" s="598">
        <f>I257-L257</f>
        <v/>
      </c>
      <c r="N257" s="223" t="n"/>
      <c r="O257" s="228">
        <f>U257=E257</f>
        <v/>
      </c>
      <c r="P257" s="228">
        <f>MONTH(F257)-MONTH(T257)</f>
        <v/>
      </c>
      <c r="Q257" s="228">
        <f>$B$5=X257</f>
        <v/>
      </c>
      <c r="R257" s="228">
        <f>I257-AD257</f>
        <v/>
      </c>
      <c r="S257" s="371" t="inlineStr">
        <is>
          <t>Wrong invoice number</t>
        </is>
      </c>
      <c r="T257" s="372" t="n">
        <v>45736</v>
      </c>
      <c r="U257" s="371" t="inlineStr">
        <is>
          <t>BTT25-0000615</t>
        </is>
      </c>
      <c r="V257" s="371" t="n">
        <v>0</v>
      </c>
      <c r="W257" s="371" t="inlineStr">
        <is>
          <t>បុគ្គលជាប់អាករ</t>
        </is>
      </c>
      <c r="X257" s="371" t="inlineStr">
        <is>
          <t>L001-901640009</t>
        </is>
      </c>
      <c r="Y257" s="371" t="inlineStr">
        <is>
          <t>ហូលីដេ ឌីហ្សាញ (ខេមបូឌា) ឯ.ក</t>
        </is>
      </c>
      <c r="Z257" s="373" t="n">
        <v>36275371</v>
      </c>
      <c r="AA257" s="373" t="n">
        <v>32977610</v>
      </c>
      <c r="AB257" s="371" t="n">
        <v>0</v>
      </c>
      <c r="AC257" s="371" t="inlineStr">
        <is>
          <t>-</t>
        </is>
      </c>
      <c r="AD257" s="373" t="n">
        <v>3297761</v>
      </c>
      <c r="AE257" s="371" t="n">
        <v>0</v>
      </c>
      <c r="AF257" s="625" t="n">
        <v>0</v>
      </c>
      <c r="AG257" s="205" t="n">
        <v>0</v>
      </c>
      <c r="AH257" s="205" t="n">
        <v>0</v>
      </c>
      <c r="AI257" s="205" t="n">
        <v>0</v>
      </c>
      <c r="AJ257" s="205" t="n">
        <v>0</v>
      </c>
      <c r="AK257" s="205" t="n">
        <v>0</v>
      </c>
      <c r="AL257" s="205" t="n">
        <v>0.01</v>
      </c>
      <c r="AM257" s="205" t="n">
        <v>0</v>
      </c>
      <c r="AN257" s="205" t="inlineStr">
        <is>
          <t>Truking / Service</t>
        </is>
      </c>
    </row>
    <row r="258">
      <c r="A258" s="222">
        <f>A257+1</f>
        <v/>
      </c>
      <c r="B258" s="224" t="inlineStr">
        <is>
          <t>Lift-On &amp; Lift-On-Im</t>
        </is>
      </c>
      <c r="C258" s="224" t="inlineStr">
        <is>
          <t>Port Autonome Du Sihanoukville</t>
        </is>
      </c>
      <c r="D258" s="225" t="inlineStr">
        <is>
          <t>L001-100044638</t>
        </is>
      </c>
      <c r="E258" s="359" t="n">
        <v>202500060156</v>
      </c>
      <c r="F258" s="338" t="n">
        <v>45736</v>
      </c>
      <c r="G258" s="226" t="n"/>
      <c r="H258" s="627" t="n"/>
      <c r="I258" s="627" t="n">
        <v>174305</v>
      </c>
      <c r="J258" s="223" t="inlineStr">
        <is>
          <t>អនុញ្ញាត (បានប្រកាស)</t>
        </is>
      </c>
      <c r="K258" s="223" t="n"/>
      <c r="L258" s="626">
        <f>I258</f>
        <v/>
      </c>
      <c r="M258" s="598">
        <f>I258-L258</f>
        <v/>
      </c>
      <c r="N258" s="223" t="n"/>
      <c r="O258" s="228">
        <f>U258=E258</f>
        <v/>
      </c>
      <c r="P258" s="228">
        <f>MONTH(F258)-MONTH(T258)</f>
        <v/>
      </c>
      <c r="Q258" s="228">
        <f>$B$5=X258</f>
        <v/>
      </c>
      <c r="R258" s="228">
        <f>I258-AD258</f>
        <v/>
      </c>
      <c r="S258" s="371" t="inlineStr">
        <is>
          <t>Wrong invoice number</t>
        </is>
      </c>
      <c r="T258" s="372" t="n">
        <v>45736</v>
      </c>
      <c r="U258" s="371" t="n">
        <v>202500060156</v>
      </c>
      <c r="V258" s="371" t="n">
        <v>0</v>
      </c>
      <c r="W258" s="371" t="inlineStr">
        <is>
          <t>បុគ្គលជាប់អាករ</t>
        </is>
      </c>
      <c r="X258" s="371" t="inlineStr">
        <is>
          <t>L001-901640009</t>
        </is>
      </c>
      <c r="Y258" s="371" t="inlineStr">
        <is>
          <t>ហូលីដេ ឌីហ្សាញ (ខេមបូឌា) ឯ.ក</t>
        </is>
      </c>
      <c r="Z258" s="373" t="n">
        <v>1917350</v>
      </c>
      <c r="AA258" s="373" t="n">
        <v>1743045</v>
      </c>
      <c r="AB258" s="371" t="n">
        <v>0</v>
      </c>
      <c r="AC258" s="371" t="inlineStr">
        <is>
          <t>-</t>
        </is>
      </c>
      <c r="AD258" s="373" t="n">
        <v>174305</v>
      </c>
      <c r="AE258" s="371" t="n">
        <v>0</v>
      </c>
      <c r="AF258" s="625" t="n">
        <v>0</v>
      </c>
      <c r="AG258" s="205" t="n">
        <v>0</v>
      </c>
      <c r="AH258" s="205" t="n">
        <v>0</v>
      </c>
      <c r="AI258" s="205" t="n">
        <v>0</v>
      </c>
      <c r="AJ258" s="205" t="n">
        <v>0</v>
      </c>
      <c r="AK258" s="205" t="n">
        <v>0</v>
      </c>
      <c r="AL258" s="205" t="n">
        <v>0.01</v>
      </c>
      <c r="AM258" s="205" t="n">
        <v>0</v>
      </c>
      <c r="AN258" s="205" t="inlineStr">
        <is>
          <t>LOLO</t>
        </is>
      </c>
    </row>
    <row r="259">
      <c r="A259" s="222">
        <f>A258+1</f>
        <v/>
      </c>
      <c r="B259" s="224" t="inlineStr">
        <is>
          <t>THC, Doc, CIC Fee-Im</t>
        </is>
      </c>
      <c r="C259" s="224" t="inlineStr">
        <is>
          <t>STRAITS INTERNATIONAL Pte . Ltd.</t>
        </is>
      </c>
      <c r="D259" s="225" t="inlineStr">
        <is>
          <t>L001-100045162</t>
        </is>
      </c>
      <c r="E259" s="359" t="n">
        <v>2512466</v>
      </c>
      <c r="F259" s="338" t="n">
        <v>45797</v>
      </c>
      <c r="G259" s="226" t="n"/>
      <c r="H259" s="627" t="n"/>
      <c r="I259" s="627" t="n">
        <v>236177</v>
      </c>
      <c r="J259" s="223" t="inlineStr">
        <is>
          <t>អនុញ្ញាត (បានប្រកាស)</t>
        </is>
      </c>
      <c r="K259" s="223" t="n"/>
      <c r="L259" s="626">
        <f>I259</f>
        <v/>
      </c>
      <c r="M259" s="598">
        <f>I259-L259</f>
        <v/>
      </c>
      <c r="N259" s="223" t="n"/>
      <c r="O259" s="228">
        <f>U259=E259</f>
        <v/>
      </c>
      <c r="P259" s="228">
        <f>MONTH(F259)-MONTH(T259)</f>
        <v/>
      </c>
      <c r="Q259" s="228">
        <f>$B$5=X259</f>
        <v/>
      </c>
      <c r="R259" s="228">
        <f>I259-AD259</f>
        <v/>
      </c>
      <c r="S259" s="371" t="n"/>
      <c r="T259" s="372" t="n">
        <v>45797</v>
      </c>
      <c r="U259" s="371" t="n">
        <v>2512466</v>
      </c>
      <c r="V259" s="371" t="n">
        <v>0</v>
      </c>
      <c r="W259" s="371" t="inlineStr">
        <is>
          <t>បុគ្គលជាប់អាករ</t>
        </is>
      </c>
      <c r="X259" s="371" t="inlineStr">
        <is>
          <t>L001-901640009</t>
        </is>
      </c>
      <c r="Y259" s="371" t="inlineStr">
        <is>
          <t>ហូលីដេ ឌីហ្សាញ (ខេមបូឌា) ឯ.ក</t>
        </is>
      </c>
      <c r="Z259" s="373" t="n">
        <v>2597947</v>
      </c>
      <c r="AA259" s="373" t="n">
        <v>2361770</v>
      </c>
      <c r="AB259" s="371" t="n">
        <v>0</v>
      </c>
      <c r="AC259" s="371" t="inlineStr">
        <is>
          <t>-</t>
        </is>
      </c>
      <c r="AD259" s="373" t="n">
        <v>236177</v>
      </c>
      <c r="AE259" s="371" t="n">
        <v>0</v>
      </c>
      <c r="AF259" s="625" t="n">
        <v>0</v>
      </c>
      <c r="AG259" s="205" t="n">
        <v>0</v>
      </c>
      <c r="AH259" s="205" t="n">
        <v>0</v>
      </c>
      <c r="AI259" s="205" t="n">
        <v>0</v>
      </c>
      <c r="AJ259" s="205" t="n">
        <v>0</v>
      </c>
      <c r="AK259" s="205" t="n">
        <v>0</v>
      </c>
      <c r="AL259" s="205" t="n">
        <v>0.01</v>
      </c>
      <c r="AM259" s="205" t="n">
        <v>0</v>
      </c>
      <c r="AN259" s="205" t="inlineStr">
        <is>
          <t>THC&amp;LOCAL CHARGES</t>
        </is>
      </c>
      <c r="AO259" s="205" t="inlineStr">
        <is>
          <t>បានប្រកាសនិងបង់ពន្ធ</t>
        </is>
      </c>
    </row>
    <row r="260">
      <c r="A260" s="222">
        <f>A259+1</f>
        <v/>
      </c>
      <c r="B260" s="224" t="inlineStr">
        <is>
          <t>Trucking &amp; Clearance-Im</t>
        </is>
      </c>
      <c r="C260" s="224" t="inlineStr">
        <is>
          <t>BRILLIANT TRANSPORT AND TRADING Co., Ltd.</t>
        </is>
      </c>
      <c r="D260" s="225" t="inlineStr">
        <is>
          <t>K002-100089305</t>
        </is>
      </c>
      <c r="E260" s="359" t="inlineStr">
        <is>
          <t>BTT25-0000614</t>
        </is>
      </c>
      <c r="F260" s="338" t="n">
        <v>45735</v>
      </c>
      <c r="G260" s="226" t="n"/>
      <c r="H260" s="627" t="n"/>
      <c r="I260" s="627" t="n">
        <v>1098994</v>
      </c>
      <c r="J260" s="223" t="inlineStr">
        <is>
          <t>អនុញ្ញាត (បានប្រកាស)</t>
        </is>
      </c>
      <c r="K260" s="223" t="n"/>
      <c r="L260" s="626">
        <f>I260</f>
        <v/>
      </c>
      <c r="M260" s="598">
        <f>I260-L260</f>
        <v/>
      </c>
      <c r="N260" s="223" t="n"/>
      <c r="O260" s="228">
        <f>U260=E260</f>
        <v/>
      </c>
      <c r="P260" s="228">
        <f>MONTH(F260)-MONTH(T260)</f>
        <v/>
      </c>
      <c r="Q260" s="228">
        <f>$B$5=X260</f>
        <v/>
      </c>
      <c r="R260" s="228">
        <f>I260-AD260</f>
        <v/>
      </c>
      <c r="S260" s="371" t="n"/>
      <c r="T260" s="372" t="n">
        <v>45735</v>
      </c>
      <c r="U260" s="371" t="inlineStr">
        <is>
          <t>BTT25-0000614</t>
        </is>
      </c>
      <c r="V260" s="371" t="n">
        <v>0</v>
      </c>
      <c r="W260" s="371" t="inlineStr">
        <is>
          <t>បុគ្គលជាប់អាករ</t>
        </is>
      </c>
      <c r="X260" s="371" t="inlineStr">
        <is>
          <t>L001-901640009</t>
        </is>
      </c>
      <c r="Y260" s="371" t="inlineStr">
        <is>
          <t>ហូលីដេ ឌីហ្សាញ (ខេមបូឌា) ឯ.ក</t>
        </is>
      </c>
      <c r="Z260" s="373" t="n">
        <v>12088930</v>
      </c>
      <c r="AA260" s="373" t="n">
        <v>10989936</v>
      </c>
      <c r="AB260" s="371" t="n">
        <v>0</v>
      </c>
      <c r="AC260" s="371" t="inlineStr">
        <is>
          <t>-</t>
        </is>
      </c>
      <c r="AD260" s="373" t="n">
        <v>1098994</v>
      </c>
      <c r="AE260" s="371" t="n">
        <v>0</v>
      </c>
      <c r="AF260" s="625" t="n">
        <v>0</v>
      </c>
      <c r="AG260" s="205" t="n">
        <v>0</v>
      </c>
      <c r="AH260" s="205" t="n">
        <v>0</v>
      </c>
      <c r="AI260" s="205" t="n">
        <v>0</v>
      </c>
      <c r="AJ260" s="205" t="n">
        <v>0</v>
      </c>
      <c r="AK260" s="205" t="n">
        <v>0</v>
      </c>
      <c r="AL260" s="205" t="n">
        <v>0.01</v>
      </c>
      <c r="AM260" s="205" t="n">
        <v>0</v>
      </c>
      <c r="AN260" s="205" t="inlineStr">
        <is>
          <t>Truking / Service</t>
        </is>
      </c>
    </row>
    <row r="261">
      <c r="A261" s="222">
        <f>A260+1</f>
        <v/>
      </c>
      <c r="B261" s="224" t="inlineStr">
        <is>
          <t>Lift-On &amp; Lift-On-Im</t>
        </is>
      </c>
      <c r="C261" s="224" t="inlineStr">
        <is>
          <t>Port Autonome Du Sihanoukville</t>
        </is>
      </c>
      <c r="D261" s="225" t="inlineStr">
        <is>
          <t>L001-100044638</t>
        </is>
      </c>
      <c r="E261" s="359" t="n">
        <v>202500054035</v>
      </c>
      <c r="F261" s="338" t="n">
        <v>45729</v>
      </c>
      <c r="G261" s="226" t="n"/>
      <c r="H261" s="627" t="n"/>
      <c r="I261" s="627" t="n">
        <v>592783</v>
      </c>
      <c r="J261" s="223" t="inlineStr">
        <is>
          <t>អនុញ្ញាត (បានប្រកាស)</t>
        </is>
      </c>
      <c r="K261" s="223" t="n"/>
      <c r="L261" s="626">
        <f>I261</f>
        <v/>
      </c>
      <c r="M261" s="598">
        <f>I261-L261</f>
        <v/>
      </c>
      <c r="N261" s="223" t="n"/>
      <c r="O261" s="228">
        <f>U261=E261</f>
        <v/>
      </c>
      <c r="P261" s="228">
        <f>MONTH(F261)-MONTH(T261)</f>
        <v/>
      </c>
      <c r="Q261" s="228">
        <f>$B$5=X261</f>
        <v/>
      </c>
      <c r="R261" s="228">
        <f>I261-AD261</f>
        <v/>
      </c>
      <c r="S261" s="371" t="n"/>
      <c r="T261" s="372" t="n">
        <v>45729</v>
      </c>
      <c r="U261" s="371" t="n">
        <v>202500054035</v>
      </c>
      <c r="V261" s="371" t="n">
        <v>0</v>
      </c>
      <c r="W261" s="371" t="inlineStr">
        <is>
          <t>បុគ្គលជាប់អាករ</t>
        </is>
      </c>
      <c r="X261" s="371" t="inlineStr">
        <is>
          <t>L001-901640009</t>
        </is>
      </c>
      <c r="Y261" s="371" t="inlineStr">
        <is>
          <t>ហូលីដេ ឌីហ្សាញ (ខេមបូឌា) ឯ.ក</t>
        </is>
      </c>
      <c r="Z261" s="373" t="n">
        <v>6520615</v>
      </c>
      <c r="AA261" s="373" t="n">
        <v>5927832</v>
      </c>
      <c r="AB261" s="371" t="n">
        <v>0</v>
      </c>
      <c r="AC261" s="371" t="inlineStr">
        <is>
          <t>-</t>
        </is>
      </c>
      <c r="AD261" s="373" t="n">
        <v>592783</v>
      </c>
      <c r="AE261" s="371" t="n">
        <v>0</v>
      </c>
      <c r="AF261" s="625" t="n">
        <v>0</v>
      </c>
      <c r="AG261" s="205" t="n">
        <v>0</v>
      </c>
      <c r="AH261" s="205" t="n">
        <v>0</v>
      </c>
      <c r="AI261" s="205" t="n">
        <v>0</v>
      </c>
      <c r="AJ261" s="205" t="n">
        <v>0</v>
      </c>
      <c r="AK261" s="205" t="n">
        <v>0</v>
      </c>
      <c r="AL261" s="205" t="n">
        <v>0.01</v>
      </c>
      <c r="AM261" s="205" t="n">
        <v>0</v>
      </c>
      <c r="AN261" s="205" t="inlineStr">
        <is>
          <t>LOLO</t>
        </is>
      </c>
    </row>
    <row r="262">
      <c r="A262" s="222">
        <f>A261+1</f>
        <v/>
      </c>
      <c r="B262" s="224" t="inlineStr">
        <is>
          <t>Terminal Handling Charge</t>
        </is>
      </c>
      <c r="C262" s="224" t="inlineStr">
        <is>
          <t>SITC CONTAINER LINES (CAMBODIA) Co., Ltd.</t>
        </is>
      </c>
      <c r="D262" s="225" t="inlineStr">
        <is>
          <t>L001-107035863</t>
        </is>
      </c>
      <c r="E262" s="359" t="inlineStr">
        <is>
          <t>SITC2025-007856</t>
        </is>
      </c>
      <c r="F262" s="338" t="n">
        <v>45727</v>
      </c>
      <c r="G262" s="226" t="n"/>
      <c r="H262" s="627" t="n"/>
      <c r="I262" s="627" t="n">
        <v>3567120</v>
      </c>
      <c r="J262" s="223" t="inlineStr">
        <is>
          <t>អនុញ្ញាត (បានប្រកាស)</t>
        </is>
      </c>
      <c r="K262" s="223" t="n"/>
      <c r="L262" s="626">
        <f>I262</f>
        <v/>
      </c>
      <c r="M262" s="598">
        <f>I262-L262</f>
        <v/>
      </c>
      <c r="N262" s="223" t="n"/>
      <c r="O262" s="228">
        <f>U262=E262</f>
        <v/>
      </c>
      <c r="P262" s="228">
        <f>MONTH(F262)-MONTH(T262)</f>
        <v/>
      </c>
      <c r="Q262" s="228">
        <f>$B$5=X262</f>
        <v/>
      </c>
      <c r="R262" s="228">
        <f>I262-AD262</f>
        <v/>
      </c>
      <c r="S262" s="371" t="n"/>
      <c r="T262" s="372" t="n">
        <v>45727</v>
      </c>
      <c r="U262" s="371" t="inlineStr">
        <is>
          <t>SITC2025-007856</t>
        </is>
      </c>
      <c r="V262" s="371" t="n">
        <v>0</v>
      </c>
      <c r="W262" s="371" t="inlineStr">
        <is>
          <t>បុគ្គលជាប់អាករ</t>
        </is>
      </c>
      <c r="X262" s="371" t="inlineStr">
        <is>
          <t>L001-901640009</t>
        </is>
      </c>
      <c r="Y262" s="371" t="inlineStr">
        <is>
          <t>ហូលីដេ ឌីហ្សាញ (ខេមបូឌា) ឯ.ក</t>
        </is>
      </c>
      <c r="Z262" s="373" t="n">
        <v>39238320</v>
      </c>
      <c r="AA262" s="373" t="n">
        <v>35671200</v>
      </c>
      <c r="AB262" s="371" t="n">
        <v>0</v>
      </c>
      <c r="AC262" s="371" t="inlineStr">
        <is>
          <t>-</t>
        </is>
      </c>
      <c r="AD262" s="373" t="n">
        <v>3567120</v>
      </c>
      <c r="AE262" s="371" t="n">
        <v>0</v>
      </c>
      <c r="AF262" s="625" t="n">
        <v>0</v>
      </c>
      <c r="AG262" s="205" t="n">
        <v>0</v>
      </c>
      <c r="AH262" s="205" t="n">
        <v>0</v>
      </c>
      <c r="AI262" s="205" t="n">
        <v>0</v>
      </c>
      <c r="AJ262" s="205" t="n">
        <v>0</v>
      </c>
      <c r="AK262" s="205" t="n">
        <v>0</v>
      </c>
      <c r="AL262" s="205" t="n">
        <v>0.01</v>
      </c>
      <c r="AM262" s="205" t="n">
        <v>0</v>
      </c>
      <c r="AN262" s="205" t="inlineStr">
        <is>
          <t>EMF,KHTHC,EIB,KHDOC,KHCIC</t>
        </is>
      </c>
    </row>
    <row r="263">
      <c r="A263" s="222">
        <f>A262+1</f>
        <v/>
      </c>
      <c r="B263" s="224" t="inlineStr">
        <is>
          <t>Trucking &amp; Clearance-Im</t>
        </is>
      </c>
      <c r="C263" s="224" t="inlineStr">
        <is>
          <t>BRILLIANT TRANSPORT AND TRADING Co., Ltd.</t>
        </is>
      </c>
      <c r="D263" s="225" t="inlineStr">
        <is>
          <t>K002-100089305</t>
        </is>
      </c>
      <c r="E263" s="359" t="inlineStr">
        <is>
          <t>BTT25-0000569</t>
        </is>
      </c>
      <c r="F263" s="338" t="n">
        <v>45729</v>
      </c>
      <c r="G263" s="226" t="n"/>
      <c r="H263" s="627" t="n"/>
      <c r="I263" s="627" t="n">
        <v>3995976</v>
      </c>
      <c r="J263" s="223" t="inlineStr">
        <is>
          <t>អនុញ្ញាត (បានប្រកាស)</t>
        </is>
      </c>
      <c r="K263" s="223" t="n"/>
      <c r="L263" s="626">
        <f>I263</f>
        <v/>
      </c>
      <c r="M263" s="598">
        <f>I263-L263</f>
        <v/>
      </c>
      <c r="N263" s="223" t="n"/>
      <c r="O263" s="228">
        <f>U263=E263</f>
        <v/>
      </c>
      <c r="P263" s="228">
        <f>MONTH(F263)-MONTH(T263)</f>
        <v/>
      </c>
      <c r="Q263" s="228">
        <f>$B$5=X263</f>
        <v/>
      </c>
      <c r="R263" s="228">
        <f>I263-AD263</f>
        <v/>
      </c>
      <c r="S263" s="371" t="n"/>
      <c r="T263" s="372" t="n">
        <v>45729</v>
      </c>
      <c r="U263" s="371" t="inlineStr">
        <is>
          <t>BTT25-0000569</t>
        </is>
      </c>
      <c r="V263" s="371" t="n">
        <v>0</v>
      </c>
      <c r="W263" s="371" t="inlineStr">
        <is>
          <t>បុគ្គលជាប់អាករ</t>
        </is>
      </c>
      <c r="X263" s="371" t="inlineStr">
        <is>
          <t>L001-901640009</t>
        </is>
      </c>
      <c r="Y263" s="371" t="inlineStr">
        <is>
          <t>ហូលីដេ ឌីហ្សាញ (ខេមបូឌា) ឯ.ក</t>
        </is>
      </c>
      <c r="Z263" s="373" t="n">
        <v>43955736</v>
      </c>
      <c r="AA263" s="373" t="n">
        <v>39959760</v>
      </c>
      <c r="AB263" s="371" t="n">
        <v>0</v>
      </c>
      <c r="AC263" s="371" t="inlineStr">
        <is>
          <t>-</t>
        </is>
      </c>
      <c r="AD263" s="373" t="n">
        <v>3995976</v>
      </c>
      <c r="AE263" s="371" t="n">
        <v>0</v>
      </c>
      <c r="AF263" s="625" t="n">
        <v>0</v>
      </c>
      <c r="AG263" s="205" t="n">
        <v>0</v>
      </c>
      <c r="AH263" s="205" t="n">
        <v>0</v>
      </c>
      <c r="AI263" s="205" t="n">
        <v>0</v>
      </c>
      <c r="AJ263" s="205" t="n">
        <v>0</v>
      </c>
      <c r="AK263" s="205" t="n">
        <v>0</v>
      </c>
      <c r="AL263" s="205" t="n">
        <v>0.01</v>
      </c>
      <c r="AM263" s="205" t="n">
        <v>0</v>
      </c>
      <c r="AN263" s="205" t="inlineStr">
        <is>
          <t>Truking / Service</t>
        </is>
      </c>
    </row>
    <row r="264">
      <c r="A264" s="222">
        <f>A263+1</f>
        <v/>
      </c>
      <c r="B264" s="224" t="inlineStr">
        <is>
          <t>Lift-On &amp; Lift-On-Im</t>
        </is>
      </c>
      <c r="C264" s="224" t="inlineStr">
        <is>
          <t>Port Autonome Du Sihanoukville</t>
        </is>
      </c>
      <c r="D264" s="225" t="inlineStr">
        <is>
          <t>L001-100044638</t>
        </is>
      </c>
      <c r="E264" s="359" t="n">
        <v>202500054713</v>
      </c>
      <c r="F264" s="338" t="n">
        <v>45730</v>
      </c>
      <c r="G264" s="226" t="n"/>
      <c r="H264" s="627" t="n"/>
      <c r="I264" s="627" t="n">
        <v>68520</v>
      </c>
      <c r="J264" s="223" t="inlineStr">
        <is>
          <t>អនុញ្ញាត (បានប្រកាស)</t>
        </is>
      </c>
      <c r="K264" s="223" t="n"/>
      <c r="L264" s="626">
        <f>I264</f>
        <v/>
      </c>
      <c r="M264" s="598">
        <f>I264-L264</f>
        <v/>
      </c>
      <c r="N264" s="223" t="n"/>
      <c r="O264" s="228">
        <f>U264=E264</f>
        <v/>
      </c>
      <c r="P264" s="228">
        <f>MONTH(F264)-MONTH(T264)</f>
        <v/>
      </c>
      <c r="Q264" s="228">
        <f>$B$5=X264</f>
        <v/>
      </c>
      <c r="R264" s="228">
        <f>I264-AD264</f>
        <v/>
      </c>
      <c r="S264" s="371" t="n"/>
      <c r="T264" s="372" t="n">
        <v>45730</v>
      </c>
      <c r="U264" s="371" t="n">
        <v>202500054713</v>
      </c>
      <c r="V264" s="371" t="n">
        <v>0</v>
      </c>
      <c r="W264" s="371" t="inlineStr">
        <is>
          <t>បុគ្គលជាប់អាករ</t>
        </is>
      </c>
      <c r="X264" s="371" t="inlineStr">
        <is>
          <t>L001-901640009</t>
        </is>
      </c>
      <c r="Y264" s="371" t="inlineStr">
        <is>
          <t>ហូលីដេ ឌីហ្សាញ (ខេមបូឌា) ឯ.ក</t>
        </is>
      </c>
      <c r="Z264" s="373" t="n">
        <v>753717</v>
      </c>
      <c r="AA264" s="373" t="n">
        <v>685197</v>
      </c>
      <c r="AB264" s="371" t="n">
        <v>0</v>
      </c>
      <c r="AC264" s="371" t="inlineStr">
        <is>
          <t>-</t>
        </is>
      </c>
      <c r="AD264" s="373" t="n">
        <v>68520</v>
      </c>
      <c r="AE264" s="371" t="n">
        <v>0</v>
      </c>
      <c r="AF264" s="625" t="n">
        <v>0</v>
      </c>
      <c r="AG264" s="205" t="n">
        <v>0</v>
      </c>
      <c r="AH264" s="205" t="n">
        <v>0</v>
      </c>
      <c r="AI264" s="205" t="n">
        <v>0</v>
      </c>
      <c r="AJ264" s="205" t="n">
        <v>0</v>
      </c>
      <c r="AK264" s="205" t="n">
        <v>0</v>
      </c>
      <c r="AL264" s="205" t="n">
        <v>0.01</v>
      </c>
      <c r="AM264" s="205" t="n">
        <v>0</v>
      </c>
      <c r="AN264" s="205" t="inlineStr">
        <is>
          <t>LOLO</t>
        </is>
      </c>
    </row>
    <row r="265">
      <c r="A265" s="222">
        <f>A264+1</f>
        <v/>
      </c>
      <c r="B265" s="224" t="inlineStr">
        <is>
          <t>Terminal Handling Charge</t>
        </is>
      </c>
      <c r="C265" s="224" t="inlineStr">
        <is>
          <t>SITC CONTAINER LINES (CAMBODIA) Co., Ltd.</t>
        </is>
      </c>
      <c r="D265" s="225" t="inlineStr">
        <is>
          <t>L001-107035863</t>
        </is>
      </c>
      <c r="E265" s="359" t="inlineStr">
        <is>
          <t>SITC2025-007649</t>
        </is>
      </c>
      <c r="F265" s="338" t="n">
        <v>45726</v>
      </c>
      <c r="G265" s="226" t="n"/>
      <c r="H265" s="627" t="n"/>
      <c r="I265" s="627" t="n">
        <v>384672</v>
      </c>
      <c r="J265" s="223" t="inlineStr">
        <is>
          <t>អនុញ្ញាត (បានប្រកាស)</t>
        </is>
      </c>
      <c r="K265" s="223" t="n"/>
      <c r="L265" s="626">
        <f>I265</f>
        <v/>
      </c>
      <c r="M265" s="598">
        <f>I265-L265</f>
        <v/>
      </c>
      <c r="N265" s="223" t="n"/>
      <c r="O265" s="228">
        <f>U265=E265</f>
        <v/>
      </c>
      <c r="P265" s="228">
        <f>MONTH(F265)-MONTH(T265)</f>
        <v/>
      </c>
      <c r="Q265" s="228">
        <f>$B$5=X265</f>
        <v/>
      </c>
      <c r="R265" s="228">
        <f>I265-AD265</f>
        <v/>
      </c>
      <c r="S265" s="371" t="n"/>
      <c r="T265" s="372" t="n">
        <v>45726</v>
      </c>
      <c r="U265" s="371" t="inlineStr">
        <is>
          <t>SITC2025-007649</t>
        </is>
      </c>
      <c r="V265" s="371" t="n">
        <v>0</v>
      </c>
      <c r="W265" s="371" t="inlineStr">
        <is>
          <t>បុគ្គលជាប់អាករ</t>
        </is>
      </c>
      <c r="X265" s="371" t="inlineStr">
        <is>
          <t>L001-901640009</t>
        </is>
      </c>
      <c r="Y265" s="371" t="inlineStr">
        <is>
          <t>ហូលីដេ ឌីហ្សាញ (ខេមបូឌា) ឯ.ក</t>
        </is>
      </c>
      <c r="Z265" s="373" t="n">
        <v>4231392</v>
      </c>
      <c r="AA265" s="373" t="n">
        <v>3846720</v>
      </c>
      <c r="AB265" s="371" t="n">
        <v>0</v>
      </c>
      <c r="AC265" s="371" t="inlineStr">
        <is>
          <t>-</t>
        </is>
      </c>
      <c r="AD265" s="373" t="n">
        <v>384672</v>
      </c>
      <c r="AE265" s="371" t="n">
        <v>0</v>
      </c>
      <c r="AF265" s="625" t="n">
        <v>0</v>
      </c>
      <c r="AG265" s="205" t="n">
        <v>0</v>
      </c>
      <c r="AH265" s="205" t="n">
        <v>0</v>
      </c>
      <c r="AI265" s="205" t="n">
        <v>0</v>
      </c>
      <c r="AJ265" s="205" t="n">
        <v>0</v>
      </c>
      <c r="AK265" s="205" t="n">
        <v>0</v>
      </c>
      <c r="AL265" s="205" t="n">
        <v>0.01</v>
      </c>
      <c r="AM265" s="205" t="n">
        <v>0</v>
      </c>
      <c r="AN265" s="205" t="inlineStr">
        <is>
          <t>KHDOC,EIB,EMF,KHTHC,KHCIC</t>
        </is>
      </c>
    </row>
    <row r="266">
      <c r="A266" s="222">
        <f>A265+1</f>
        <v/>
      </c>
      <c r="B266" s="224" t="inlineStr">
        <is>
          <t>Trucking &amp; Clearance-Im</t>
        </is>
      </c>
      <c r="C266" s="224" t="inlineStr">
        <is>
          <t>BRILLIANT TRANSPORT AND TRADING Co., Ltd.</t>
        </is>
      </c>
      <c r="D266" s="225" t="inlineStr">
        <is>
          <t>K002-100089305</t>
        </is>
      </c>
      <c r="E266" s="359" t="inlineStr">
        <is>
          <t>BTT25-0000568</t>
        </is>
      </c>
      <c r="F266" s="338" t="n">
        <v>45730</v>
      </c>
      <c r="G266" s="226" t="n"/>
      <c r="H266" s="627" t="n"/>
      <c r="I266" s="627" t="n">
        <v>757323</v>
      </c>
      <c r="J266" s="223" t="inlineStr">
        <is>
          <t>អនុញ្ញាត (បានប្រកាស)</t>
        </is>
      </c>
      <c r="K266" s="223" t="n"/>
      <c r="L266" s="626">
        <f>I266</f>
        <v/>
      </c>
      <c r="M266" s="598">
        <f>I266-L266</f>
        <v/>
      </c>
      <c r="N266" s="223" t="n"/>
      <c r="O266" s="228">
        <f>U266=E266</f>
        <v/>
      </c>
      <c r="P266" s="228">
        <f>MONTH(F266)-MONTH(T266)</f>
        <v/>
      </c>
      <c r="Q266" s="228">
        <f>$B$5=X266</f>
        <v/>
      </c>
      <c r="R266" s="228">
        <f>I266-AD266</f>
        <v/>
      </c>
      <c r="S266" s="371" t="n"/>
      <c r="T266" s="372" t="n">
        <v>45730</v>
      </c>
      <c r="U266" s="371" t="inlineStr">
        <is>
          <t>BTT25-0000568</t>
        </is>
      </c>
      <c r="V266" s="371" t="n">
        <v>0</v>
      </c>
      <c r="W266" s="371" t="inlineStr">
        <is>
          <t>បុគ្គលជាប់អាករ</t>
        </is>
      </c>
      <c r="X266" s="371" t="inlineStr">
        <is>
          <t>L001-901640009</t>
        </is>
      </c>
      <c r="Y266" s="371" t="inlineStr">
        <is>
          <t>ហូលីដេ ឌីហ្សាញ (ខេមបូឌា) ឯ.ក</t>
        </is>
      </c>
      <c r="Z266" s="373" t="n">
        <v>8330553</v>
      </c>
      <c r="AA266" s="373" t="n">
        <v>7573230</v>
      </c>
      <c r="AB266" s="371" t="n">
        <v>0</v>
      </c>
      <c r="AC266" s="371" t="inlineStr">
        <is>
          <t>-</t>
        </is>
      </c>
      <c r="AD266" s="373" t="n">
        <v>757323</v>
      </c>
      <c r="AE266" s="371" t="n">
        <v>0</v>
      </c>
      <c r="AF266" s="625" t="n">
        <v>0</v>
      </c>
      <c r="AG266" s="205" t="n">
        <v>0</v>
      </c>
      <c r="AH266" s="205" t="n">
        <v>0</v>
      </c>
      <c r="AI266" s="205" t="n">
        <v>0</v>
      </c>
      <c r="AJ266" s="205" t="n">
        <v>0</v>
      </c>
      <c r="AK266" s="205" t="n">
        <v>0</v>
      </c>
      <c r="AL266" s="205" t="n">
        <v>0.01</v>
      </c>
      <c r="AM266" s="205" t="n">
        <v>0</v>
      </c>
      <c r="AN266" s="205" t="inlineStr">
        <is>
          <t>Truking / Service</t>
        </is>
      </c>
    </row>
    <row r="267">
      <c r="A267" s="222">
        <f>A266+1</f>
        <v/>
      </c>
      <c r="B267" s="224" t="inlineStr">
        <is>
          <t>Lift-On &amp; Lift-On-Im</t>
        </is>
      </c>
      <c r="C267" s="224" t="inlineStr">
        <is>
          <t>Port Autonome Du Sihanoukville</t>
        </is>
      </c>
      <c r="D267" s="225" t="inlineStr">
        <is>
          <t>L001-100044638</t>
        </is>
      </c>
      <c r="E267" s="359" t="n">
        <v>202500048758</v>
      </c>
      <c r="F267" s="338" t="n">
        <v>45722</v>
      </c>
      <c r="G267" s="226" t="n"/>
      <c r="H267" s="627" t="n"/>
      <c r="I267" s="627" t="n">
        <v>673848</v>
      </c>
      <c r="J267" s="223" t="inlineStr">
        <is>
          <t>អនុញ្ញាត (បានប្រកាស)</t>
        </is>
      </c>
      <c r="K267" s="223" t="n"/>
      <c r="L267" s="626">
        <f>I267</f>
        <v/>
      </c>
      <c r="M267" s="598">
        <f>I267-L267</f>
        <v/>
      </c>
      <c r="N267" s="223" t="n"/>
      <c r="O267" s="228">
        <f>U267=E267</f>
        <v/>
      </c>
      <c r="P267" s="228">
        <f>MONTH(F267)-MONTH(T267)</f>
        <v/>
      </c>
      <c r="Q267" s="228">
        <f>$B$5=X267</f>
        <v/>
      </c>
      <c r="R267" s="228">
        <f>I267-AD267</f>
        <v/>
      </c>
      <c r="S267" s="371" t="n"/>
      <c r="T267" s="372" t="n">
        <v>45722</v>
      </c>
      <c r="U267" s="371" t="n">
        <v>202500048758</v>
      </c>
      <c r="V267" s="371" t="n">
        <v>0</v>
      </c>
      <c r="W267" s="371" t="inlineStr">
        <is>
          <t>បុគ្គលជាប់អាករ</t>
        </is>
      </c>
      <c r="X267" s="371" t="inlineStr">
        <is>
          <t>L001-901640009</t>
        </is>
      </c>
      <c r="Y267" s="371" t="inlineStr">
        <is>
          <t>ហូលីដេ ឌីហ្សាញ (ខេមបូឌា) ឯ.ក</t>
        </is>
      </c>
      <c r="Z267" s="373" t="n">
        <v>7412328</v>
      </c>
      <c r="AA267" s="373" t="n">
        <v>6738480</v>
      </c>
      <c r="AB267" s="371" t="n">
        <v>0</v>
      </c>
      <c r="AC267" s="371" t="inlineStr">
        <is>
          <t>-</t>
        </is>
      </c>
      <c r="AD267" s="373" t="n">
        <v>673848</v>
      </c>
      <c r="AE267" s="371" t="n">
        <v>0</v>
      </c>
      <c r="AF267" s="625" t="n">
        <v>0</v>
      </c>
      <c r="AG267" s="205" t="n">
        <v>0</v>
      </c>
      <c r="AH267" s="205" t="n">
        <v>0</v>
      </c>
      <c r="AI267" s="205" t="n">
        <v>0</v>
      </c>
      <c r="AJ267" s="205" t="n">
        <v>0</v>
      </c>
      <c r="AK267" s="205" t="n">
        <v>0</v>
      </c>
      <c r="AL267" s="205" t="n">
        <v>0.01</v>
      </c>
      <c r="AM267" s="205" t="n">
        <v>0</v>
      </c>
      <c r="AN267" s="205" t="inlineStr">
        <is>
          <t>LOLO</t>
        </is>
      </c>
    </row>
    <row r="268">
      <c r="A268" s="222">
        <f>A267+1</f>
        <v/>
      </c>
      <c r="B268" s="224" t="inlineStr">
        <is>
          <t>Terminal Handling Charge</t>
        </is>
      </c>
      <c r="C268" s="224" t="inlineStr">
        <is>
          <t>SITC CONTAINER LINES (CAMBODIA) Co., Ltd.</t>
        </is>
      </c>
      <c r="D268" s="225" t="inlineStr">
        <is>
          <t>L001-107035863</t>
        </is>
      </c>
      <c r="E268" s="359" t="inlineStr">
        <is>
          <t>SITC2025-006919</t>
        </is>
      </c>
      <c r="F268" s="338" t="n">
        <v>45720</v>
      </c>
      <c r="G268" s="226" t="n"/>
      <c r="H268" s="627" t="n"/>
      <c r="I268" s="627" t="n">
        <v>4017018</v>
      </c>
      <c r="J268" s="223" t="inlineStr">
        <is>
          <t>អនុញ្ញាត (បានប្រកាស)</t>
        </is>
      </c>
      <c r="K268" s="223" t="n"/>
      <c r="L268" s="626">
        <f>I268</f>
        <v/>
      </c>
      <c r="M268" s="598">
        <f>I268-L268</f>
        <v/>
      </c>
      <c r="N268" s="223" t="n"/>
      <c r="O268" s="228">
        <f>U268=E268</f>
        <v/>
      </c>
      <c r="P268" s="228">
        <f>MONTH(F268)-MONTH(T268)</f>
        <v/>
      </c>
      <c r="Q268" s="228">
        <f>$B$5=X268</f>
        <v/>
      </c>
      <c r="R268" s="228">
        <f>I268-AD268</f>
        <v/>
      </c>
      <c r="S268" s="371" t="n"/>
      <c r="T268" s="372" t="n">
        <v>45720</v>
      </c>
      <c r="U268" s="371" t="inlineStr">
        <is>
          <t>SITC2025-006919</t>
        </is>
      </c>
      <c r="V268" s="371" t="n">
        <v>0</v>
      </c>
      <c r="W268" s="371" t="inlineStr">
        <is>
          <t>បុគ្គលជាប់អាករ</t>
        </is>
      </c>
      <c r="X268" s="371" t="inlineStr">
        <is>
          <t>L001-901640009</t>
        </is>
      </c>
      <c r="Y268" s="371" t="inlineStr">
        <is>
          <t>ហូលីដេ ឌីហ្សាញ (ខេមបូឌា) ឯ.ក</t>
        </is>
      </c>
      <c r="Z268" s="373" t="n">
        <v>44187198</v>
      </c>
      <c r="AA268" s="373" t="n">
        <v>40170180</v>
      </c>
      <c r="AB268" s="371" t="n">
        <v>0</v>
      </c>
      <c r="AC268" s="371" t="inlineStr">
        <is>
          <t>-</t>
        </is>
      </c>
      <c r="AD268" s="373" t="n">
        <v>4017018</v>
      </c>
      <c r="AE268" s="371" t="n">
        <v>0</v>
      </c>
      <c r="AF268" s="625" t="n">
        <v>0</v>
      </c>
      <c r="AG268" s="205" t="n">
        <v>0</v>
      </c>
      <c r="AH268" s="205" t="n">
        <v>0</v>
      </c>
      <c r="AI268" s="205" t="n">
        <v>0</v>
      </c>
      <c r="AJ268" s="205" t="n">
        <v>0</v>
      </c>
      <c r="AK268" s="205" t="n">
        <v>0</v>
      </c>
      <c r="AL268" s="205" t="n">
        <v>0.01</v>
      </c>
      <c r="AM268" s="205" t="n">
        <v>0</v>
      </c>
      <c r="AN268" s="205" t="inlineStr">
        <is>
          <t>KHTHC,KHDOC,EMF,KHCIC,KHTHC,EIB,KHCIC,EMF,EIB</t>
        </is>
      </c>
    </row>
    <row r="269">
      <c r="A269" s="222">
        <f>A268+1</f>
        <v/>
      </c>
      <c r="B269" s="224" t="inlineStr">
        <is>
          <t>Trucking &amp; Clearance-Im</t>
        </is>
      </c>
      <c r="C269" s="224" t="inlineStr">
        <is>
          <t>BRILLIANT TRANSPORT AND TRADING Co., Ltd.</t>
        </is>
      </c>
      <c r="D269" s="225" t="inlineStr">
        <is>
          <t>K002-100089305</t>
        </is>
      </c>
      <c r="E269" s="359" t="inlineStr">
        <is>
          <t>BTT25-0000516</t>
        </is>
      </c>
      <c r="F269" s="338" t="n">
        <v>45722</v>
      </c>
      <c r="G269" s="226" t="n"/>
      <c r="H269" s="627" t="n"/>
      <c r="I269" s="627" t="n">
        <v>4684046</v>
      </c>
      <c r="J269" s="223" t="inlineStr">
        <is>
          <t>អនុញ្ញាត (បានប្រកាស)</t>
        </is>
      </c>
      <c r="K269" s="223" t="n"/>
      <c r="L269" s="626">
        <f>I269</f>
        <v/>
      </c>
      <c r="M269" s="598">
        <f>I269-L269</f>
        <v/>
      </c>
      <c r="N269" s="223" t="n"/>
      <c r="O269" s="228">
        <f>U269=E269</f>
        <v/>
      </c>
      <c r="P269" s="228">
        <f>MONTH(F269)-MONTH(T269)</f>
        <v/>
      </c>
      <c r="Q269" s="228">
        <f>$B$5=X269</f>
        <v/>
      </c>
      <c r="R269" s="228">
        <f>I269-AD269</f>
        <v/>
      </c>
      <c r="S269" s="371" t="n"/>
      <c r="T269" s="372" t="n">
        <v>45722</v>
      </c>
      <c r="U269" s="371" t="inlineStr">
        <is>
          <t>BTT25-0000516</t>
        </is>
      </c>
      <c r="V269" s="371" t="n">
        <v>0</v>
      </c>
      <c r="W269" s="371" t="inlineStr">
        <is>
          <t>បុគ្គលជាប់អាករ</t>
        </is>
      </c>
      <c r="X269" s="371" t="inlineStr">
        <is>
          <t>L001-901640009</t>
        </is>
      </c>
      <c r="Y269" s="371" t="inlineStr">
        <is>
          <t>ហូលីដេ ឌីហ្សាញ (ខេមបូឌា) ឯ.ក</t>
        </is>
      </c>
      <c r="Z269" s="373" t="n">
        <v>51524504</v>
      </c>
      <c r="AA269" s="373" t="n">
        <v>46840458</v>
      </c>
      <c r="AB269" s="371" t="n">
        <v>0</v>
      </c>
      <c r="AC269" s="371" t="inlineStr">
        <is>
          <t>-</t>
        </is>
      </c>
      <c r="AD269" s="373" t="n">
        <v>4684046</v>
      </c>
      <c r="AE269" s="371" t="n">
        <v>0</v>
      </c>
      <c r="AF269" s="625" t="n">
        <v>0</v>
      </c>
      <c r="AG269" s="205" t="n">
        <v>0</v>
      </c>
      <c r="AH269" s="205" t="n">
        <v>0</v>
      </c>
      <c r="AI269" s="205" t="n">
        <v>0</v>
      </c>
      <c r="AJ269" s="205" t="n">
        <v>0</v>
      </c>
      <c r="AK269" s="205" t="n">
        <v>0</v>
      </c>
      <c r="AL269" s="205" t="n">
        <v>0.01</v>
      </c>
      <c r="AM269" s="205" t="n">
        <v>0</v>
      </c>
      <c r="AN269" s="205" t="inlineStr">
        <is>
          <t>Truking / Service</t>
        </is>
      </c>
    </row>
    <row r="270">
      <c r="A270" s="222">
        <f>A269+1</f>
        <v/>
      </c>
      <c r="B270" s="224" t="inlineStr">
        <is>
          <t>Lift-On &amp; Lift-On-Im</t>
        </is>
      </c>
      <c r="C270" s="224" t="inlineStr">
        <is>
          <t>Port Autonome Du Sihanoukville</t>
        </is>
      </c>
      <c r="D270" s="225" t="inlineStr">
        <is>
          <t>L001-100044638</t>
        </is>
      </c>
      <c r="E270" s="359" t="n">
        <v>202500047536</v>
      </c>
      <c r="F270" s="338" t="n">
        <v>45721</v>
      </c>
      <c r="G270" s="226" t="n"/>
      <c r="H270" s="627" t="n"/>
      <c r="I270" s="627" t="n">
        <v>174479</v>
      </c>
      <c r="J270" s="223" t="inlineStr">
        <is>
          <t>អនុញ្ញាត (បានប្រកាស)</t>
        </is>
      </c>
      <c r="K270" s="223" t="n"/>
      <c r="L270" s="626">
        <f>I270</f>
        <v/>
      </c>
      <c r="M270" s="598">
        <f>I270-L270</f>
        <v/>
      </c>
      <c r="N270" s="223" t="n"/>
      <c r="O270" s="228">
        <f>U270=E270</f>
        <v/>
      </c>
      <c r="P270" s="228">
        <f>MONTH(F270)-MONTH(T270)</f>
        <v/>
      </c>
      <c r="Q270" s="228">
        <f>$B$5=X270</f>
        <v/>
      </c>
      <c r="R270" s="228">
        <f>I270-AD270</f>
        <v/>
      </c>
      <c r="S270" s="371" t="n"/>
      <c r="T270" s="372" t="n">
        <v>45721</v>
      </c>
      <c r="U270" s="371" t="n">
        <v>202500047536</v>
      </c>
      <c r="V270" s="371" t="n">
        <v>0</v>
      </c>
      <c r="W270" s="371" t="inlineStr">
        <is>
          <t>បុគ្គលជាប់អាករ</t>
        </is>
      </c>
      <c r="X270" s="371" t="inlineStr">
        <is>
          <t>L001-901640009</t>
        </is>
      </c>
      <c r="Y270" s="371" t="inlineStr">
        <is>
          <t>ហូលីដេ ឌីហ្សាញ (ខេមបូឌា) ឯ.ក</t>
        </is>
      </c>
      <c r="Z270" s="373" t="n">
        <v>1919264</v>
      </c>
      <c r="AA270" s="373" t="n">
        <v>1744785</v>
      </c>
      <c r="AB270" s="371" t="n">
        <v>0</v>
      </c>
      <c r="AC270" s="371" t="inlineStr">
        <is>
          <t>-</t>
        </is>
      </c>
      <c r="AD270" s="373" t="n">
        <v>174479</v>
      </c>
      <c r="AE270" s="371" t="n">
        <v>0</v>
      </c>
      <c r="AF270" s="625" t="n">
        <v>0</v>
      </c>
      <c r="AG270" s="205" t="n">
        <v>0</v>
      </c>
      <c r="AH270" s="205" t="n">
        <v>0</v>
      </c>
      <c r="AI270" s="205" t="n">
        <v>0</v>
      </c>
      <c r="AJ270" s="205" t="n">
        <v>0</v>
      </c>
      <c r="AK270" s="205" t="n">
        <v>0</v>
      </c>
      <c r="AL270" s="205" t="n">
        <v>0.01</v>
      </c>
      <c r="AM270" s="205" t="n">
        <v>0</v>
      </c>
      <c r="AN270" s="205" t="inlineStr">
        <is>
          <t>LOLO</t>
        </is>
      </c>
    </row>
    <row r="271">
      <c r="A271" s="222">
        <f>A270+1</f>
        <v/>
      </c>
      <c r="B271" s="224" t="inlineStr">
        <is>
          <t>Trucking &amp; Clearance-Im</t>
        </is>
      </c>
      <c r="C271" s="224" t="inlineStr">
        <is>
          <t>BRILLIANT TRANSPORT AND TRADING Co., Ltd.</t>
        </is>
      </c>
      <c r="D271" s="225" t="inlineStr">
        <is>
          <t>K002-100089305</t>
        </is>
      </c>
      <c r="E271" s="359" t="inlineStr">
        <is>
          <t>BTT25-0000616</t>
        </is>
      </c>
      <c r="F271" s="338" t="n">
        <v>45737</v>
      </c>
      <c r="G271" s="226" t="n"/>
      <c r="H271" s="627" t="n"/>
      <c r="I271" s="627" t="n">
        <v>2162700</v>
      </c>
      <c r="J271" s="223" t="inlineStr">
        <is>
          <t>អនុញ្ញាត (បានប្រកាស)</t>
        </is>
      </c>
      <c r="K271" s="223" t="n"/>
      <c r="L271" s="626">
        <f>I271</f>
        <v/>
      </c>
      <c r="M271" s="598">
        <f>I271-L271</f>
        <v/>
      </c>
      <c r="N271" s="223" t="n"/>
      <c r="O271" s="228">
        <f>U271=E271</f>
        <v/>
      </c>
      <c r="P271" s="228">
        <f>MONTH(F271)-MONTH(T271)</f>
        <v/>
      </c>
      <c r="Q271" s="228">
        <f>$B$5=X271</f>
        <v/>
      </c>
      <c r="R271" s="228">
        <f>I271-AD271</f>
        <v/>
      </c>
      <c r="S271" s="371" t="n"/>
      <c r="T271" s="372" t="n">
        <v>45737</v>
      </c>
      <c r="U271" s="371" t="inlineStr">
        <is>
          <t>BTT25-0000616</t>
        </is>
      </c>
      <c r="V271" s="371" t="n">
        <v>0</v>
      </c>
      <c r="W271" s="371" t="inlineStr">
        <is>
          <t>បុគ្គលជាប់អាករ</t>
        </is>
      </c>
      <c r="X271" s="371" t="inlineStr">
        <is>
          <t>L001-901640009</t>
        </is>
      </c>
      <c r="Y271" s="371" t="inlineStr">
        <is>
          <t>ហូលីដេ ឌីហ្សាញ (ខេមបូឌា) ឯ.ក</t>
        </is>
      </c>
      <c r="Z271" s="373" t="n">
        <v>23789700</v>
      </c>
      <c r="AA271" s="373" t="n">
        <v>21627000</v>
      </c>
      <c r="AB271" s="371" t="n">
        <v>0</v>
      </c>
      <c r="AC271" s="371" t="inlineStr">
        <is>
          <t>-</t>
        </is>
      </c>
      <c r="AD271" s="373" t="n">
        <v>2162700</v>
      </c>
      <c r="AE271" s="371" t="n">
        <v>0</v>
      </c>
      <c r="AF271" s="625" t="n">
        <v>0</v>
      </c>
      <c r="AG271" s="205" t="n">
        <v>0</v>
      </c>
      <c r="AH271" s="205" t="n">
        <v>0</v>
      </c>
      <c r="AI271" s="205" t="n">
        <v>0</v>
      </c>
      <c r="AJ271" s="205" t="n">
        <v>0</v>
      </c>
      <c r="AK271" s="205" t="n">
        <v>0</v>
      </c>
      <c r="AL271" s="205" t="n">
        <v>0.01</v>
      </c>
      <c r="AM271" s="205" t="n">
        <v>0</v>
      </c>
      <c r="AN271" s="205" t="inlineStr">
        <is>
          <t>Truking / Service</t>
        </is>
      </c>
    </row>
    <row r="272">
      <c r="A272" s="222">
        <f>A271+1</f>
        <v/>
      </c>
      <c r="B272" s="224" t="inlineStr">
        <is>
          <t>Lift-On &amp; Lift-On-Im</t>
        </is>
      </c>
      <c r="C272" s="224" t="inlineStr">
        <is>
          <t>Port Autonome Du Sihanoukville</t>
        </is>
      </c>
      <c r="D272" s="225" t="inlineStr">
        <is>
          <t>L001-100044638</t>
        </is>
      </c>
      <c r="E272" s="359" t="n">
        <v>202500061144</v>
      </c>
      <c r="F272" s="338" t="n">
        <v>45737</v>
      </c>
      <c r="G272" s="226" t="n"/>
      <c r="H272" s="627" t="n"/>
      <c r="I272" s="627" t="n">
        <v>348435</v>
      </c>
      <c r="J272" s="223" t="inlineStr">
        <is>
          <t>អនុញ្ញាត (បានប្រកាស)</t>
        </is>
      </c>
      <c r="K272" s="223" t="n"/>
      <c r="L272" s="626">
        <f>I272</f>
        <v/>
      </c>
      <c r="M272" s="598">
        <f>I272-L272</f>
        <v/>
      </c>
      <c r="N272" s="223" t="n"/>
      <c r="O272" s="228">
        <f>U272=E272</f>
        <v/>
      </c>
      <c r="P272" s="228">
        <f>MONTH(F272)-MONTH(T272)</f>
        <v/>
      </c>
      <c r="Q272" s="228">
        <f>$B$5=X272</f>
        <v/>
      </c>
      <c r="R272" s="228">
        <f>I272-AD272</f>
        <v/>
      </c>
      <c r="S272" s="371" t="inlineStr">
        <is>
          <t>Wrong invoice number</t>
        </is>
      </c>
      <c r="T272" s="372" t="n">
        <v>45737</v>
      </c>
      <c r="U272" s="371" t="n">
        <v>202500061144</v>
      </c>
      <c r="V272" s="371" t="n">
        <v>0</v>
      </c>
      <c r="W272" s="371" t="inlineStr">
        <is>
          <t>បុគ្គលជាប់អាករ</t>
        </is>
      </c>
      <c r="X272" s="371" t="inlineStr">
        <is>
          <t>L001-901640009</t>
        </is>
      </c>
      <c r="Y272" s="371" t="inlineStr">
        <is>
          <t>ហូលីដេ ឌីហ្សាញ (ខេមបូឌា) ឯ.ក</t>
        </is>
      </c>
      <c r="Z272" s="373" t="n">
        <v>3832785</v>
      </c>
      <c r="AA272" s="373" t="n">
        <v>3484350</v>
      </c>
      <c r="AB272" s="371" t="n">
        <v>0</v>
      </c>
      <c r="AC272" s="371" t="inlineStr">
        <is>
          <t>-</t>
        </is>
      </c>
      <c r="AD272" s="373" t="n">
        <v>348435</v>
      </c>
      <c r="AE272" s="371" t="n">
        <v>0</v>
      </c>
      <c r="AF272" s="625" t="n">
        <v>0</v>
      </c>
      <c r="AG272" s="205" t="n">
        <v>0</v>
      </c>
      <c r="AH272" s="205" t="n">
        <v>0</v>
      </c>
      <c r="AI272" s="205" t="n">
        <v>0</v>
      </c>
      <c r="AJ272" s="205" t="n">
        <v>0</v>
      </c>
      <c r="AK272" s="205" t="n">
        <v>0</v>
      </c>
      <c r="AL272" s="205" t="n">
        <v>0.01</v>
      </c>
      <c r="AM272" s="205" t="n">
        <v>0</v>
      </c>
      <c r="AN272" s="205" t="inlineStr">
        <is>
          <t>LOLO</t>
        </is>
      </c>
    </row>
    <row r="273">
      <c r="A273" s="222">
        <f>A272+1</f>
        <v/>
      </c>
      <c r="B273" s="224" t="inlineStr">
        <is>
          <t>Terminal Handling Service-Im</t>
        </is>
      </c>
      <c r="C273" s="224" t="inlineStr">
        <is>
          <t>MAERSK (CAMBODIA) LTD.</t>
        </is>
      </c>
      <c r="D273" s="225" t="inlineStr">
        <is>
          <t>L001-100045200</t>
        </is>
      </c>
      <c r="E273" s="359" t="n">
        <v>7676087446</v>
      </c>
      <c r="F273" s="338" t="n">
        <v>45617</v>
      </c>
      <c r="G273" s="226" t="n"/>
      <c r="H273" s="627" t="n"/>
      <c r="I273" s="627" t="n">
        <v>195649</v>
      </c>
      <c r="J273" s="223" t="inlineStr">
        <is>
          <t>អនុញ្ញាត (បានប្រកាស)</t>
        </is>
      </c>
      <c r="K273" s="223" t="n"/>
      <c r="L273" s="626">
        <f>I273</f>
        <v/>
      </c>
      <c r="M273" s="598">
        <f>I273-L273</f>
        <v/>
      </c>
      <c r="N273" s="223" t="n"/>
      <c r="O273" s="228">
        <f>U273=E273</f>
        <v/>
      </c>
      <c r="P273" s="228">
        <f>MONTH(F273)-MONTH(T273)</f>
        <v/>
      </c>
      <c r="Q273" s="228">
        <f>$B$5=X273</f>
        <v/>
      </c>
      <c r="R273" s="228">
        <f>I273-AD273</f>
        <v/>
      </c>
      <c r="S273" s="371" t="n"/>
      <c r="T273" s="372" t="n">
        <v>45617</v>
      </c>
      <c r="U273" s="371" t="n">
        <v>7676087446</v>
      </c>
      <c r="V273" s="371" t="n">
        <v>0</v>
      </c>
      <c r="W273" s="371" t="inlineStr">
        <is>
          <t>បុគ្គលជាប់អាករ</t>
        </is>
      </c>
      <c r="X273" s="371" t="inlineStr">
        <is>
          <t>L001-901640009</t>
        </is>
      </c>
      <c r="Y273" s="371" t="inlineStr">
        <is>
          <t>ហូលីដេ ឌីហ្សាញ (ខេមបូឌា) ឯ.ក</t>
        </is>
      </c>
      <c r="Z273" s="373" t="n">
        <v>2152139</v>
      </c>
      <c r="AA273" s="373" t="n">
        <v>1956490</v>
      </c>
      <c r="AB273" s="371" t="n">
        <v>0</v>
      </c>
      <c r="AC273" s="371" t="inlineStr">
        <is>
          <t>-</t>
        </is>
      </c>
      <c r="AD273" s="373" t="n">
        <v>195649</v>
      </c>
      <c r="AE273" s="371" t="n">
        <v>0</v>
      </c>
      <c r="AF273" s="625" t="n">
        <v>0</v>
      </c>
      <c r="AG273" s="205" t="n">
        <v>0</v>
      </c>
      <c r="AH273" s="205" t="n">
        <v>0</v>
      </c>
      <c r="AI273" s="205" t="n">
        <v>0</v>
      </c>
      <c r="AJ273" s="205" t="n">
        <v>0</v>
      </c>
      <c r="AK273" s="205" t="n">
        <v>0</v>
      </c>
      <c r="AL273" s="205" t="n">
        <v>0.01</v>
      </c>
      <c r="AM273" s="205" t="n">
        <v>0</v>
      </c>
      <c r="AN273" s="205" t="inlineStr">
        <is>
          <t>CP1 CONTAINER PROTECT ESSENTIAL</t>
        </is>
      </c>
      <c r="AO273" s="205" t="inlineStr">
        <is>
          <t>បានប្រកាសនិងបង់ពន្ធ</t>
        </is>
      </c>
    </row>
    <row r="274">
      <c r="A274" s="222">
        <f>A273+1</f>
        <v/>
      </c>
      <c r="B274" s="224" t="inlineStr">
        <is>
          <t>Lift-On &amp; Lift-On-Im</t>
        </is>
      </c>
      <c r="C274" s="224" t="inlineStr">
        <is>
          <t>Port Autonome Du Sihanoukville</t>
        </is>
      </c>
      <c r="D274" s="225" t="inlineStr">
        <is>
          <t>L001-100044638</t>
        </is>
      </c>
      <c r="E274" s="359" t="n">
        <v>202500068614</v>
      </c>
      <c r="F274" s="338" t="n">
        <v>45747</v>
      </c>
      <c r="G274" s="226" t="n"/>
      <c r="H274" s="627" t="n"/>
      <c r="I274" s="627" t="n">
        <v>452400</v>
      </c>
      <c r="J274" s="223" t="inlineStr">
        <is>
          <t>អនុញ្ញាត (បានប្រកាស)</t>
        </is>
      </c>
      <c r="K274" s="223" t="n"/>
      <c r="L274" s="626">
        <f>I274</f>
        <v/>
      </c>
      <c r="M274" s="598">
        <f>I274-L274</f>
        <v/>
      </c>
      <c r="N274" s="223" t="n"/>
      <c r="O274" s="228">
        <f>U274=E274</f>
        <v/>
      </c>
      <c r="P274" s="228">
        <f>MONTH(F274)-MONTH(T274)</f>
        <v/>
      </c>
      <c r="Q274" s="228">
        <f>$B$5=X274</f>
        <v/>
      </c>
      <c r="R274" s="228">
        <f>I274-AD274</f>
        <v/>
      </c>
      <c r="S274" s="371" t="n"/>
      <c r="T274" s="372" t="n">
        <v>45747</v>
      </c>
      <c r="U274" s="371" t="n">
        <v>202500068614</v>
      </c>
      <c r="V274" s="371" t="n">
        <v>0</v>
      </c>
      <c r="W274" s="371" t="inlineStr">
        <is>
          <t>បុគ្គលជាប់អាករ</t>
        </is>
      </c>
      <c r="X274" s="371" t="inlineStr">
        <is>
          <t>L001-901640009</t>
        </is>
      </c>
      <c r="Y274" s="371" t="inlineStr">
        <is>
          <t>ហូលីដេ ឌីហ្សាញ (ខេមបូឌា) ឯ.ក</t>
        </is>
      </c>
      <c r="Z274" s="373" t="n">
        <v>4976400</v>
      </c>
      <c r="AA274" s="373" t="n">
        <v>4524000</v>
      </c>
      <c r="AB274" s="371" t="n">
        <v>0</v>
      </c>
      <c r="AC274" s="371" t="inlineStr">
        <is>
          <t>-</t>
        </is>
      </c>
      <c r="AD274" s="373" t="n">
        <v>452400</v>
      </c>
      <c r="AE274" s="371" t="n">
        <v>0</v>
      </c>
      <c r="AF274" s="625" t="n">
        <v>0</v>
      </c>
      <c r="AG274" s="205" t="n">
        <v>0</v>
      </c>
      <c r="AH274" s="205" t="n">
        <v>0</v>
      </c>
      <c r="AI274" s="205" t="n">
        <v>0</v>
      </c>
      <c r="AJ274" s="205" t="n">
        <v>0</v>
      </c>
      <c r="AK274" s="205" t="n">
        <v>0</v>
      </c>
      <c r="AL274" s="205" t="n">
        <v>0.01</v>
      </c>
      <c r="AM274" s="205" t="n">
        <v>0</v>
      </c>
      <c r="AN274" s="205" t="inlineStr">
        <is>
          <t>LOLO</t>
        </is>
      </c>
    </row>
    <row r="275">
      <c r="A275" s="222">
        <f>A274+1</f>
        <v/>
      </c>
      <c r="B275" s="224" t="inlineStr">
        <is>
          <t>Terminal Handling Charge</t>
        </is>
      </c>
      <c r="C275" s="224" t="inlineStr">
        <is>
          <t>SITC CONTAINER LINES (CAMBODIA) Co., Ltd.</t>
        </is>
      </c>
      <c r="D275" s="225" t="inlineStr">
        <is>
          <t>L001-107035863</t>
        </is>
      </c>
      <c r="E275" s="359" t="inlineStr">
        <is>
          <t>SITC2025-009950</t>
        </is>
      </c>
      <c r="F275" s="338" t="n">
        <v>45742</v>
      </c>
      <c r="G275" s="226" t="n"/>
      <c r="H275" s="627" t="n"/>
      <c r="I275" s="627" t="n">
        <v>2730046</v>
      </c>
      <c r="J275" s="223" t="inlineStr">
        <is>
          <t>អនុញ្ញាត (បានប្រកាស)</t>
        </is>
      </c>
      <c r="K275" s="223" t="n"/>
      <c r="L275" s="626">
        <f>I275</f>
        <v/>
      </c>
      <c r="M275" s="598">
        <f>I275-L275</f>
        <v/>
      </c>
      <c r="N275" s="223" t="n"/>
      <c r="O275" s="228">
        <f>U275=E275</f>
        <v/>
      </c>
      <c r="P275" s="228">
        <f>MONTH(F275)-MONTH(T275)</f>
        <v/>
      </c>
      <c r="Q275" s="228">
        <f>$B$5=X275</f>
        <v/>
      </c>
      <c r="R275" s="228">
        <f>I275-AD275</f>
        <v/>
      </c>
      <c r="S275" s="371" t="n"/>
      <c r="T275" s="372" t="n">
        <v>45742</v>
      </c>
      <c r="U275" s="371" t="inlineStr">
        <is>
          <t>SITC2025-009950</t>
        </is>
      </c>
      <c r="V275" s="371" t="n">
        <v>0</v>
      </c>
      <c r="W275" s="371" t="inlineStr">
        <is>
          <t>បុគ្គលជាប់អាករ</t>
        </is>
      </c>
      <c r="X275" s="371" t="inlineStr">
        <is>
          <t>L001-901640009</t>
        </is>
      </c>
      <c r="Y275" s="371" t="inlineStr">
        <is>
          <t>ហូលីដេ ឌីហ្សាញ (ខេមបូឌា) ឯ.ក</t>
        </is>
      </c>
      <c r="Z275" s="373" t="n">
        <v>30030506</v>
      </c>
      <c r="AA275" s="373" t="n">
        <v>27300460</v>
      </c>
      <c r="AB275" s="371" t="n">
        <v>0</v>
      </c>
      <c r="AC275" s="371" t="inlineStr">
        <is>
          <t>-</t>
        </is>
      </c>
      <c r="AD275" s="373" t="n">
        <v>2730046</v>
      </c>
      <c r="AE275" s="371" t="n">
        <v>0</v>
      </c>
      <c r="AF275" s="625" t="n">
        <v>0</v>
      </c>
      <c r="AG275" s="205" t="n">
        <v>0</v>
      </c>
      <c r="AH275" s="205" t="n">
        <v>0</v>
      </c>
      <c r="AI275" s="205" t="n">
        <v>0</v>
      </c>
      <c r="AJ275" s="205" t="n">
        <v>0</v>
      </c>
      <c r="AK275" s="205" t="n">
        <v>0</v>
      </c>
      <c r="AL275" s="205" t="n">
        <v>0.01</v>
      </c>
      <c r="AM275" s="205" t="n">
        <v>0</v>
      </c>
      <c r="AN275" s="205" t="inlineStr">
        <is>
          <t>KHCIC,EIB,EMF,KHDOC,KHTHC</t>
        </is>
      </c>
    </row>
    <row r="276">
      <c r="A276" s="222">
        <f>A275+1</f>
        <v/>
      </c>
      <c r="B276" s="224" t="inlineStr">
        <is>
          <t>Documentation Fee-Im</t>
        </is>
      </c>
      <c r="C276" s="224" t="inlineStr">
        <is>
          <t>MAERSK (CAMBODIA) LTD.</t>
        </is>
      </c>
      <c r="D276" s="225" t="inlineStr">
        <is>
          <t>L001-100045200</t>
        </is>
      </c>
      <c r="E276" s="359" t="n">
        <v>7676087456</v>
      </c>
      <c r="F276" s="338" t="n">
        <v>45617</v>
      </c>
      <c r="G276" s="226" t="n"/>
      <c r="H276" s="627" t="n"/>
      <c r="I276" s="627" t="n">
        <v>1393747</v>
      </c>
      <c r="J276" s="223" t="inlineStr">
        <is>
          <t>អនុញ្ញាត (បានប្រកាស)</t>
        </is>
      </c>
      <c r="K276" s="223" t="n"/>
      <c r="L276" s="626">
        <f>I276</f>
        <v/>
      </c>
      <c r="M276" s="598">
        <f>I276-L276</f>
        <v/>
      </c>
      <c r="N276" s="223" t="n"/>
      <c r="O276" s="228">
        <f>U276=E276</f>
        <v/>
      </c>
      <c r="P276" s="228">
        <f>MONTH(F276)-MONTH(T276)</f>
        <v/>
      </c>
      <c r="Q276" s="228">
        <f>$B$5=X276</f>
        <v/>
      </c>
      <c r="R276" s="228">
        <f>I276-AD276</f>
        <v/>
      </c>
      <c r="S276" s="371" t="n"/>
      <c r="T276" s="372" t="n">
        <v>45617</v>
      </c>
      <c r="U276" s="371" t="n">
        <v>7676087456</v>
      </c>
      <c r="V276" s="371" t="n">
        <v>0</v>
      </c>
      <c r="W276" s="371" t="inlineStr">
        <is>
          <t>បុគ្គលជាប់អាករ</t>
        </is>
      </c>
      <c r="X276" s="371" t="inlineStr">
        <is>
          <t>L001-901640009</t>
        </is>
      </c>
      <c r="Y276" s="371" t="inlineStr">
        <is>
          <t>ហូលីដេ ឌីហ្សាញ (ខេមបូឌា) ឯ.ក</t>
        </is>
      </c>
      <c r="Z276" s="373" t="n">
        <v>15331217</v>
      </c>
      <c r="AA276" s="373" t="n">
        <v>13937470</v>
      </c>
      <c r="AB276" s="371" t="n">
        <v>0</v>
      </c>
      <c r="AC276" s="371" t="inlineStr">
        <is>
          <t>-</t>
        </is>
      </c>
      <c r="AD276" s="373" t="n">
        <v>1393747</v>
      </c>
      <c r="AE276" s="371" t="n">
        <v>0</v>
      </c>
      <c r="AF276" s="625" t="n">
        <v>0</v>
      </c>
      <c r="AG276" s="205" t="n">
        <v>0</v>
      </c>
      <c r="AH276" s="205" t="n">
        <v>0</v>
      </c>
      <c r="AI276" s="205" t="n">
        <v>0</v>
      </c>
      <c r="AJ276" s="205" t="n">
        <v>0</v>
      </c>
      <c r="AK276" s="205" t="n">
        <v>0</v>
      </c>
      <c r="AL276" s="205" t="n">
        <v>0.01</v>
      </c>
      <c r="AM276" s="205" t="n">
        <v>0</v>
      </c>
      <c r="AN276" s="205" t="inlineStr">
        <is>
          <t>CP1 CONTAINER PROTECT ESSENTIAL</t>
        </is>
      </c>
      <c r="AO276" s="205" t="inlineStr">
        <is>
          <t>បានប្រកាសនិងបង់ពន្ធ</t>
        </is>
      </c>
    </row>
    <row r="277">
      <c r="A277" s="222">
        <f>A276+1</f>
        <v/>
      </c>
      <c r="B277" s="224" t="inlineStr">
        <is>
          <t>Terminal Handling Service-Im</t>
        </is>
      </c>
      <c r="C277" s="224" t="inlineStr">
        <is>
          <t>MAERSK (CAMBODIA) LTD.</t>
        </is>
      </c>
      <c r="D277" s="225" t="inlineStr">
        <is>
          <t>L001-100045200</t>
        </is>
      </c>
      <c r="E277" s="359" t="n">
        <v>7676087497</v>
      </c>
      <c r="F277" s="338" t="n">
        <v>45617</v>
      </c>
      <c r="G277" s="226" t="n"/>
      <c r="H277" s="627" t="n"/>
      <c r="I277" s="627" t="n">
        <v>195649</v>
      </c>
      <c r="J277" s="223" t="inlineStr">
        <is>
          <t>អនុញ្ញាត (បានប្រកាស)</t>
        </is>
      </c>
      <c r="K277" s="223" t="n"/>
      <c r="L277" s="626">
        <f>I277</f>
        <v/>
      </c>
      <c r="M277" s="598">
        <f>I277-L277</f>
        <v/>
      </c>
      <c r="N277" s="223" t="n"/>
      <c r="O277" s="228">
        <f>U277=E277</f>
        <v/>
      </c>
      <c r="P277" s="228">
        <f>MONTH(F277)-MONTH(T277)</f>
        <v/>
      </c>
      <c r="Q277" s="228">
        <f>$B$5=X277</f>
        <v/>
      </c>
      <c r="R277" s="228">
        <f>I277-AD277</f>
        <v/>
      </c>
      <c r="S277" s="371" t="n"/>
      <c r="T277" s="372" t="n">
        <v>45617</v>
      </c>
      <c r="U277" s="371" t="n">
        <v>7676087497</v>
      </c>
      <c r="V277" s="371" t="n">
        <v>0</v>
      </c>
      <c r="W277" s="371" t="inlineStr">
        <is>
          <t>បុគ្គលជាប់អាករ</t>
        </is>
      </c>
      <c r="X277" s="371" t="inlineStr">
        <is>
          <t>L001-901640009</t>
        </is>
      </c>
      <c r="Y277" s="371" t="inlineStr">
        <is>
          <t>ហូលីដេ ឌីហ្សាញ (ខេមបូឌា) ឯ.ក</t>
        </is>
      </c>
      <c r="Z277" s="373" t="n">
        <v>2152139</v>
      </c>
      <c r="AA277" s="373" t="n">
        <v>1956490</v>
      </c>
      <c r="AB277" s="371" t="n">
        <v>0</v>
      </c>
      <c r="AC277" s="371" t="inlineStr">
        <is>
          <t>-</t>
        </is>
      </c>
      <c r="AD277" s="373" t="n">
        <v>195649</v>
      </c>
      <c r="AE277" s="371" t="n">
        <v>0</v>
      </c>
      <c r="AF277" s="625" t="n">
        <v>0</v>
      </c>
      <c r="AG277" s="205" t="n">
        <v>0</v>
      </c>
      <c r="AH277" s="205" t="n">
        <v>0</v>
      </c>
      <c r="AI277" s="205" t="n">
        <v>0</v>
      </c>
      <c r="AJ277" s="205" t="n">
        <v>0</v>
      </c>
      <c r="AK277" s="205" t="n">
        <v>0</v>
      </c>
      <c r="AL277" s="205" t="n">
        <v>0.01</v>
      </c>
      <c r="AM277" s="205" t="n">
        <v>0</v>
      </c>
      <c r="AN277" s="205" t="inlineStr">
        <is>
          <t>CP1 CONTAINER PROTECT ESSENTIAL</t>
        </is>
      </c>
      <c r="AO277" s="205" t="inlineStr">
        <is>
          <t>បានប្រកាសនិងបង់ពន្ធ</t>
        </is>
      </c>
    </row>
    <row r="278">
      <c r="A278" s="222">
        <f>A277+1</f>
        <v/>
      </c>
      <c r="B278" s="224" t="inlineStr">
        <is>
          <t>Lift-On &amp; Lift-On-Im</t>
        </is>
      </c>
      <c r="C278" s="224" t="inlineStr">
        <is>
          <t>Port Autonome Du Sihanoukville</t>
        </is>
      </c>
      <c r="D278" s="225" t="inlineStr">
        <is>
          <t>L001-100044638</t>
        </is>
      </c>
      <c r="E278" s="359" t="n">
        <v>202500065599</v>
      </c>
      <c r="F278" s="338" t="n">
        <v>45743</v>
      </c>
      <c r="G278" s="226" t="n"/>
      <c r="H278" s="627" t="n"/>
      <c r="I278" s="627" t="n">
        <v>136868</v>
      </c>
      <c r="J278" s="223" t="inlineStr">
        <is>
          <t>អនុញ្ញាត (បានប្រកាស)</t>
        </is>
      </c>
      <c r="K278" s="223" t="n"/>
      <c r="L278" s="626">
        <f>I278</f>
        <v/>
      </c>
      <c r="M278" s="598">
        <f>I278-L278</f>
        <v/>
      </c>
      <c r="N278" s="223" t="n"/>
      <c r="O278" s="228">
        <f>U278=E278</f>
        <v/>
      </c>
      <c r="P278" s="228">
        <f>MONTH(F278)-MONTH(T278)</f>
        <v/>
      </c>
      <c r="Q278" s="228">
        <f>$B$5=X278</f>
        <v/>
      </c>
      <c r="R278" s="228">
        <f>I278-AD278</f>
        <v/>
      </c>
      <c r="S278" s="371" t="n"/>
      <c r="T278" s="372" t="n">
        <v>45743</v>
      </c>
      <c r="U278" s="371" t="n">
        <v>202500065599</v>
      </c>
      <c r="V278" s="371" t="n">
        <v>0</v>
      </c>
      <c r="W278" s="371" t="inlineStr">
        <is>
          <t>បុគ្គលជាប់អាករ</t>
        </is>
      </c>
      <c r="X278" s="371" t="inlineStr">
        <is>
          <t>L001-901640009</t>
        </is>
      </c>
      <c r="Y278" s="371" t="inlineStr">
        <is>
          <t>ហូលីដេ ឌីហ្សាញ (ខេមបូឌា) ឯ.ក</t>
        </is>
      </c>
      <c r="Z278" s="373" t="n">
        <v>1505552</v>
      </c>
      <c r="AA278" s="373" t="n">
        <v>1368684</v>
      </c>
      <c r="AB278" s="371" t="n">
        <v>0</v>
      </c>
      <c r="AC278" s="371" t="inlineStr">
        <is>
          <t>-</t>
        </is>
      </c>
      <c r="AD278" s="373" t="n">
        <v>136868</v>
      </c>
      <c r="AE278" s="371" t="n">
        <v>0</v>
      </c>
      <c r="AF278" s="625" t="n">
        <v>0</v>
      </c>
      <c r="AG278" s="205" t="n">
        <v>0</v>
      </c>
      <c r="AH278" s="205" t="n">
        <v>0</v>
      </c>
      <c r="AI278" s="205" t="n">
        <v>0</v>
      </c>
      <c r="AJ278" s="205" t="n">
        <v>0</v>
      </c>
      <c r="AK278" s="205" t="n">
        <v>0</v>
      </c>
      <c r="AL278" s="205" t="n">
        <v>0.01</v>
      </c>
      <c r="AM278" s="205" t="n">
        <v>0</v>
      </c>
      <c r="AN278" s="205" t="inlineStr">
        <is>
          <t>LOLO</t>
        </is>
      </c>
    </row>
    <row r="279">
      <c r="A279" s="222">
        <f>A278+1</f>
        <v/>
      </c>
      <c r="B279" s="224" t="inlineStr">
        <is>
          <t>Terminal Handling Charge</t>
        </is>
      </c>
      <c r="C279" s="224" t="inlineStr">
        <is>
          <t>SITC CONTAINER LINES (CAMBODIA) Co., Ltd.</t>
        </is>
      </c>
      <c r="D279" s="225" t="inlineStr">
        <is>
          <t>L001-107035863</t>
        </is>
      </c>
      <c r="E279" s="359" t="inlineStr">
        <is>
          <t>SITC2025-009596</t>
        </is>
      </c>
      <c r="F279" s="338" t="n">
        <v>45740</v>
      </c>
      <c r="G279" s="226" t="n"/>
      <c r="H279" s="627" t="n"/>
      <c r="I279" s="627" t="n">
        <v>745116</v>
      </c>
      <c r="J279" s="223" t="inlineStr">
        <is>
          <t>អនុញ្ញាត (បានប្រកាស)</t>
        </is>
      </c>
      <c r="K279" s="223" t="n"/>
      <c r="L279" s="626">
        <f>I279</f>
        <v/>
      </c>
      <c r="M279" s="598">
        <f>I279-L279</f>
        <v/>
      </c>
      <c r="N279" s="223" t="n"/>
      <c r="O279" s="228">
        <f>U279=E279</f>
        <v/>
      </c>
      <c r="P279" s="228">
        <f>MONTH(F279)-MONTH(T279)</f>
        <v/>
      </c>
      <c r="Q279" s="228">
        <f>$B$5=X279</f>
        <v/>
      </c>
      <c r="R279" s="228">
        <f>I279-AD279</f>
        <v/>
      </c>
      <c r="S279" s="371" t="n"/>
      <c r="T279" s="372" t="n">
        <v>45740</v>
      </c>
      <c r="U279" s="371" t="inlineStr">
        <is>
          <t>SITC2025-009596</t>
        </is>
      </c>
      <c r="V279" s="371" t="n">
        <v>0</v>
      </c>
      <c r="W279" s="371" t="inlineStr">
        <is>
          <t>បុគ្គលជាប់អាករ</t>
        </is>
      </c>
      <c r="X279" s="371" t="inlineStr">
        <is>
          <t>L001-901640009</t>
        </is>
      </c>
      <c r="Y279" s="371" t="inlineStr">
        <is>
          <t>ហូលីដេ ឌីហ្សាញ (ខេមបូឌា) ឯ.ក</t>
        </is>
      </c>
      <c r="Z279" s="373" t="n">
        <v>8196276</v>
      </c>
      <c r="AA279" s="373" t="n">
        <v>7451160</v>
      </c>
      <c r="AB279" s="371" t="n">
        <v>0</v>
      </c>
      <c r="AC279" s="371" t="inlineStr">
        <is>
          <t>-</t>
        </is>
      </c>
      <c r="AD279" s="373" t="n">
        <v>745116</v>
      </c>
      <c r="AE279" s="371" t="n">
        <v>0</v>
      </c>
      <c r="AF279" s="625" t="n">
        <v>0</v>
      </c>
      <c r="AG279" s="205" t="n">
        <v>0</v>
      </c>
      <c r="AH279" s="205" t="n">
        <v>0</v>
      </c>
      <c r="AI279" s="205" t="n">
        <v>0</v>
      </c>
      <c r="AJ279" s="205" t="n">
        <v>0</v>
      </c>
      <c r="AK279" s="205" t="n">
        <v>0</v>
      </c>
      <c r="AL279" s="205" t="n">
        <v>0.01</v>
      </c>
      <c r="AM279" s="205" t="n">
        <v>0</v>
      </c>
      <c r="AN279" s="205" t="inlineStr">
        <is>
          <t>KHTHC,EIB,KHDOC,KHCIC,EMF</t>
        </is>
      </c>
    </row>
    <row r="280">
      <c r="A280" s="222">
        <f>A279+1</f>
        <v/>
      </c>
      <c r="B280" s="224" t="inlineStr">
        <is>
          <t>Trucking &amp; Clearance-Im</t>
        </is>
      </c>
      <c r="C280" s="224" t="inlineStr">
        <is>
          <t>BRILLIANT TRANSPORT AND TRADING Co., Ltd.</t>
        </is>
      </c>
      <c r="D280" s="225" t="inlineStr">
        <is>
          <t>K002-100089305</t>
        </is>
      </c>
      <c r="E280" s="359" t="inlineStr">
        <is>
          <t>BTT25-0000683</t>
        </is>
      </c>
      <c r="F280" s="338" t="n">
        <v>45743</v>
      </c>
      <c r="G280" s="226" t="n"/>
      <c r="H280" s="627" t="n"/>
      <c r="I280" s="627" t="n">
        <v>1488744</v>
      </c>
      <c r="J280" s="223" t="inlineStr">
        <is>
          <t>អនុញ្ញាត (បានប្រកាស)</t>
        </is>
      </c>
      <c r="K280" s="223" t="n"/>
      <c r="L280" s="626">
        <f>I280</f>
        <v/>
      </c>
      <c r="M280" s="598">
        <f>I280-L280</f>
        <v/>
      </c>
      <c r="N280" s="223" t="n"/>
      <c r="O280" s="228">
        <f>U280=E280</f>
        <v/>
      </c>
      <c r="P280" s="228">
        <f>MONTH(F280)-MONTH(T280)</f>
        <v/>
      </c>
      <c r="Q280" s="228">
        <f>$B$5=X280</f>
        <v/>
      </c>
      <c r="R280" s="228">
        <f>I280-AD280</f>
        <v/>
      </c>
      <c r="S280" s="371" t="n"/>
      <c r="T280" s="372" t="n">
        <v>45743</v>
      </c>
      <c r="U280" s="371" t="inlineStr">
        <is>
          <t>BTT25-0000683</t>
        </is>
      </c>
      <c r="V280" s="371" t="n">
        <v>0</v>
      </c>
      <c r="W280" s="371" t="inlineStr">
        <is>
          <t>បុគ្គលជាប់អាករ</t>
        </is>
      </c>
      <c r="X280" s="371" t="inlineStr">
        <is>
          <t>L001-901640009</t>
        </is>
      </c>
      <c r="Y280" s="371" t="inlineStr">
        <is>
          <t>ហូលីដេ ឌីហ្សាញ (ខេមបូឌា) ឯ.ក</t>
        </is>
      </c>
      <c r="Z280" s="373" t="n">
        <v>16376184</v>
      </c>
      <c r="AA280" s="373" t="n">
        <v>14887440</v>
      </c>
      <c r="AB280" s="371" t="n">
        <v>0</v>
      </c>
      <c r="AC280" s="371" t="inlineStr">
        <is>
          <t>-</t>
        </is>
      </c>
      <c r="AD280" s="373" t="n">
        <v>1488744</v>
      </c>
      <c r="AE280" s="371" t="n">
        <v>0</v>
      </c>
      <c r="AF280" s="625" t="n">
        <v>0</v>
      </c>
      <c r="AG280" s="205" t="n">
        <v>0</v>
      </c>
      <c r="AH280" s="205" t="n">
        <v>0</v>
      </c>
      <c r="AI280" s="205" t="n">
        <v>0</v>
      </c>
      <c r="AJ280" s="205" t="n">
        <v>0</v>
      </c>
      <c r="AK280" s="205" t="n">
        <v>0</v>
      </c>
      <c r="AL280" s="205" t="n">
        <v>0.01</v>
      </c>
      <c r="AM280" s="205" t="n">
        <v>0</v>
      </c>
      <c r="AN280" s="205" t="inlineStr">
        <is>
          <t>Truking / Service</t>
        </is>
      </c>
    </row>
    <row r="281">
      <c r="A281" s="222">
        <f>A280+1</f>
        <v/>
      </c>
      <c r="B281" s="224" t="inlineStr">
        <is>
          <t>Cleaning &amp; Gate Charge-Im</t>
        </is>
      </c>
      <c r="C281" s="224" t="inlineStr">
        <is>
          <t>BRILLIANT TRANSPORT AND TRADING Co., Ltd.</t>
        </is>
      </c>
      <c r="D281" s="225" t="inlineStr">
        <is>
          <t>K002-100089305</t>
        </is>
      </c>
      <c r="E281" s="359" t="inlineStr">
        <is>
          <t>BTT25-0000641</t>
        </is>
      </c>
      <c r="F281" s="338" t="n">
        <v>45719</v>
      </c>
      <c r="G281" s="226" t="n"/>
      <c r="H281" s="627" t="n"/>
      <c r="I281" s="627" t="n">
        <v>81824</v>
      </c>
      <c r="J281" s="223" t="inlineStr">
        <is>
          <t>អនុញ្ញាត (បានប្រកាស)</t>
        </is>
      </c>
      <c r="K281" s="223" t="n"/>
      <c r="L281" s="626">
        <f>I281</f>
        <v/>
      </c>
      <c r="M281" s="598">
        <f>I281-L281</f>
        <v/>
      </c>
      <c r="N281" s="223" t="n"/>
      <c r="O281" s="228">
        <f>U281=E281</f>
        <v/>
      </c>
      <c r="P281" s="228">
        <f>MONTH(F281)-MONTH(T281)</f>
        <v/>
      </c>
      <c r="Q281" s="228">
        <f>$B$5=X281</f>
        <v/>
      </c>
      <c r="R281" s="228">
        <f>I281-AD281</f>
        <v/>
      </c>
      <c r="S281" s="371" t="n"/>
      <c r="T281" s="372" t="n">
        <v>45719</v>
      </c>
      <c r="U281" s="371" t="inlineStr">
        <is>
          <t>BTT25-0000641</t>
        </is>
      </c>
      <c r="V281" s="371" t="n">
        <v>0</v>
      </c>
      <c r="W281" s="371" t="inlineStr">
        <is>
          <t>បុគ្គលជាប់អាករ</t>
        </is>
      </c>
      <c r="X281" s="371" t="inlineStr">
        <is>
          <t>L001-901640009</t>
        </is>
      </c>
      <c r="Y281" s="371" t="inlineStr">
        <is>
          <t>ហូលីដេ ឌីហ្សាញ (ខេមបូឌា) ឯ.ក</t>
        </is>
      </c>
      <c r="Z281" s="373" t="n">
        <v>900068</v>
      </c>
      <c r="AA281" s="373" t="n">
        <v>818244</v>
      </c>
      <c r="AB281" s="371" t="n">
        <v>0</v>
      </c>
      <c r="AC281" s="371" t="inlineStr">
        <is>
          <t>-</t>
        </is>
      </c>
      <c r="AD281" s="373" t="n">
        <v>81824</v>
      </c>
      <c r="AE281" s="371" t="n">
        <v>0</v>
      </c>
      <c r="AF281" s="625" t="n">
        <v>0</v>
      </c>
      <c r="AG281" s="205" t="n">
        <v>0</v>
      </c>
      <c r="AH281" s="205" t="n">
        <v>0</v>
      </c>
      <c r="AI281" s="205" t="n">
        <v>0</v>
      </c>
      <c r="AJ281" s="205" t="n">
        <v>0</v>
      </c>
      <c r="AK281" s="205" t="n">
        <v>0</v>
      </c>
      <c r="AL281" s="205" t="n">
        <v>0.01</v>
      </c>
      <c r="AM281" s="205" t="n">
        <v>0</v>
      </c>
      <c r="AN281" s="205" t="inlineStr">
        <is>
          <t>Truking / Service</t>
        </is>
      </c>
    </row>
    <row r="282">
      <c r="A282" s="222">
        <f>A281+1</f>
        <v/>
      </c>
      <c r="B282" s="224" t="inlineStr">
        <is>
          <t>Terminal Handling Service-Im</t>
        </is>
      </c>
      <c r="C282" s="224" t="inlineStr">
        <is>
          <t>MAERSK (CAMBODIA) LTD.</t>
        </is>
      </c>
      <c r="D282" s="225" t="inlineStr">
        <is>
          <t>L001-100045200</t>
        </is>
      </c>
      <c r="E282" s="359" t="n">
        <v>7676087500</v>
      </c>
      <c r="F282" s="338" t="n">
        <v>45617</v>
      </c>
      <c r="G282" s="226" t="n"/>
      <c r="H282" s="627" t="n"/>
      <c r="I282" s="627" t="n">
        <v>195649</v>
      </c>
      <c r="J282" s="223" t="inlineStr">
        <is>
          <t>អនុញ្ញាត (បានប្រកាស)</t>
        </is>
      </c>
      <c r="K282" s="223" t="n"/>
      <c r="L282" s="626">
        <f>I282</f>
        <v/>
      </c>
      <c r="M282" s="598">
        <f>I282-L282</f>
        <v/>
      </c>
      <c r="N282" s="223" t="n"/>
      <c r="O282" s="228">
        <f>U282=E282</f>
        <v/>
      </c>
      <c r="P282" s="228">
        <f>MONTH(F282)-MONTH(T282)</f>
        <v/>
      </c>
      <c r="Q282" s="228">
        <f>$B$5=X282</f>
        <v/>
      </c>
      <c r="R282" s="228">
        <f>I282-AD282</f>
        <v/>
      </c>
      <c r="S282" s="371" t="n"/>
      <c r="T282" s="372" t="n">
        <v>45617</v>
      </c>
      <c r="U282" s="371" t="n">
        <v>7676087500</v>
      </c>
      <c r="V282" s="371" t="n">
        <v>0</v>
      </c>
      <c r="W282" s="371" t="inlineStr">
        <is>
          <t>បុគ្គលជាប់អាករ</t>
        </is>
      </c>
      <c r="X282" s="371" t="inlineStr">
        <is>
          <t>L001-901640009</t>
        </is>
      </c>
      <c r="Y282" s="371" t="inlineStr">
        <is>
          <t>ហូលីដេ ឌីហ្សាញ (ខេមបូឌា) ឯ.ក</t>
        </is>
      </c>
      <c r="Z282" s="373" t="n">
        <v>2152139</v>
      </c>
      <c r="AA282" s="373" t="n">
        <v>1956490</v>
      </c>
      <c r="AB282" s="371" t="n">
        <v>0</v>
      </c>
      <c r="AC282" s="371" t="inlineStr">
        <is>
          <t>-</t>
        </is>
      </c>
      <c r="AD282" s="373" t="n">
        <v>195649</v>
      </c>
      <c r="AE282" s="371" t="n">
        <v>0</v>
      </c>
      <c r="AF282" s="625" t="n">
        <v>0</v>
      </c>
      <c r="AG282" s="205" t="n">
        <v>0</v>
      </c>
      <c r="AH282" s="205" t="n">
        <v>0</v>
      </c>
      <c r="AI282" s="205" t="n">
        <v>0</v>
      </c>
      <c r="AJ282" s="205" t="n">
        <v>0</v>
      </c>
      <c r="AK282" s="205" t="n">
        <v>0</v>
      </c>
      <c r="AL282" s="205" t="n">
        <v>0.01</v>
      </c>
      <c r="AM282" s="205" t="n">
        <v>0</v>
      </c>
      <c r="AN282" s="205" t="inlineStr">
        <is>
          <t>CP1 CONTAINER PROTECT ESSENTIAL</t>
        </is>
      </c>
      <c r="AO282" s="205" t="inlineStr">
        <is>
          <t>បានប្រកាសនិងបង់ពន្ធ</t>
        </is>
      </c>
    </row>
    <row r="283">
      <c r="A283" s="222">
        <f>A282+1</f>
        <v/>
      </c>
      <c r="B283" s="224" t="inlineStr">
        <is>
          <t>Trucking &amp; Clearance-Im</t>
        </is>
      </c>
      <c r="C283" s="224" t="inlineStr">
        <is>
          <t>BRILLIANT TRANSPORT AND TRADING Co., Ltd.</t>
        </is>
      </c>
      <c r="D283" s="225" t="inlineStr">
        <is>
          <t>K002-100089305</t>
        </is>
      </c>
      <c r="E283" s="359" t="inlineStr">
        <is>
          <t>BTT25-0000515</t>
        </is>
      </c>
      <c r="F283" s="338" t="n">
        <v>45721</v>
      </c>
      <c r="G283" s="226" t="n"/>
      <c r="H283" s="627" t="n"/>
      <c r="I283" s="627" t="n">
        <v>1086981</v>
      </c>
      <c r="J283" s="223" t="inlineStr">
        <is>
          <t>អនុញ្ញាត (បានប្រកាស)</t>
        </is>
      </c>
      <c r="K283" s="223" t="n"/>
      <c r="L283" s="626">
        <f>I283</f>
        <v/>
      </c>
      <c r="M283" s="598">
        <f>I283-L283</f>
        <v/>
      </c>
      <c r="N283" s="223" t="n"/>
      <c r="O283" s="228">
        <f>U283=E283</f>
        <v/>
      </c>
      <c r="P283" s="228">
        <f>MONTH(F283)-MONTH(T283)</f>
        <v/>
      </c>
      <c r="Q283" s="228">
        <f>$B$5=X283</f>
        <v/>
      </c>
      <c r="R283" s="228">
        <f>I283-AD283</f>
        <v/>
      </c>
      <c r="S283" s="371" t="n"/>
      <c r="T283" s="372" t="n">
        <v>45721</v>
      </c>
      <c r="U283" s="371" t="inlineStr">
        <is>
          <t>BTT25-0000515</t>
        </is>
      </c>
      <c r="V283" s="371" t="n">
        <v>0</v>
      </c>
      <c r="W283" s="371" t="inlineStr">
        <is>
          <t>បុគ្គលជាប់អាករ</t>
        </is>
      </c>
      <c r="X283" s="371" t="inlineStr">
        <is>
          <t>L001-901640009</t>
        </is>
      </c>
      <c r="Y283" s="371" t="inlineStr">
        <is>
          <t>ហូលីដេ ឌីហ្សាញ (ខេមបូឌា) ឯ.ក</t>
        </is>
      </c>
      <c r="Z283" s="373" t="n">
        <v>11956791</v>
      </c>
      <c r="AA283" s="373" t="n">
        <v>10869810</v>
      </c>
      <c r="AB283" s="371" t="n">
        <v>0</v>
      </c>
      <c r="AC283" s="371" t="inlineStr">
        <is>
          <t>-</t>
        </is>
      </c>
      <c r="AD283" s="373" t="n">
        <v>1086981</v>
      </c>
      <c r="AE283" s="371" t="n">
        <v>0</v>
      </c>
      <c r="AF283" s="625" t="n">
        <v>0</v>
      </c>
      <c r="AG283" s="205" t="n">
        <v>0</v>
      </c>
      <c r="AH283" s="205" t="n">
        <v>0</v>
      </c>
      <c r="AI283" s="205" t="n">
        <v>0</v>
      </c>
      <c r="AJ283" s="205" t="n">
        <v>0</v>
      </c>
      <c r="AK283" s="205" t="n">
        <v>0</v>
      </c>
      <c r="AL283" s="205" t="n">
        <v>0.01</v>
      </c>
      <c r="AM283" s="205" t="n">
        <v>0</v>
      </c>
      <c r="AN283" s="205" t="inlineStr">
        <is>
          <t>Truking / Service</t>
        </is>
      </c>
    </row>
    <row r="284">
      <c r="A284" s="222">
        <f>A283+1</f>
        <v/>
      </c>
      <c r="B284" s="224" t="inlineStr">
        <is>
          <t>Lift-On &amp; Lift-On-Im</t>
        </is>
      </c>
      <c r="C284" s="224" t="inlineStr">
        <is>
          <t>Port Autonome Du Sihanoukville</t>
        </is>
      </c>
      <c r="D284" s="225" t="inlineStr">
        <is>
          <t>L001-100044638</t>
        </is>
      </c>
      <c r="E284" s="359" t="n">
        <v>202500045440</v>
      </c>
      <c r="F284" s="338" t="n">
        <v>45719</v>
      </c>
      <c r="G284" s="226" t="n"/>
      <c r="H284" s="627" t="n"/>
      <c r="I284" s="627" t="n">
        <v>174479</v>
      </c>
      <c r="J284" s="223" t="inlineStr">
        <is>
          <t>អនុញ្ញាត (បានប្រកាស)</t>
        </is>
      </c>
      <c r="K284" s="223" t="n"/>
      <c r="L284" s="626">
        <f>I284</f>
        <v/>
      </c>
      <c r="M284" s="598">
        <f>I284-L284</f>
        <v/>
      </c>
      <c r="N284" s="223" t="n"/>
      <c r="O284" s="228">
        <f>U284=E284</f>
        <v/>
      </c>
      <c r="P284" s="228">
        <f>MONTH(F284)-MONTH(T284)</f>
        <v/>
      </c>
      <c r="Q284" s="228">
        <f>$B$5=X284</f>
        <v/>
      </c>
      <c r="R284" s="228">
        <f>I284-AD284</f>
        <v/>
      </c>
      <c r="S284" s="371" t="n"/>
      <c r="T284" s="372" t="n">
        <v>45719</v>
      </c>
      <c r="U284" s="371" t="n">
        <v>202500045440</v>
      </c>
      <c r="V284" s="371" t="n">
        <v>0</v>
      </c>
      <c r="W284" s="371" t="inlineStr">
        <is>
          <t>បុគ្គលជាប់អាករ</t>
        </is>
      </c>
      <c r="X284" s="371" t="inlineStr">
        <is>
          <t>L001-901640009</t>
        </is>
      </c>
      <c r="Y284" s="371" t="inlineStr">
        <is>
          <t>ហូលីដេ ឌីហ្សាញ (ខេមបូឌា) ឯ.ក</t>
        </is>
      </c>
      <c r="Z284" s="373" t="n">
        <v>1919264</v>
      </c>
      <c r="AA284" s="373" t="n">
        <v>1744785</v>
      </c>
      <c r="AB284" s="371" t="n">
        <v>0</v>
      </c>
      <c r="AC284" s="371" t="inlineStr">
        <is>
          <t>-</t>
        </is>
      </c>
      <c r="AD284" s="373" t="n">
        <v>174479</v>
      </c>
      <c r="AE284" s="371" t="n">
        <v>0</v>
      </c>
      <c r="AF284" s="625" t="n">
        <v>0</v>
      </c>
      <c r="AG284" s="205" t="n">
        <v>0</v>
      </c>
      <c r="AH284" s="205" t="n">
        <v>0</v>
      </c>
      <c r="AI284" s="205" t="n">
        <v>0</v>
      </c>
      <c r="AJ284" s="205" t="n">
        <v>0</v>
      </c>
      <c r="AK284" s="205" t="n">
        <v>0</v>
      </c>
      <c r="AL284" s="205" t="n">
        <v>0.01</v>
      </c>
      <c r="AM284" s="205" t="n">
        <v>0</v>
      </c>
      <c r="AN284" s="205" t="inlineStr">
        <is>
          <t>LOLO</t>
        </is>
      </c>
    </row>
    <row r="285">
      <c r="A285" s="222">
        <f>A284+1</f>
        <v/>
      </c>
      <c r="B285" s="224" t="inlineStr">
        <is>
          <t>Trucking &amp; Clearance-Im</t>
        </is>
      </c>
      <c r="C285" s="224" t="inlineStr">
        <is>
          <t>BRILLIANT TRANSPORT AND TRADING Co., Ltd.</t>
        </is>
      </c>
      <c r="D285" s="225" t="inlineStr">
        <is>
          <t>K002-100089305</t>
        </is>
      </c>
      <c r="E285" s="359" t="inlineStr">
        <is>
          <t>BTT25-0000514</t>
        </is>
      </c>
      <c r="F285" s="338" t="n">
        <v>45719</v>
      </c>
      <c r="G285" s="226" t="n"/>
      <c r="H285" s="627" t="n"/>
      <c r="I285" s="627" t="n">
        <v>1086981</v>
      </c>
      <c r="J285" s="223" t="inlineStr">
        <is>
          <t>អនុញ្ញាត (បានប្រកាស)</t>
        </is>
      </c>
      <c r="K285" s="223" t="n"/>
      <c r="L285" s="626">
        <f>I285</f>
        <v/>
      </c>
      <c r="M285" s="598">
        <f>I285-L285</f>
        <v/>
      </c>
      <c r="N285" s="223" t="n"/>
      <c r="O285" s="228">
        <f>U285=E285</f>
        <v/>
      </c>
      <c r="P285" s="228">
        <f>MONTH(F285)-MONTH(T285)</f>
        <v/>
      </c>
      <c r="Q285" s="228">
        <f>$B$5=X285</f>
        <v/>
      </c>
      <c r="R285" s="228">
        <f>I285-AD285</f>
        <v/>
      </c>
      <c r="S285" s="371" t="n"/>
      <c r="T285" s="372" t="n">
        <v>45719</v>
      </c>
      <c r="U285" s="371" t="inlineStr">
        <is>
          <t>BTT25-0000514</t>
        </is>
      </c>
      <c r="V285" s="371" t="n">
        <v>0</v>
      </c>
      <c r="W285" s="371" t="inlineStr">
        <is>
          <t>បុគ្គលជាប់អាករ</t>
        </is>
      </c>
      <c r="X285" s="371" t="inlineStr">
        <is>
          <t>L001-901640009</t>
        </is>
      </c>
      <c r="Y285" s="371" t="inlineStr">
        <is>
          <t>ហូលីដេ ឌីហ្សាញ (ខេមបូឌា) ឯ.ក</t>
        </is>
      </c>
      <c r="Z285" s="373" t="n">
        <v>11956791</v>
      </c>
      <c r="AA285" s="373" t="n">
        <v>10869810</v>
      </c>
      <c r="AB285" s="371" t="n">
        <v>0</v>
      </c>
      <c r="AC285" s="371" t="inlineStr">
        <is>
          <t>-</t>
        </is>
      </c>
      <c r="AD285" s="373" t="n">
        <v>1086981</v>
      </c>
      <c r="AE285" s="371" t="n">
        <v>0</v>
      </c>
      <c r="AF285" s="625" t="n">
        <v>0</v>
      </c>
      <c r="AG285" s="205" t="n">
        <v>0</v>
      </c>
      <c r="AH285" s="205" t="n">
        <v>0</v>
      </c>
      <c r="AI285" s="205" t="n">
        <v>0</v>
      </c>
      <c r="AJ285" s="205" t="n">
        <v>0</v>
      </c>
      <c r="AK285" s="205" t="n">
        <v>0</v>
      </c>
      <c r="AL285" s="205" t="n">
        <v>0.01</v>
      </c>
      <c r="AM285" s="205" t="n">
        <v>0</v>
      </c>
      <c r="AN285" s="205" t="inlineStr">
        <is>
          <t>Truking / Service</t>
        </is>
      </c>
    </row>
    <row r="286">
      <c r="A286" s="222">
        <f>A285+1</f>
        <v/>
      </c>
      <c r="B286" s="224" t="inlineStr">
        <is>
          <t>Lift-Off-Ex</t>
        </is>
      </c>
      <c r="C286" s="224" t="inlineStr">
        <is>
          <t>Port Autonome Du Sihanoukville</t>
        </is>
      </c>
      <c r="D286" s="225" t="inlineStr">
        <is>
          <t>L001-100044638</t>
        </is>
      </c>
      <c r="E286" s="359" t="n">
        <v>202500067030</v>
      </c>
      <c r="F286" s="338" t="n">
        <v>45742</v>
      </c>
      <c r="G286" s="226" t="n"/>
      <c r="H286" s="627" t="n"/>
      <c r="I286" s="627" t="n">
        <v>6805</v>
      </c>
      <c r="J286" s="223" t="inlineStr">
        <is>
          <t>អនុញ្ញាត (បានប្រកាស)</t>
        </is>
      </c>
      <c r="K286" s="223" t="n"/>
      <c r="L286" s="626">
        <f>I286</f>
        <v/>
      </c>
      <c r="M286" s="598">
        <f>I286-L286</f>
        <v/>
      </c>
      <c r="N286" s="223" t="n"/>
      <c r="O286" s="228">
        <f>U286=E286</f>
        <v/>
      </c>
      <c r="P286" s="228">
        <f>MONTH(F286)-MONTH(T286)</f>
        <v/>
      </c>
      <c r="Q286" s="228">
        <f>$B$5=X286</f>
        <v/>
      </c>
      <c r="R286" s="228">
        <f>I286-AD286</f>
        <v/>
      </c>
      <c r="S286" s="371" t="n"/>
      <c r="T286" s="372" t="n">
        <v>45744</v>
      </c>
      <c r="U286" s="371" t="n">
        <v>202500067030</v>
      </c>
      <c r="V286" s="371" t="n">
        <v>0</v>
      </c>
      <c r="W286" s="371" t="inlineStr">
        <is>
          <t>បុគ្គលជាប់អាករ</t>
        </is>
      </c>
      <c r="X286" s="371" t="inlineStr">
        <is>
          <t>L001-901640009</t>
        </is>
      </c>
      <c r="Y286" s="371" t="inlineStr">
        <is>
          <t>ហូលីដេ ឌីហ្សាញ (ខេមបូឌា) ឯ.ក</t>
        </is>
      </c>
      <c r="Z286" s="373" t="n">
        <v>74856</v>
      </c>
      <c r="AA286" s="373" t="n">
        <v>68051</v>
      </c>
      <c r="AB286" s="371" t="n">
        <v>0</v>
      </c>
      <c r="AC286" s="371" t="inlineStr">
        <is>
          <t>-</t>
        </is>
      </c>
      <c r="AD286" s="373" t="n">
        <v>6805</v>
      </c>
      <c r="AE286" s="371" t="n">
        <v>0</v>
      </c>
      <c r="AF286" s="625" t="n">
        <v>0</v>
      </c>
      <c r="AG286" s="205" t="n">
        <v>0</v>
      </c>
      <c r="AH286" s="205" t="n">
        <v>0</v>
      </c>
      <c r="AI286" s="205" t="n">
        <v>0</v>
      </c>
      <c r="AJ286" s="205" t="n">
        <v>0</v>
      </c>
      <c r="AK286" s="205" t="n">
        <v>0</v>
      </c>
      <c r="AL286" s="205" t="n">
        <v>0.01</v>
      </c>
      <c r="AM286" s="205" t="n">
        <v>0</v>
      </c>
      <c r="AN286" s="205" t="inlineStr">
        <is>
          <t>Lift-off</t>
        </is>
      </c>
    </row>
    <row r="287">
      <c r="A287" s="222">
        <f>A286+1</f>
        <v/>
      </c>
      <c r="B287" s="224" t="inlineStr">
        <is>
          <t>Trucking &amp; Clearance-Ex</t>
        </is>
      </c>
      <c r="C287" s="224" t="inlineStr">
        <is>
          <t>BRILLIANT TRANSPORT AND TRADING Co., Ltd.</t>
        </is>
      </c>
      <c r="D287" s="225" t="inlineStr">
        <is>
          <t>K002-100089305</t>
        </is>
      </c>
      <c r="E287" s="359" t="inlineStr">
        <is>
          <t>BTT25-0000663</t>
        </is>
      </c>
      <c r="F287" s="338" t="n">
        <v>45744</v>
      </c>
      <c r="G287" s="226" t="n"/>
      <c r="H287" s="627" t="n"/>
      <c r="I287" s="627" t="n">
        <v>195346</v>
      </c>
      <c r="J287" s="223" t="inlineStr">
        <is>
          <t>អនុញ្ញាត (បានប្រកាស)</t>
        </is>
      </c>
      <c r="K287" s="223" t="n"/>
      <c r="L287" s="626">
        <f>I287</f>
        <v/>
      </c>
      <c r="M287" s="598">
        <f>I287-L287</f>
        <v/>
      </c>
      <c r="N287" s="223" t="n"/>
      <c r="O287" s="228">
        <f>U287=E287</f>
        <v/>
      </c>
      <c r="P287" s="228">
        <f>MONTH(F287)-MONTH(T287)</f>
        <v/>
      </c>
      <c r="Q287" s="228">
        <f>$B$5=X287</f>
        <v/>
      </c>
      <c r="R287" s="228">
        <f>I287-AD287</f>
        <v/>
      </c>
      <c r="S287" s="371" t="n"/>
      <c r="T287" s="372" t="n">
        <v>45744</v>
      </c>
      <c r="U287" s="371" t="inlineStr">
        <is>
          <t>BTT25-0000663</t>
        </is>
      </c>
      <c r="V287" s="371" t="n">
        <v>0</v>
      </c>
      <c r="W287" s="371" t="inlineStr">
        <is>
          <t>បុគ្គលជាប់អាករ</t>
        </is>
      </c>
      <c r="X287" s="371" t="inlineStr">
        <is>
          <t>L001-901640009</t>
        </is>
      </c>
      <c r="Y287" s="371" t="inlineStr">
        <is>
          <t>ហូលីដេ ឌីហ្សាញ (ខេមបូឌា) ឯ.ក</t>
        </is>
      </c>
      <c r="Z287" s="373" t="n">
        <v>2148810</v>
      </c>
      <c r="AA287" s="373" t="n">
        <v>1953464</v>
      </c>
      <c r="AB287" s="371" t="n">
        <v>0</v>
      </c>
      <c r="AC287" s="371" t="inlineStr">
        <is>
          <t>-</t>
        </is>
      </c>
      <c r="AD287" s="373" t="n">
        <v>195346</v>
      </c>
      <c r="AE287" s="371" t="n">
        <v>0</v>
      </c>
      <c r="AF287" s="625" t="n">
        <v>0</v>
      </c>
      <c r="AG287" s="205" t="n">
        <v>0</v>
      </c>
      <c r="AH287" s="205" t="n">
        <v>0</v>
      </c>
      <c r="AI287" s="205" t="n">
        <v>0</v>
      </c>
      <c r="AJ287" s="205" t="n">
        <v>0</v>
      </c>
      <c r="AK287" s="205" t="n">
        <v>0</v>
      </c>
      <c r="AL287" s="205" t="n">
        <v>0.01</v>
      </c>
      <c r="AM287" s="205" t="n">
        <v>0</v>
      </c>
      <c r="AN287" s="205" t="inlineStr">
        <is>
          <t>Truking / Service</t>
        </is>
      </c>
    </row>
    <row r="288">
      <c r="A288" s="222">
        <f>A287+1</f>
        <v/>
      </c>
      <c r="B288" s="224" t="inlineStr">
        <is>
          <t>Lift-Off-Ex</t>
        </is>
      </c>
      <c r="C288" s="224" t="inlineStr">
        <is>
          <t>Port Autonome Du Sihanoukville</t>
        </is>
      </c>
      <c r="D288" s="225" t="inlineStr">
        <is>
          <t>L001-100044638</t>
        </is>
      </c>
      <c r="E288" s="359" t="n">
        <v>202500064528</v>
      </c>
      <c r="F288" s="338" t="n">
        <v>45742</v>
      </c>
      <c r="G288" s="226" t="n"/>
      <c r="H288" s="627" t="n"/>
      <c r="I288" s="627" t="n">
        <v>20415</v>
      </c>
      <c r="J288" s="223" t="inlineStr">
        <is>
          <t>អនុញ្ញាត (បានប្រកាស)</t>
        </is>
      </c>
      <c r="K288" s="223" t="n"/>
      <c r="L288" s="626">
        <f>I288</f>
        <v/>
      </c>
      <c r="M288" s="598">
        <f>I288-L288</f>
        <v/>
      </c>
      <c r="N288" s="223" t="n"/>
      <c r="O288" s="228">
        <f>U288=E288</f>
        <v/>
      </c>
      <c r="P288" s="228">
        <f>MONTH(F288)-MONTH(T288)</f>
        <v/>
      </c>
      <c r="Q288" s="228">
        <f>$B$5=X288</f>
        <v/>
      </c>
      <c r="R288" s="228">
        <f>I288-AD288</f>
        <v/>
      </c>
      <c r="S288" s="371" t="n"/>
      <c r="T288" s="372" t="n">
        <v>45742</v>
      </c>
      <c r="U288" s="371" t="n">
        <v>202500064528</v>
      </c>
      <c r="V288" s="371" t="n">
        <v>0</v>
      </c>
      <c r="W288" s="371" t="inlineStr">
        <is>
          <t>បុគ្គលជាប់អាករ</t>
        </is>
      </c>
      <c r="X288" s="371" t="inlineStr">
        <is>
          <t>L001-901640009</t>
        </is>
      </c>
      <c r="Y288" s="371" t="inlineStr">
        <is>
          <t>ហូលីដេ ឌីហ្សាញ (ខេមបូឌា) ឯ.ក</t>
        </is>
      </c>
      <c r="Z288" s="373" t="n">
        <v>224568</v>
      </c>
      <c r="AA288" s="373" t="n">
        <v>204153</v>
      </c>
      <c r="AB288" s="371" t="n">
        <v>0</v>
      </c>
      <c r="AC288" s="371" t="inlineStr">
        <is>
          <t>-</t>
        </is>
      </c>
      <c r="AD288" s="373" t="n">
        <v>20415</v>
      </c>
      <c r="AE288" s="371" t="n">
        <v>0</v>
      </c>
      <c r="AF288" s="625" t="n">
        <v>0</v>
      </c>
      <c r="AG288" s="205" t="n">
        <v>0</v>
      </c>
      <c r="AH288" s="205" t="n">
        <v>0</v>
      </c>
      <c r="AI288" s="205" t="n">
        <v>0</v>
      </c>
      <c r="AJ288" s="205" t="n">
        <v>0</v>
      </c>
      <c r="AK288" s="205" t="n">
        <v>0</v>
      </c>
      <c r="AL288" s="205" t="n">
        <v>0.01</v>
      </c>
      <c r="AM288" s="205" t="n">
        <v>0</v>
      </c>
      <c r="AN288" s="205" t="inlineStr">
        <is>
          <t>Lift-off</t>
        </is>
      </c>
    </row>
    <row r="289">
      <c r="A289" s="222">
        <f>A288+1</f>
        <v/>
      </c>
      <c r="B289" s="224" t="inlineStr">
        <is>
          <t>Trucking &amp; Clearance-Ex</t>
        </is>
      </c>
      <c r="C289" s="224" t="inlineStr">
        <is>
          <t>BRILLIANT TRANSPORT AND TRADING Co., Ltd.</t>
        </is>
      </c>
      <c r="D289" s="225" t="inlineStr">
        <is>
          <t>K002-100089305</t>
        </is>
      </c>
      <c r="E289" s="359" t="inlineStr">
        <is>
          <t>BTT25-0000662</t>
        </is>
      </c>
      <c r="F289" s="338" t="n">
        <v>45744</v>
      </c>
      <c r="G289" s="226" t="n"/>
      <c r="H289" s="627" t="n"/>
      <c r="I289" s="627" t="n">
        <v>235376</v>
      </c>
      <c r="J289" s="223" t="inlineStr">
        <is>
          <t>អនុញ្ញាត (បានប្រកាស)</t>
        </is>
      </c>
      <c r="K289" s="223" t="n"/>
      <c r="L289" s="626">
        <f>I289</f>
        <v/>
      </c>
      <c r="M289" s="598">
        <f>I289-L289</f>
        <v/>
      </c>
      <c r="N289" s="223" t="n"/>
      <c r="O289" s="228">
        <f>U289=E289</f>
        <v/>
      </c>
      <c r="P289" s="228">
        <f>MONTH(F289)-MONTH(T289)</f>
        <v/>
      </c>
      <c r="Q289" s="228">
        <f>$B$5=X289</f>
        <v/>
      </c>
      <c r="R289" s="228">
        <f>I289-AD289</f>
        <v/>
      </c>
      <c r="S289" s="371" t="n"/>
      <c r="T289" s="372" t="n">
        <v>45744</v>
      </c>
      <c r="U289" s="371" t="inlineStr">
        <is>
          <t>BTT25-0000662</t>
        </is>
      </c>
      <c r="V289" s="371" t="n">
        <v>0</v>
      </c>
      <c r="W289" s="371" t="inlineStr">
        <is>
          <t>បុគ្គលជាប់អាករ</t>
        </is>
      </c>
      <c r="X289" s="371" t="inlineStr">
        <is>
          <t>L001-901640009</t>
        </is>
      </c>
      <c r="Y289" s="371" t="inlineStr">
        <is>
          <t>ហូលីដេ ឌីហ្សាញ (ខេមបូឌា) ឯ.ក</t>
        </is>
      </c>
      <c r="Z289" s="373" t="n">
        <v>2589140</v>
      </c>
      <c r="AA289" s="373" t="n">
        <v>2353764</v>
      </c>
      <c r="AB289" s="371" t="n">
        <v>0</v>
      </c>
      <c r="AC289" s="371" t="inlineStr">
        <is>
          <t>-</t>
        </is>
      </c>
      <c r="AD289" s="373" t="n">
        <v>235376</v>
      </c>
      <c r="AE289" s="371" t="n">
        <v>0</v>
      </c>
      <c r="AF289" s="625" t="n">
        <v>0</v>
      </c>
      <c r="AG289" s="205" t="n">
        <v>0</v>
      </c>
      <c r="AH289" s="205" t="n">
        <v>0</v>
      </c>
      <c r="AI289" s="205" t="n">
        <v>0</v>
      </c>
      <c r="AJ289" s="205" t="n">
        <v>0</v>
      </c>
      <c r="AK289" s="205" t="n">
        <v>0</v>
      </c>
      <c r="AL289" s="205" t="n">
        <v>0.01</v>
      </c>
      <c r="AM289" s="205" t="n">
        <v>0</v>
      </c>
      <c r="AN289" s="205" t="inlineStr">
        <is>
          <t>Truking / Service</t>
        </is>
      </c>
    </row>
    <row r="290">
      <c r="A290" s="222">
        <f>A289+1</f>
        <v/>
      </c>
      <c r="B290" s="224" t="inlineStr">
        <is>
          <t>Terminal Handling Service-Im</t>
        </is>
      </c>
      <c r="C290" s="224" t="inlineStr">
        <is>
          <t>MAERSK (CAMBODIA) LTD.</t>
        </is>
      </c>
      <c r="D290" s="225" t="inlineStr">
        <is>
          <t>L001-100045200</t>
        </is>
      </c>
      <c r="E290" s="359" t="n">
        <v>7676088789</v>
      </c>
      <c r="F290" s="338" t="n">
        <v>45622</v>
      </c>
      <c r="G290" s="226" t="n"/>
      <c r="H290" s="627" t="n"/>
      <c r="I290" s="627" t="n">
        <v>997479</v>
      </c>
      <c r="J290" s="223" t="inlineStr">
        <is>
          <t>អនុញ្ញាត (បានប្រកាស)</t>
        </is>
      </c>
      <c r="K290" s="223" t="n"/>
      <c r="L290" s="626">
        <f>I290</f>
        <v/>
      </c>
      <c r="M290" s="598">
        <f>I290-L290</f>
        <v/>
      </c>
      <c r="N290" s="223" t="n"/>
      <c r="O290" s="228">
        <f>U290=E290</f>
        <v/>
      </c>
      <c r="P290" s="228">
        <f>MONTH(F290)-MONTH(T290)</f>
        <v/>
      </c>
      <c r="Q290" s="228">
        <f>$B$5=X290</f>
        <v/>
      </c>
      <c r="R290" s="228">
        <f>I290-AD290</f>
        <v/>
      </c>
      <c r="S290" s="371" t="n"/>
      <c r="T290" s="372" t="n">
        <v>45622</v>
      </c>
      <c r="U290" s="371" t="n">
        <v>7676088789</v>
      </c>
      <c r="V290" s="371" t="n">
        <v>0</v>
      </c>
      <c r="W290" s="371" t="inlineStr">
        <is>
          <t>បុគ្គលជាប់អាករ</t>
        </is>
      </c>
      <c r="X290" s="371" t="inlineStr">
        <is>
          <t>L001-901640009</t>
        </is>
      </c>
      <c r="Y290" s="371" t="inlineStr">
        <is>
          <t>ហូលីដេ ឌីហ្សាញ (ខេមបូឌា) ឯ.ក</t>
        </is>
      </c>
      <c r="Z290" s="373" t="n">
        <v>10972269</v>
      </c>
      <c r="AA290" s="373" t="n">
        <v>9974790</v>
      </c>
      <c r="AB290" s="371" t="n">
        <v>0</v>
      </c>
      <c r="AC290" s="371" t="inlineStr">
        <is>
          <t>-</t>
        </is>
      </c>
      <c r="AD290" s="373" t="n">
        <v>997479</v>
      </c>
      <c r="AE290" s="371" t="n">
        <v>0</v>
      </c>
      <c r="AF290" s="625" t="n">
        <v>0</v>
      </c>
      <c r="AG290" s="205" t="n">
        <v>0</v>
      </c>
      <c r="AH290" s="205" t="n">
        <v>0</v>
      </c>
      <c r="AI290" s="205" t="n">
        <v>0</v>
      </c>
      <c r="AJ290" s="205" t="n">
        <v>0</v>
      </c>
      <c r="AK290" s="205" t="n">
        <v>0</v>
      </c>
      <c r="AL290" s="205" t="n">
        <v>0.01</v>
      </c>
      <c r="AM290" s="205" t="n">
        <v>0</v>
      </c>
      <c r="AN290" s="205" t="inlineStr">
        <is>
          <t>CP1 CONTAINER PROTECT ESSENTIAL</t>
        </is>
      </c>
      <c r="AO290" s="205" t="inlineStr">
        <is>
          <t>បានប្រកាសនិងបង់ពន្ធ</t>
        </is>
      </c>
    </row>
    <row r="291">
      <c r="A291" s="222">
        <f>A290+1</f>
        <v/>
      </c>
      <c r="B291" s="224" t="inlineStr">
        <is>
          <t>Terminal Handling Service-Im</t>
        </is>
      </c>
      <c r="C291" s="224" t="inlineStr">
        <is>
          <t>MAERSK (CAMBODIA) LTD.</t>
        </is>
      </c>
      <c r="D291" s="225" t="inlineStr">
        <is>
          <t>L001-100045200</t>
        </is>
      </c>
      <c r="E291" s="359" t="n">
        <v>7676089412</v>
      </c>
      <c r="F291" s="338" t="n">
        <v>45623</v>
      </c>
      <c r="G291" s="226" t="n"/>
      <c r="H291" s="627" t="n"/>
      <c r="I291" s="627" t="n">
        <v>219308</v>
      </c>
      <c r="J291" s="223" t="inlineStr">
        <is>
          <t>អនុញ្ញាត (បានប្រកាស)</t>
        </is>
      </c>
      <c r="K291" s="223" t="n"/>
      <c r="L291" s="626">
        <f>I291</f>
        <v/>
      </c>
      <c r="M291" s="598">
        <f>I291-L291</f>
        <v/>
      </c>
      <c r="N291" s="223" t="n"/>
      <c r="O291" s="228">
        <f>U291=E291</f>
        <v/>
      </c>
      <c r="P291" s="228">
        <f>MONTH(F291)-MONTH(T291)</f>
        <v/>
      </c>
      <c r="Q291" s="228">
        <f>$B$5=X291</f>
        <v/>
      </c>
      <c r="R291" s="228">
        <f>I291-AD291</f>
        <v/>
      </c>
      <c r="S291" s="371" t="n"/>
      <c r="T291" s="372" t="n">
        <v>45623</v>
      </c>
      <c r="U291" s="371" t="n">
        <v>7676089412</v>
      </c>
      <c r="V291" s="371" t="n">
        <v>0</v>
      </c>
      <c r="W291" s="371" t="inlineStr">
        <is>
          <t>បុគ្គលជាប់អាករ</t>
        </is>
      </c>
      <c r="X291" s="371" t="inlineStr">
        <is>
          <t>L001-901640009</t>
        </is>
      </c>
      <c r="Y291" s="371" t="inlineStr">
        <is>
          <t>ហូលីដេ ឌីហ្សាញ (ខេមបូឌា) ឯ.ក</t>
        </is>
      </c>
      <c r="Z291" s="373" t="n">
        <v>2412388</v>
      </c>
      <c r="AA291" s="373" t="n">
        <v>2193080</v>
      </c>
      <c r="AB291" s="371" t="n">
        <v>0</v>
      </c>
      <c r="AC291" s="371" t="inlineStr">
        <is>
          <t>-</t>
        </is>
      </c>
      <c r="AD291" s="373" t="n">
        <v>219308</v>
      </c>
      <c r="AE291" s="371" t="n">
        <v>0</v>
      </c>
      <c r="AF291" s="625" t="n">
        <v>0</v>
      </c>
      <c r="AG291" s="205" t="n">
        <v>0</v>
      </c>
      <c r="AH291" s="205" t="n">
        <v>0</v>
      </c>
      <c r="AI291" s="205" t="n">
        <v>0</v>
      </c>
      <c r="AJ291" s="205" t="n">
        <v>0</v>
      </c>
      <c r="AK291" s="205" t="n">
        <v>0</v>
      </c>
      <c r="AL291" s="205" t="n">
        <v>0.01</v>
      </c>
      <c r="AM291" s="205" t="n">
        <v>0</v>
      </c>
      <c r="AN291" s="205" t="inlineStr">
        <is>
          <t>CP1 CONTAINER PROTECT ESSENTIAL</t>
        </is>
      </c>
      <c r="AO291" s="205" t="inlineStr">
        <is>
          <t>បានប្រកាសនិងបង់ពន្ធ</t>
        </is>
      </c>
    </row>
    <row r="292">
      <c r="A292" s="222">
        <f>A291+1</f>
        <v/>
      </c>
      <c r="B292" s="224" t="inlineStr">
        <is>
          <t>Terminal Handling Service-Im</t>
        </is>
      </c>
      <c r="C292" s="224" t="inlineStr">
        <is>
          <t>MAERSK (CAMBODIA) LTD.</t>
        </is>
      </c>
      <c r="D292" s="225" t="inlineStr">
        <is>
          <t>L001-100045200</t>
        </is>
      </c>
      <c r="E292" s="359" t="n">
        <v>7676096256</v>
      </c>
      <c r="F292" s="338" t="n">
        <v>45650</v>
      </c>
      <c r="G292" s="226" t="n"/>
      <c r="H292" s="627" t="n"/>
      <c r="I292" s="627" t="n">
        <v>1973329</v>
      </c>
      <c r="J292" s="223" t="inlineStr">
        <is>
          <t>អនុញ្ញាត (បានប្រកាស)</t>
        </is>
      </c>
      <c r="K292" s="223" t="n"/>
      <c r="L292" s="626">
        <f>I292</f>
        <v/>
      </c>
      <c r="M292" s="598">
        <f>I292-L292</f>
        <v/>
      </c>
      <c r="N292" s="223" t="n"/>
      <c r="O292" s="228">
        <f>U292=E292</f>
        <v/>
      </c>
      <c r="P292" s="228">
        <f>MONTH(F292)-MONTH(T292)</f>
        <v/>
      </c>
      <c r="Q292" s="228">
        <f>$B$5=X292</f>
        <v/>
      </c>
      <c r="R292" s="228">
        <f>I292-AD292</f>
        <v/>
      </c>
      <c r="S292" s="371" t="n"/>
      <c r="T292" s="372" t="n">
        <v>45650</v>
      </c>
      <c r="U292" s="371" t="n">
        <v>7676096256</v>
      </c>
      <c r="V292" s="371" t="n">
        <v>0</v>
      </c>
      <c r="W292" s="371" t="inlineStr">
        <is>
          <t>បុគ្គលជាប់អាករ</t>
        </is>
      </c>
      <c r="X292" s="371" t="inlineStr">
        <is>
          <t>L001-901640009</t>
        </is>
      </c>
      <c r="Y292" s="371" t="inlineStr">
        <is>
          <t>ហូលីដេ ឌីហ្សាញ (ខេមបូឌា) ឯ.ក</t>
        </is>
      </c>
      <c r="Z292" s="373" t="n">
        <v>21706619</v>
      </c>
      <c r="AA292" s="373" t="n">
        <v>19733290</v>
      </c>
      <c r="AB292" s="371" t="n">
        <v>0</v>
      </c>
      <c r="AC292" s="371" t="inlineStr">
        <is>
          <t>-</t>
        </is>
      </c>
      <c r="AD292" s="373" t="n">
        <v>1973329</v>
      </c>
      <c r="AE292" s="371" t="n">
        <v>0</v>
      </c>
      <c r="AF292" s="625" t="n">
        <v>0</v>
      </c>
      <c r="AG292" s="205" t="n">
        <v>0</v>
      </c>
      <c r="AH292" s="205" t="n">
        <v>0</v>
      </c>
      <c r="AI292" s="205" t="n">
        <v>0</v>
      </c>
      <c r="AJ292" s="205" t="n">
        <v>0</v>
      </c>
      <c r="AK292" s="205" t="n">
        <v>0</v>
      </c>
      <c r="AL292" s="205" t="n">
        <v>0.01</v>
      </c>
      <c r="AM292" s="205" t="n">
        <v>0</v>
      </c>
      <c r="AN292" s="205" t="inlineStr">
        <is>
          <t>CP1 CONTAINER PROTECT ESSENTIAL</t>
        </is>
      </c>
      <c r="AO292" s="205" t="inlineStr">
        <is>
          <t>បានប្រកាសនិងបង់ពន្ធ</t>
        </is>
      </c>
    </row>
    <row r="293">
      <c r="A293" s="222">
        <f>A292+1</f>
        <v/>
      </c>
      <c r="B293" s="224" t="inlineStr">
        <is>
          <t>Terminal Handling Service-Im</t>
        </is>
      </c>
      <c r="C293" s="224" t="inlineStr">
        <is>
          <t>MAERSK (CAMBODIA) LTD.</t>
        </is>
      </c>
      <c r="D293" s="225" t="inlineStr">
        <is>
          <t>L001-100045200</t>
        </is>
      </c>
      <c r="E293" s="359" t="n">
        <v>7676094852</v>
      </c>
      <c r="F293" s="338" t="n">
        <v>45645</v>
      </c>
      <c r="G293" s="226" t="n"/>
      <c r="H293" s="627" t="n"/>
      <c r="I293" s="627" t="n">
        <v>651402</v>
      </c>
      <c r="J293" s="223" t="inlineStr">
        <is>
          <t>អនុញ្ញាត (បានប្រកាស)</t>
        </is>
      </c>
      <c r="K293" s="223" t="n"/>
      <c r="L293" s="626">
        <f>I293</f>
        <v/>
      </c>
      <c r="M293" s="598">
        <f>I293-L293</f>
        <v/>
      </c>
      <c r="N293" s="223" t="n"/>
      <c r="O293" s="228">
        <f>U293=E293</f>
        <v/>
      </c>
      <c r="P293" s="228">
        <f>MONTH(F293)-MONTH(T293)</f>
        <v/>
      </c>
      <c r="Q293" s="228">
        <f>$B$5=X293</f>
        <v/>
      </c>
      <c r="R293" s="228">
        <f>I293-AD293</f>
        <v/>
      </c>
      <c r="S293" s="371" t="n"/>
      <c r="T293" s="372" t="n">
        <v>45645</v>
      </c>
      <c r="U293" s="371" t="n">
        <v>7676094852</v>
      </c>
      <c r="V293" s="371" t="n">
        <v>0</v>
      </c>
      <c r="W293" s="371" t="inlineStr">
        <is>
          <t>បុគ្គលជាប់អាករ</t>
        </is>
      </c>
      <c r="X293" s="371" t="inlineStr">
        <is>
          <t>L001-901640009</t>
        </is>
      </c>
      <c r="Y293" s="371" t="inlineStr">
        <is>
          <t>ហូលីដេ ឌីហ្សាញ (ខេមបូឌា) ឯ.ក</t>
        </is>
      </c>
      <c r="Z293" s="373" t="n">
        <v>7165422</v>
      </c>
      <c r="AA293" s="373" t="n">
        <v>6514020</v>
      </c>
      <c r="AB293" s="371" t="n">
        <v>0</v>
      </c>
      <c r="AC293" s="371" t="inlineStr">
        <is>
          <t>-</t>
        </is>
      </c>
      <c r="AD293" s="373" t="n">
        <v>651402</v>
      </c>
      <c r="AE293" s="371" t="n">
        <v>0</v>
      </c>
      <c r="AF293" s="625" t="n">
        <v>0</v>
      </c>
      <c r="AG293" s="205" t="n">
        <v>0</v>
      </c>
      <c r="AH293" s="205" t="n">
        <v>0</v>
      </c>
      <c r="AI293" s="205" t="n">
        <v>0</v>
      </c>
      <c r="AJ293" s="205" t="n">
        <v>0</v>
      </c>
      <c r="AK293" s="205" t="n">
        <v>0</v>
      </c>
      <c r="AL293" s="205" t="n">
        <v>0.01</v>
      </c>
      <c r="AM293" s="205" t="n">
        <v>0</v>
      </c>
      <c r="AN293" s="205" t="inlineStr">
        <is>
          <t>CP1 CONTAINER PROTECT ESSENTIAL</t>
        </is>
      </c>
      <c r="AO293" s="205" t="inlineStr">
        <is>
          <t>បានប្រកាសនិងបង់ពន្ធ</t>
        </is>
      </c>
    </row>
    <row r="294">
      <c r="A294" s="222">
        <f>A293+1</f>
        <v/>
      </c>
      <c r="B294" s="224" t="inlineStr">
        <is>
          <t>Terminal Handling Service-Im</t>
        </is>
      </c>
      <c r="C294" s="224" t="inlineStr">
        <is>
          <t>MAERSK (CAMBODIA) LTD.</t>
        </is>
      </c>
      <c r="D294" s="225" t="inlineStr">
        <is>
          <t>L001-100045200</t>
        </is>
      </c>
      <c r="E294" s="359" t="n">
        <v>7676091192</v>
      </c>
      <c r="F294" s="338" t="n">
        <v>45630</v>
      </c>
      <c r="G294" s="226" t="n"/>
      <c r="H294" s="627" t="n"/>
      <c r="I294" s="627" t="n">
        <v>1001455</v>
      </c>
      <c r="J294" s="223" t="inlineStr">
        <is>
          <t>អនុញ្ញាត (បានប្រកាស)</t>
        </is>
      </c>
      <c r="K294" s="223" t="n"/>
      <c r="L294" s="626">
        <f>I294</f>
        <v/>
      </c>
      <c r="M294" s="598">
        <f>I294-L294</f>
        <v/>
      </c>
      <c r="N294" s="223" t="n"/>
      <c r="O294" s="228">
        <f>U294=E294</f>
        <v/>
      </c>
      <c r="P294" s="228">
        <f>MONTH(F294)-MONTH(T294)</f>
        <v/>
      </c>
      <c r="Q294" s="228">
        <f>$B$5=X294</f>
        <v/>
      </c>
      <c r="R294" s="228">
        <f>I294-AD294</f>
        <v/>
      </c>
      <c r="S294" s="371" t="inlineStr">
        <is>
          <t>មិនបានប្រកាស</t>
        </is>
      </c>
      <c r="T294" s="372" t="n">
        <v>45630</v>
      </c>
      <c r="U294" s="371" t="n">
        <v>7676091192</v>
      </c>
      <c r="V294" s="371" t="n">
        <v>0</v>
      </c>
      <c r="W294" s="371" t="inlineStr">
        <is>
          <t>បុគ្គលជាប់អាករ</t>
        </is>
      </c>
      <c r="X294" s="371" t="inlineStr">
        <is>
          <t>L001-901640009</t>
        </is>
      </c>
      <c r="Y294" s="371" t="inlineStr">
        <is>
          <t>ហូលីដេ ឌីហ្សាញ (ខេមបូឌា) ឯ.ក</t>
        </is>
      </c>
      <c r="Z294" s="373" t="n">
        <v>11016005</v>
      </c>
      <c r="AA294" s="373" t="n">
        <v>10014550</v>
      </c>
      <c r="AB294" s="371" t="n">
        <v>0</v>
      </c>
      <c r="AC294" s="371" t="inlineStr">
        <is>
          <t>-</t>
        </is>
      </c>
      <c r="AD294" s="373" t="n">
        <v>1001455</v>
      </c>
      <c r="AE294" s="371" t="n">
        <v>0</v>
      </c>
      <c r="AF294" s="625" t="n">
        <v>0</v>
      </c>
      <c r="AG294" s="205" t="n">
        <v>0</v>
      </c>
      <c r="AH294" s="205" t="n">
        <v>0</v>
      </c>
      <c r="AI294" s="205" t="n">
        <v>0</v>
      </c>
      <c r="AJ294" s="205" t="n">
        <v>0</v>
      </c>
      <c r="AK294" s="205" t="n">
        <v>0</v>
      </c>
      <c r="AL294" s="205" t="n">
        <v>0.01</v>
      </c>
      <c r="AM294" s="205" t="n">
        <v>0</v>
      </c>
      <c r="AN294" s="205" t="inlineStr">
        <is>
          <t>CP1 CONTAINER PROTECT ESSENTIAL</t>
        </is>
      </c>
      <c r="AO294" s="205" t="inlineStr">
        <is>
          <t>បានប្រកាសនិងបង់ពន្ធ</t>
        </is>
      </c>
    </row>
    <row r="295">
      <c r="A295" s="222">
        <f>A294+1</f>
        <v/>
      </c>
      <c r="B295" s="224" t="inlineStr">
        <is>
          <t>Terminal Handling Service-Im</t>
        </is>
      </c>
      <c r="C295" s="224" t="inlineStr">
        <is>
          <t>MAERSK (CAMBODIA) LTD.</t>
        </is>
      </c>
      <c r="D295" s="225" t="inlineStr">
        <is>
          <t>L001-100045200</t>
        </is>
      </c>
      <c r="E295" s="359" t="n">
        <v>7676113070</v>
      </c>
      <c r="F295" s="338" t="n">
        <v>45715</v>
      </c>
      <c r="G295" s="226" t="n"/>
      <c r="H295" s="627" t="n"/>
      <c r="I295" s="627" t="n">
        <v>996485</v>
      </c>
      <c r="J295" s="223" t="inlineStr">
        <is>
          <t>អនុញ្ញាត (បានប្រកាស)</t>
        </is>
      </c>
      <c r="K295" s="223" t="n"/>
      <c r="L295" s="626">
        <f>I295</f>
        <v/>
      </c>
      <c r="M295" s="598">
        <f>I295-L295</f>
        <v/>
      </c>
      <c r="N295" s="223" t="n"/>
      <c r="O295" s="228">
        <f>U295=E295</f>
        <v/>
      </c>
      <c r="P295" s="228">
        <f>MONTH(F295)-MONTH(T295)</f>
        <v/>
      </c>
      <c r="Q295" s="228">
        <f>$B$5=X295</f>
        <v/>
      </c>
      <c r="R295" s="228">
        <f>I295-AD295</f>
        <v/>
      </c>
      <c r="S295" s="371" t="inlineStr">
        <is>
          <t>មិនបានប្រកាស</t>
        </is>
      </c>
      <c r="T295" s="372" t="n">
        <v>45715</v>
      </c>
      <c r="U295" s="371" t="n">
        <v>7676113070</v>
      </c>
      <c r="V295" s="371" t="n">
        <v>0</v>
      </c>
      <c r="W295" s="371" t="inlineStr">
        <is>
          <t>បុគ្គលជាប់អាករ</t>
        </is>
      </c>
      <c r="X295" s="371" t="inlineStr">
        <is>
          <t>L001-901640009</t>
        </is>
      </c>
      <c r="Y295" s="371" t="inlineStr">
        <is>
          <t>ហូលីដេ ឌីហ្សាញ (ខេមបូឌា) ឯ.ក</t>
        </is>
      </c>
      <c r="Z295" s="373" t="n">
        <v>10961335</v>
      </c>
      <c r="AA295" s="373" t="n">
        <v>9964850</v>
      </c>
      <c r="AB295" s="371" t="n">
        <v>0</v>
      </c>
      <c r="AC295" s="371" t="inlineStr">
        <is>
          <t>-</t>
        </is>
      </c>
      <c r="AD295" s="373" t="n">
        <v>996485</v>
      </c>
      <c r="AE295" s="371" t="n">
        <v>0</v>
      </c>
      <c r="AF295" s="625" t="n">
        <v>0</v>
      </c>
      <c r="AG295" s="205" t="n">
        <v>0</v>
      </c>
      <c r="AH295" s="205" t="n">
        <v>0</v>
      </c>
      <c r="AI295" s="205" t="n">
        <v>0</v>
      </c>
      <c r="AJ295" s="205" t="n">
        <v>0</v>
      </c>
      <c r="AK295" s="205" t="n">
        <v>0</v>
      </c>
      <c r="AL295" s="205" t="n">
        <v>0.01</v>
      </c>
      <c r="AM295" s="205" t="n">
        <v>0</v>
      </c>
      <c r="AN295" s="205" t="inlineStr">
        <is>
          <t>CP1 CONTAINER PROTECT ESSENTIAL</t>
        </is>
      </c>
      <c r="AO295" s="205" t="inlineStr">
        <is>
          <t>បានប្រកាសនិងបង់ពន្ធ</t>
        </is>
      </c>
    </row>
    <row r="296">
      <c r="A296" s="222">
        <f>A295+1</f>
        <v/>
      </c>
      <c r="B296" s="224" t="inlineStr">
        <is>
          <t>Terminal Handling Charge</t>
        </is>
      </c>
      <c r="C296" s="224" t="inlineStr">
        <is>
          <t>MAERSK (CAMBODIA) LTD.</t>
        </is>
      </c>
      <c r="D296" s="225" t="inlineStr">
        <is>
          <t>L001-100045200</t>
        </is>
      </c>
      <c r="E296" s="359" t="n">
        <v>7676127588</v>
      </c>
      <c r="F296" s="338" t="n">
        <v>45774</v>
      </c>
      <c r="G296" s="226" t="n"/>
      <c r="H296" s="627" t="n"/>
      <c r="I296" s="627" t="n">
        <v>994746</v>
      </c>
      <c r="J296" s="223" t="inlineStr">
        <is>
          <t>អនុញ្ញាត (បានប្រកាស)</t>
        </is>
      </c>
      <c r="K296" s="223" t="n"/>
      <c r="L296" s="626">
        <f>I296</f>
        <v/>
      </c>
      <c r="M296" s="598">
        <f>I296-L296</f>
        <v/>
      </c>
      <c r="N296" s="223" t="n"/>
      <c r="O296" s="228">
        <f>U296=E296</f>
        <v/>
      </c>
      <c r="P296" s="228">
        <f>MONTH(F296)-MONTH(T296)</f>
        <v/>
      </c>
      <c r="Q296" s="228">
        <f>$B$5=X296</f>
        <v/>
      </c>
      <c r="R296" s="228">
        <f>I296-AD296</f>
        <v/>
      </c>
      <c r="S296" s="371" t="n"/>
      <c r="T296" s="372" t="n">
        <v>45774</v>
      </c>
      <c r="U296" s="371" t="n">
        <v>7676127588</v>
      </c>
      <c r="V296" s="371" t="n">
        <v>0</v>
      </c>
      <c r="W296" s="371" t="inlineStr">
        <is>
          <t>បុគ្គលជាប់អាករ</t>
        </is>
      </c>
      <c r="X296" s="371" t="inlineStr">
        <is>
          <t>L001-901640009</t>
        </is>
      </c>
      <c r="Y296" s="371" t="inlineStr">
        <is>
          <t>ហូលីដេ ឌីហ្សាញ (ខេមបូឌា) ឯ.ក</t>
        </is>
      </c>
      <c r="Z296" s="373" t="n">
        <v>10942201</v>
      </c>
      <c r="AA296" s="373" t="n">
        <v>9947455</v>
      </c>
      <c r="AB296" s="371" t="n">
        <v>0</v>
      </c>
      <c r="AC296" s="371" t="inlineStr">
        <is>
          <t>-</t>
        </is>
      </c>
      <c r="AD296" s="373" t="n">
        <v>994746</v>
      </c>
      <c r="AE296" s="371" t="n">
        <v>0</v>
      </c>
      <c r="AF296" s="625" t="n">
        <v>0</v>
      </c>
      <c r="AG296" s="205" t="n">
        <v>0</v>
      </c>
      <c r="AH296" s="205" t="n">
        <v>0</v>
      </c>
      <c r="AI296" s="205" t="n">
        <v>0</v>
      </c>
      <c r="AJ296" s="205" t="n">
        <v>0</v>
      </c>
      <c r="AK296" s="205" t="n">
        <v>0</v>
      </c>
      <c r="AL296" s="205" t="n">
        <v>0.01</v>
      </c>
      <c r="AM296" s="205" t="n">
        <v>0</v>
      </c>
      <c r="AN296" s="205" t="inlineStr">
        <is>
          <t>CP1 CONTAINER PROTECT ESSENTIAL</t>
        </is>
      </c>
      <c r="AO296" s="205" t="inlineStr">
        <is>
          <t>បានប្រកាសនិងបង់ពន្ធ</t>
        </is>
      </c>
    </row>
    <row r="297">
      <c r="A297" s="222">
        <f>A296+1</f>
        <v/>
      </c>
      <c r="B297" s="224" t="inlineStr">
        <is>
          <t>Terminal Handling Charge</t>
        </is>
      </c>
      <c r="C297" s="224" t="inlineStr">
        <is>
          <t>MAERSK (CAMBODIA) LTD.</t>
        </is>
      </c>
      <c r="D297" s="225" t="inlineStr">
        <is>
          <t>L001-100045200</t>
        </is>
      </c>
      <c r="E297" s="359" t="n">
        <v>7676127556</v>
      </c>
      <c r="F297" s="338" t="n">
        <v>45774</v>
      </c>
      <c r="G297" s="226" t="n"/>
      <c r="H297" s="627" t="n"/>
      <c r="I297" s="627" t="n">
        <v>1965473</v>
      </c>
      <c r="J297" s="223" t="inlineStr">
        <is>
          <t>អនុញ្ញាត (បានប្រកាស)</t>
        </is>
      </c>
      <c r="K297" s="223" t="n"/>
      <c r="L297" s="626">
        <f>I297</f>
        <v/>
      </c>
      <c r="M297" s="598">
        <f>I297-L297</f>
        <v/>
      </c>
      <c r="N297" s="223" t="n"/>
      <c r="O297" s="228">
        <f>U297=E297</f>
        <v/>
      </c>
      <c r="P297" s="228">
        <f>MONTH(F297)-MONTH(T297)</f>
        <v/>
      </c>
      <c r="Q297" s="228">
        <f>$B$5=X297</f>
        <v/>
      </c>
      <c r="R297" s="228">
        <f>I297-AD297</f>
        <v/>
      </c>
      <c r="S297" s="371" t="n"/>
      <c r="T297" s="372" t="n">
        <v>45774</v>
      </c>
      <c r="U297" s="371" t="n">
        <v>7676127556</v>
      </c>
      <c r="V297" s="371" t="n">
        <v>0</v>
      </c>
      <c r="W297" s="371" t="inlineStr">
        <is>
          <t>បុគ្គលជាប់អាករ</t>
        </is>
      </c>
      <c r="X297" s="371" t="inlineStr">
        <is>
          <t>L001-901640009</t>
        </is>
      </c>
      <c r="Y297" s="371" t="inlineStr">
        <is>
          <t>ហូលីដេ ឌីហ្សាញ (ខេមបូឌា) ឯ.ក</t>
        </is>
      </c>
      <c r="Z297" s="373" t="n">
        <v>21620203</v>
      </c>
      <c r="AA297" s="373" t="n">
        <v>19654730</v>
      </c>
      <c r="AB297" s="371" t="n">
        <v>0</v>
      </c>
      <c r="AC297" s="371" t="inlineStr">
        <is>
          <t>-</t>
        </is>
      </c>
      <c r="AD297" s="373" t="n">
        <v>1965473</v>
      </c>
      <c r="AE297" s="371" t="n">
        <v>0</v>
      </c>
      <c r="AF297" s="625" t="n">
        <v>0</v>
      </c>
      <c r="AG297" s="205" t="n">
        <v>0</v>
      </c>
      <c r="AH297" s="205" t="n">
        <v>0</v>
      </c>
      <c r="AI297" s="205" t="n">
        <v>0</v>
      </c>
      <c r="AJ297" s="205" t="n">
        <v>0</v>
      </c>
      <c r="AK297" s="205" t="n">
        <v>0</v>
      </c>
      <c r="AL297" s="205" t="n">
        <v>0.01</v>
      </c>
      <c r="AM297" s="205" t="n">
        <v>0</v>
      </c>
      <c r="AN297" s="205" t="inlineStr">
        <is>
          <t>CP1 CONTAINER PROTECT ESSENTIAL</t>
        </is>
      </c>
      <c r="AO297" s="205" t="inlineStr">
        <is>
          <t>បានប្រកាសនិងបង់ពន្ធ</t>
        </is>
      </c>
    </row>
    <row r="298">
      <c r="A298" s="222">
        <f>A297+1</f>
        <v/>
      </c>
      <c r="B298" s="224" t="inlineStr">
        <is>
          <t>Terminal Handling Charge-Im</t>
        </is>
      </c>
      <c r="C298" s="224" t="inlineStr">
        <is>
          <t>MAERSK (CAMBODIA) LTD.</t>
        </is>
      </c>
      <c r="D298" s="225" t="inlineStr">
        <is>
          <t>L001-100045200</t>
        </is>
      </c>
      <c r="E298" s="359" t="n">
        <v>7676136178</v>
      </c>
      <c r="F298" s="338" t="n">
        <v>45803</v>
      </c>
      <c r="G298" s="226" t="n"/>
      <c r="H298" s="627" t="n"/>
      <c r="I298" s="627" t="n">
        <v>2741370</v>
      </c>
      <c r="J298" s="223" t="inlineStr">
        <is>
          <t>អនុញ្ញាត (បានប្រកាស)</t>
        </is>
      </c>
      <c r="K298" s="223" t="n"/>
      <c r="L298" s="626">
        <f>I298</f>
        <v/>
      </c>
      <c r="M298" s="598">
        <f>I298-L298</f>
        <v/>
      </c>
      <c r="N298" s="223" t="n"/>
      <c r="O298" s="228">
        <f>U298=E298</f>
        <v/>
      </c>
      <c r="P298" s="228">
        <f>MONTH(F298)-MONTH(T298)</f>
        <v/>
      </c>
      <c r="Q298" s="228">
        <f>$B$5=X298</f>
        <v/>
      </c>
      <c r="R298" s="228">
        <f>I298-AD298</f>
        <v/>
      </c>
      <c r="S298" s="371" t="n"/>
      <c r="T298" s="372" t="n">
        <v>45803</v>
      </c>
      <c r="U298" s="371" t="n">
        <v>7676136178</v>
      </c>
      <c r="V298" s="371" t="n">
        <v>0</v>
      </c>
      <c r="W298" s="371" t="inlineStr">
        <is>
          <t>បុគ្គលជាប់អាករ</t>
        </is>
      </c>
      <c r="X298" s="371" t="inlineStr">
        <is>
          <t>L001-901640009</t>
        </is>
      </c>
      <c r="Y298" s="371" t="inlineStr">
        <is>
          <t>ហូលីដេ ឌីហ្សាញ (ខេមបូឌា) ឯ.ក</t>
        </is>
      </c>
      <c r="Z298" s="373" t="n">
        <v>30155070</v>
      </c>
      <c r="AA298" s="373" t="n">
        <v>27413700</v>
      </c>
      <c r="AB298" s="371" t="n">
        <v>0</v>
      </c>
      <c r="AC298" s="371" t="inlineStr">
        <is>
          <t>-</t>
        </is>
      </c>
      <c r="AD298" s="373" t="n">
        <v>2741370</v>
      </c>
      <c r="AE298" s="371" t="n">
        <v>0</v>
      </c>
      <c r="AF298" s="625" t="n">
        <v>0</v>
      </c>
      <c r="AG298" s="205" t="n">
        <v>0</v>
      </c>
      <c r="AH298" s="205" t="n">
        <v>0</v>
      </c>
      <c r="AI298" s="205" t="n">
        <v>0</v>
      </c>
      <c r="AJ298" s="205" t="n">
        <v>0</v>
      </c>
      <c r="AK298" s="205" t="n">
        <v>0</v>
      </c>
      <c r="AL298" s="205" t="n">
        <v>0.01</v>
      </c>
      <c r="AM298" s="205" t="n">
        <v>0</v>
      </c>
      <c r="AN298" s="205" t="inlineStr">
        <is>
          <t>CP1 CONTAINER PROTECT ESSENTIAL</t>
        </is>
      </c>
      <c r="AO298" s="205" t="inlineStr">
        <is>
          <t>បានប្រកាសនិងបង់ពន្ធ</t>
        </is>
      </c>
    </row>
    <row r="299">
      <c r="A299" s="222">
        <f>A298+1</f>
        <v/>
      </c>
      <c r="B299" s="224" t="inlineStr">
        <is>
          <t>Toyota Hiace 2025</t>
        </is>
      </c>
      <c r="C299" s="224" t="inlineStr">
        <is>
          <t>TOYOTA (CAMBODIA) CO., LTD.</t>
        </is>
      </c>
      <c r="D299" s="225" t="inlineStr">
        <is>
          <t>L001-100049648</t>
        </is>
      </c>
      <c r="E299" s="359" t="inlineStr">
        <is>
          <t>HQTI-00271</t>
        </is>
      </c>
      <c r="F299" s="338" t="n">
        <v>45776</v>
      </c>
      <c r="G299" s="226" t="n"/>
      <c r="H299" s="627" t="n"/>
      <c r="I299" s="627" t="n">
        <v>23617700</v>
      </c>
      <c r="J299" s="223" t="inlineStr">
        <is>
          <t>អនុញ្ញាត (បានប្រកាស)</t>
        </is>
      </c>
      <c r="K299" s="223" t="n"/>
      <c r="L299" s="626">
        <f>I299</f>
        <v/>
      </c>
      <c r="M299" s="598">
        <f>I299-L299</f>
        <v/>
      </c>
      <c r="N299" s="223" t="inlineStr">
        <is>
          <t>បានពិនិត្យវិក្កយបត្រ</t>
        </is>
      </c>
      <c r="O299" s="228">
        <f>U299=E299</f>
        <v/>
      </c>
      <c r="P299" s="228">
        <f>MONTH(F299)-MONTH(T299)</f>
        <v/>
      </c>
      <c r="Q299" s="228">
        <f>$B$5=X299</f>
        <v/>
      </c>
      <c r="R299" s="228">
        <f>I299-AD299</f>
        <v/>
      </c>
      <c r="S299" s="371" t="n"/>
      <c r="T299" s="372" t="n">
        <v>45776</v>
      </c>
      <c r="U299" s="371" t="inlineStr">
        <is>
          <t>HQTI-00271</t>
        </is>
      </c>
      <c r="V299" s="371" t="n">
        <v>0</v>
      </c>
      <c r="W299" s="371" t="inlineStr">
        <is>
          <t>បុគ្គលជាប់អាករ</t>
        </is>
      </c>
      <c r="X299" s="371" t="inlineStr">
        <is>
          <t>L001-901640009</t>
        </is>
      </c>
      <c r="Y299" s="371" t="inlineStr">
        <is>
          <t>ហូលីដេ ឌីហ្សាញ (ខេមបូឌា) ឯ.ក</t>
        </is>
      </c>
      <c r="Z299" s="373" t="n">
        <v>259794700</v>
      </c>
      <c r="AA299" s="373" t="n">
        <v>236177000</v>
      </c>
      <c r="AB299" s="371" t="n">
        <v>0</v>
      </c>
      <c r="AC299" s="371" t="inlineStr">
        <is>
          <t>-</t>
        </is>
      </c>
      <c r="AD299" s="373" t="n">
        <v>23617700</v>
      </c>
      <c r="AE299" s="371" t="n">
        <v>0</v>
      </c>
      <c r="AF299" s="625" t="n">
        <v>0</v>
      </c>
      <c r="AG299" s="205" t="n">
        <v>0</v>
      </c>
      <c r="AH299" s="205" t="n">
        <v>0</v>
      </c>
      <c r="AI299" s="205" t="n">
        <v>0</v>
      </c>
      <c r="AJ299" s="205" t="n">
        <v>0</v>
      </c>
      <c r="AK299" s="205" t="n">
        <v>0</v>
      </c>
      <c r="AL299" s="205" t="n">
        <v>0.01</v>
      </c>
      <c r="AM299" s="205" t="n">
        <v>0</v>
      </c>
      <c r="AN299" s="205" t="inlineStr">
        <is>
          <t>Sale New CAR - WHS-DFL-2024/12-000029</t>
        </is>
      </c>
      <c r="AO299" s="205" t="inlineStr">
        <is>
          <t>បានប្រកាសនិងបង់ពន្ធ</t>
        </is>
      </c>
    </row>
    <row r="300">
      <c r="A300" s="222">
        <f>A299+1</f>
        <v/>
      </c>
      <c r="B300" s="224" t="inlineStr">
        <is>
          <t>THC, Doc, EMF, CIC Fee-Im</t>
        </is>
      </c>
      <c r="C300" s="224" t="inlineStr">
        <is>
          <t>KERRY LOGISTICS (CAMBODIA) PTE. LTD.</t>
        </is>
      </c>
      <c r="D300" s="225" t="inlineStr">
        <is>
          <t>L001-100074669</t>
        </is>
      </c>
      <c r="E300" s="359" t="inlineStr">
        <is>
          <t>IVO20152</t>
        </is>
      </c>
      <c r="F300" s="338" t="n">
        <v>45649</v>
      </c>
      <c r="G300" s="226" t="n"/>
      <c r="H300" s="627" t="n"/>
      <c r="I300" s="627" t="n">
        <v>1790910</v>
      </c>
      <c r="J300" s="223" t="inlineStr">
        <is>
          <t>អនុញ្ញាត (បានប្រកាស)</t>
        </is>
      </c>
      <c r="K300" s="223" t="n"/>
      <c r="L300" s="626">
        <f>I300</f>
        <v/>
      </c>
      <c r="M300" s="598">
        <f>I300-L300</f>
        <v/>
      </c>
      <c r="N300" s="223" t="n"/>
      <c r="O300" s="228">
        <f>U300=E300</f>
        <v/>
      </c>
      <c r="P300" s="228">
        <f>MONTH(F300)-MONTH(T300)</f>
        <v/>
      </c>
      <c r="Q300" s="228">
        <f>$B$5=X300</f>
        <v/>
      </c>
      <c r="R300" s="228">
        <f>I300-AD300</f>
        <v/>
      </c>
      <c r="S300" s="371" t="n"/>
      <c r="T300" s="372" t="n">
        <v>45649</v>
      </c>
      <c r="U300" s="371" t="inlineStr">
        <is>
          <t>IVO20152</t>
        </is>
      </c>
      <c r="V300" s="371" t="n">
        <v>0</v>
      </c>
      <c r="W300" s="371" t="inlineStr">
        <is>
          <t>បុគ្គលជាប់អាករ</t>
        </is>
      </c>
      <c r="X300" s="371" t="inlineStr">
        <is>
          <t>L001-901640009</t>
        </is>
      </c>
      <c r="Y300" s="371" t="inlineStr">
        <is>
          <t>ហូលីដេ ឌីហ្សាញ (ខេមបូឌា) ឯ.ក</t>
        </is>
      </c>
      <c r="Z300" s="373" t="n">
        <v>19700010</v>
      </c>
      <c r="AA300" s="373" t="n">
        <v>17909100</v>
      </c>
      <c r="AB300" s="371" t="n">
        <v>0</v>
      </c>
      <c r="AC300" s="371" t="inlineStr">
        <is>
          <t>-</t>
        </is>
      </c>
      <c r="AD300" s="373" t="n">
        <v>1790910</v>
      </c>
      <c r="AE300" s="371" t="n">
        <v>0</v>
      </c>
      <c r="AF300" s="625" t="n">
        <v>0</v>
      </c>
      <c r="AG300" s="205" t="n">
        <v>0</v>
      </c>
      <c r="AH300" s="205" t="n">
        <v>0</v>
      </c>
      <c r="AI300" s="205" t="n">
        <v>0</v>
      </c>
      <c r="AJ300" s="205" t="n">
        <v>0</v>
      </c>
      <c r="AK300" s="205" t="n">
        <v>0</v>
      </c>
      <c r="AL300" s="205" t="n">
        <v>0.01</v>
      </c>
      <c r="AM300" s="205" t="n">
        <v>0</v>
      </c>
      <c r="AN300" s="205" t="inlineStr">
        <is>
          <t>នាំចូលទំនិញតាមផ្លូវទឹក</t>
        </is>
      </c>
      <c r="AO300" s="205" t="inlineStr">
        <is>
          <t>បានប្រកាសនិងបង់ពន្ធ</t>
        </is>
      </c>
    </row>
    <row r="301">
      <c r="A301" s="222">
        <f>A300+1</f>
        <v/>
      </c>
      <c r="B301" s="224" t="inlineStr">
        <is>
          <t>THC, Doc, EMF, CIC Fee-Im</t>
        </is>
      </c>
      <c r="C301" s="224" t="inlineStr">
        <is>
          <t>KERRY LOGISTICS (CAMBODIA) PTE. LTD.</t>
        </is>
      </c>
      <c r="D301" s="225" t="inlineStr">
        <is>
          <t>L001-100074669</t>
        </is>
      </c>
      <c r="E301" s="359" t="inlineStr">
        <is>
          <t>IVP00411</t>
        </is>
      </c>
      <c r="F301" s="338" t="n">
        <v>45667</v>
      </c>
      <c r="G301" s="226" t="n"/>
      <c r="H301" s="627" t="n"/>
      <c r="I301" s="627" t="n">
        <v>1800711</v>
      </c>
      <c r="J301" s="223" t="inlineStr">
        <is>
          <t>អនុញ្ញាត (បានប្រកាស)</t>
        </is>
      </c>
      <c r="K301" s="223" t="n"/>
      <c r="L301" s="626">
        <f>I301</f>
        <v/>
      </c>
      <c r="M301" s="598">
        <f>I301-L301</f>
        <v/>
      </c>
      <c r="N301" s="223" t="n"/>
      <c r="O301" s="228">
        <f>U301=E301</f>
        <v/>
      </c>
      <c r="P301" s="228">
        <f>MONTH(F301)-MONTH(T301)</f>
        <v/>
      </c>
      <c r="Q301" s="228">
        <f>$B$5=X301</f>
        <v/>
      </c>
      <c r="R301" s="228">
        <f>I301-AD301</f>
        <v/>
      </c>
      <c r="S301" s="371" t="n"/>
      <c r="T301" s="372" t="n">
        <v>45667</v>
      </c>
      <c r="U301" s="371" t="inlineStr">
        <is>
          <t>IVP00411</t>
        </is>
      </c>
      <c r="V301" s="371" t="n">
        <v>0</v>
      </c>
      <c r="W301" s="371" t="inlineStr">
        <is>
          <t>បុគ្គលជាប់អាករ</t>
        </is>
      </c>
      <c r="X301" s="371" t="inlineStr">
        <is>
          <t>L001-901640009</t>
        </is>
      </c>
      <c r="Y301" s="371" t="inlineStr">
        <is>
          <t>ហូលីដេ ឌីហ្សាញ (ខេមបូឌា) ឯ.ក</t>
        </is>
      </c>
      <c r="Z301" s="373" t="n">
        <v>19807821</v>
      </c>
      <c r="AA301" s="373" t="n">
        <v>18007110</v>
      </c>
      <c r="AB301" s="371" t="n">
        <v>0</v>
      </c>
      <c r="AC301" s="371" t="inlineStr">
        <is>
          <t>-</t>
        </is>
      </c>
      <c r="AD301" s="373" t="n">
        <v>1800711</v>
      </c>
      <c r="AE301" s="371" t="n">
        <v>0</v>
      </c>
      <c r="AF301" s="625" t="n">
        <v>0</v>
      </c>
      <c r="AG301" s="205" t="n">
        <v>0</v>
      </c>
      <c r="AH301" s="205" t="n">
        <v>0</v>
      </c>
      <c r="AI301" s="205" t="n">
        <v>0</v>
      </c>
      <c r="AJ301" s="205" t="n">
        <v>0</v>
      </c>
      <c r="AK301" s="205" t="n">
        <v>0</v>
      </c>
      <c r="AL301" s="205" t="n">
        <v>0.01</v>
      </c>
      <c r="AM301" s="205" t="n">
        <v>0</v>
      </c>
      <c r="AN301" s="205" t="inlineStr">
        <is>
          <t>នាំចូលទំនិញតាមផ្លូវទឹក</t>
        </is>
      </c>
      <c r="AO301" s="205" t="inlineStr">
        <is>
          <t>បានប្រកាសនិងបង់ពន្ធ</t>
        </is>
      </c>
    </row>
    <row r="302">
      <c r="A302" s="222">
        <f>A301+1</f>
        <v/>
      </c>
      <c r="B302" s="224" t="inlineStr">
        <is>
          <t>THC, Doc, EMF, CIC Fee-Im</t>
        </is>
      </c>
      <c r="C302" s="224" t="inlineStr">
        <is>
          <t>KERRY LOGISTICS (CAMBODIA) PTE. LTD.</t>
        </is>
      </c>
      <c r="D302" s="225" t="inlineStr">
        <is>
          <t>L001-100074669</t>
        </is>
      </c>
      <c r="E302" s="359" t="inlineStr">
        <is>
          <t>IVP00210</t>
        </is>
      </c>
      <c r="F302" s="338" t="n">
        <v>45667</v>
      </c>
      <c r="G302" s="226" t="n"/>
      <c r="H302" s="627" t="n"/>
      <c r="I302" s="627" t="n">
        <v>1800711</v>
      </c>
      <c r="J302" s="223" t="inlineStr">
        <is>
          <t>អនុញ្ញាត (បានប្រកាស)</t>
        </is>
      </c>
      <c r="K302" s="223" t="n"/>
      <c r="L302" s="626">
        <f>I302</f>
        <v/>
      </c>
      <c r="M302" s="598">
        <f>I302-L302</f>
        <v/>
      </c>
      <c r="N302" s="223" t="n"/>
      <c r="O302" s="228">
        <f>U302=E302</f>
        <v/>
      </c>
      <c r="P302" s="228">
        <f>MONTH(F302)-MONTH(T302)</f>
        <v/>
      </c>
      <c r="Q302" s="228">
        <f>$B$5=X302</f>
        <v/>
      </c>
      <c r="R302" s="228">
        <f>I302-AD302</f>
        <v/>
      </c>
      <c r="S302" s="371" t="n"/>
      <c r="T302" s="372" t="n">
        <v>45667</v>
      </c>
      <c r="U302" s="371" t="inlineStr">
        <is>
          <t>IVP00210</t>
        </is>
      </c>
      <c r="V302" s="371" t="n">
        <v>0</v>
      </c>
      <c r="W302" s="371" t="inlineStr">
        <is>
          <t>បុគ្គលជាប់អាករ</t>
        </is>
      </c>
      <c r="X302" s="371" t="inlineStr">
        <is>
          <t>L001-901640009</t>
        </is>
      </c>
      <c r="Y302" s="371" t="inlineStr">
        <is>
          <t>ហូលីដេ ឌីហ្សាញ (ខេមបូឌា) ឯ.ក</t>
        </is>
      </c>
      <c r="Z302" s="373" t="n">
        <v>19807821</v>
      </c>
      <c r="AA302" s="373" t="n">
        <v>18007110</v>
      </c>
      <c r="AB302" s="371" t="n">
        <v>0</v>
      </c>
      <c r="AC302" s="371" t="inlineStr">
        <is>
          <t>-</t>
        </is>
      </c>
      <c r="AD302" s="373" t="n">
        <v>1800711</v>
      </c>
      <c r="AE302" s="371" t="n">
        <v>0</v>
      </c>
      <c r="AF302" s="625" t="n">
        <v>0</v>
      </c>
      <c r="AG302" s="205" t="n">
        <v>0</v>
      </c>
      <c r="AH302" s="205" t="n">
        <v>0</v>
      </c>
      <c r="AI302" s="205" t="n">
        <v>0</v>
      </c>
      <c r="AJ302" s="205" t="n">
        <v>0</v>
      </c>
      <c r="AK302" s="205" t="n">
        <v>0</v>
      </c>
      <c r="AL302" s="205" t="n">
        <v>0.01</v>
      </c>
      <c r="AM302" s="205" t="n">
        <v>0</v>
      </c>
      <c r="AN302" s="205" t="inlineStr">
        <is>
          <t>នាំចូលទំនិញតាមផ្លូវទឹក</t>
        </is>
      </c>
      <c r="AO302" s="205" t="inlineStr">
        <is>
          <t>បានប្រកាសនិងបង់ពន្ធ</t>
        </is>
      </c>
    </row>
    <row r="303">
      <c r="A303" s="222">
        <f>A302+1</f>
        <v/>
      </c>
      <c r="B303" s="224" t="inlineStr">
        <is>
          <t>Lift-On &amp; Lift-On-Im</t>
        </is>
      </c>
      <c r="C303" s="224" t="inlineStr">
        <is>
          <t>Port Autonome Du Sihanoukville</t>
        </is>
      </c>
      <c r="D303" s="225" t="inlineStr">
        <is>
          <t>L001-100044638</t>
        </is>
      </c>
      <c r="E303" s="359" t="n">
        <v>202500095405</v>
      </c>
      <c r="F303" s="338" t="n">
        <v>45776</v>
      </c>
      <c r="G303" s="226" t="n"/>
      <c r="H303" s="627" t="n"/>
      <c r="I303" s="627" t="n">
        <v>182537</v>
      </c>
      <c r="J303" s="223" t="inlineStr">
        <is>
          <t>អនុញ្ញាត (បានប្រកាស)</t>
        </is>
      </c>
      <c r="K303" s="223" t="n"/>
      <c r="L303" s="626">
        <f>I303</f>
        <v/>
      </c>
      <c r="M303" s="598">
        <f>I303-L303</f>
        <v/>
      </c>
      <c r="N303" s="223" t="n"/>
      <c r="O303" s="228">
        <f>U303=E303</f>
        <v/>
      </c>
      <c r="P303" s="228">
        <f>MONTH(F303)-MONTH(T303)</f>
        <v/>
      </c>
      <c r="Q303" s="228">
        <f>$B$5=X303</f>
        <v/>
      </c>
      <c r="R303" s="228">
        <f>I303-AD303</f>
        <v/>
      </c>
      <c r="S303" s="371" t="n"/>
      <c r="T303" s="372" t="n">
        <v>45776</v>
      </c>
      <c r="U303" s="371" t="n">
        <v>202500095405</v>
      </c>
      <c r="V303" s="371" t="n">
        <v>0</v>
      </c>
      <c r="W303" s="371" t="inlineStr">
        <is>
          <t>បុគ្គលជាប់អាករ</t>
        </is>
      </c>
      <c r="X303" s="371" t="inlineStr">
        <is>
          <t>L001-901640009</t>
        </is>
      </c>
      <c r="Y303" s="371" t="inlineStr">
        <is>
          <t>ហូលីដេ ឌីហ្សាញ (ខេមបូឌា) ឯ.ក</t>
        </is>
      </c>
      <c r="Z303" s="373" t="n">
        <v>2007905</v>
      </c>
      <c r="AA303" s="373" t="n">
        <v>1825368</v>
      </c>
      <c r="AB303" s="371" t="n">
        <v>0</v>
      </c>
      <c r="AC303" s="371" t="inlineStr">
        <is>
          <t>-</t>
        </is>
      </c>
      <c r="AD303" s="373" t="n">
        <v>182537</v>
      </c>
      <c r="AE303" s="371" t="n">
        <v>0</v>
      </c>
      <c r="AF303" s="625" t="n">
        <v>0</v>
      </c>
      <c r="AG303" s="205" t="n">
        <v>0</v>
      </c>
      <c r="AH303" s="205" t="n">
        <v>0</v>
      </c>
      <c r="AI303" s="205" t="n">
        <v>0</v>
      </c>
      <c r="AJ303" s="205" t="n">
        <v>0</v>
      </c>
      <c r="AK303" s="205" t="n">
        <v>0</v>
      </c>
      <c r="AL303" s="205" t="n">
        <v>0.01</v>
      </c>
      <c r="AM303" s="205" t="n">
        <v>0</v>
      </c>
      <c r="AN303" s="205" t="inlineStr">
        <is>
          <t>LOLO</t>
        </is>
      </c>
    </row>
    <row r="304">
      <c r="A304" s="222">
        <f>A303+1</f>
        <v/>
      </c>
      <c r="B304" s="224" t="inlineStr">
        <is>
          <t>THC, Doc, EMF, CIC Fee-Im</t>
        </is>
      </c>
      <c r="C304" s="224" t="inlineStr">
        <is>
          <t>KERRY LOGISTICS (CAMBODIA) PTE. LTD.</t>
        </is>
      </c>
      <c r="D304" s="225" t="inlineStr">
        <is>
          <t>L001-100074669</t>
        </is>
      </c>
      <c r="E304" s="359" t="inlineStr">
        <is>
          <t>IVP02766</t>
        </is>
      </c>
      <c r="F304" s="338" t="n">
        <v>45705</v>
      </c>
      <c r="G304" s="226" t="n"/>
      <c r="H304" s="627" t="n"/>
      <c r="I304" s="627" t="n">
        <v>1784228</v>
      </c>
      <c r="J304" s="223" t="inlineStr">
        <is>
          <t>អនុញ្ញាត (បានប្រកាស)</t>
        </is>
      </c>
      <c r="K304" s="628">
        <f>L304</f>
        <v/>
      </c>
      <c r="L304" s="626">
        <f>AD304</f>
        <v/>
      </c>
      <c r="M304" s="598">
        <f>I304-L304</f>
        <v/>
      </c>
      <c r="N304" s="223" t="n"/>
      <c r="O304" s="228">
        <f>U304=E304</f>
        <v/>
      </c>
      <c r="P304" s="228">
        <f>MONTH(F304)-MONTH(T304)</f>
        <v/>
      </c>
      <c r="Q304" s="228">
        <f>$B$5=X304</f>
        <v/>
      </c>
      <c r="R304" s="228">
        <f>I304-AD304</f>
        <v/>
      </c>
      <c r="S304" s="371" t="n"/>
      <c r="T304" s="372" t="n">
        <v>45705</v>
      </c>
      <c r="U304" s="371" t="inlineStr">
        <is>
          <t>IVP02766</t>
        </is>
      </c>
      <c r="V304" s="371" t="n">
        <v>0</v>
      </c>
      <c r="W304" s="371" t="inlineStr">
        <is>
          <t>បុគ្គលជាប់អាករ</t>
        </is>
      </c>
      <c r="X304" s="371" t="inlineStr">
        <is>
          <t>L001-901640009</t>
        </is>
      </c>
      <c r="Y304" s="371" t="inlineStr">
        <is>
          <t>ហូលីដេ ឌីហ្សាញ (ខេមបូឌា) ឯ.ក</t>
        </is>
      </c>
      <c r="Z304" s="373" t="n">
        <v>19626502</v>
      </c>
      <c r="AA304" s="373" t="n">
        <v>17842275</v>
      </c>
      <c r="AB304" s="371" t="n">
        <v>0</v>
      </c>
      <c r="AC304" s="371" t="inlineStr">
        <is>
          <t>-</t>
        </is>
      </c>
      <c r="AD304" s="373" t="n">
        <v>1784227</v>
      </c>
      <c r="AE304" s="371" t="n">
        <v>0</v>
      </c>
      <c r="AF304" s="625" t="n">
        <v>0</v>
      </c>
      <c r="AG304" s="205" t="n">
        <v>0</v>
      </c>
      <c r="AH304" s="205" t="n">
        <v>0</v>
      </c>
      <c r="AI304" s="205" t="n">
        <v>0</v>
      </c>
      <c r="AJ304" s="205" t="n">
        <v>0</v>
      </c>
      <c r="AK304" s="205" t="n">
        <v>0</v>
      </c>
      <c r="AL304" s="205" t="n">
        <v>0.01</v>
      </c>
      <c r="AM304" s="205" t="n">
        <v>0</v>
      </c>
      <c r="AN304" s="205" t="inlineStr">
        <is>
          <t>នាំចូលទំនិញតាមផ្លូវទឹក</t>
        </is>
      </c>
      <c r="AO304" s="205" t="inlineStr">
        <is>
          <t>បានប្រកាសនិងបង់ពន្ធ</t>
        </is>
      </c>
    </row>
    <row r="305">
      <c r="A305" s="222">
        <f>A304+1</f>
        <v/>
      </c>
      <c r="B305" s="224" t="inlineStr">
        <is>
          <t>THC, Doc, EMF, CIC Fee-Im</t>
        </is>
      </c>
      <c r="C305" s="224" t="inlineStr">
        <is>
          <t>KERRY LOGISTICS (CAMBODIA) PTE. LTD.</t>
        </is>
      </c>
      <c r="D305" s="225" t="inlineStr">
        <is>
          <t>L001-100074669</t>
        </is>
      </c>
      <c r="E305" s="359" t="inlineStr">
        <is>
          <t>IVP04437</t>
        </is>
      </c>
      <c r="F305" s="338" t="n">
        <v>45735</v>
      </c>
      <c r="G305" s="226" t="n"/>
      <c r="H305" s="627" t="n"/>
      <c r="I305" s="627" t="n">
        <v>1785564</v>
      </c>
      <c r="J305" s="223" t="inlineStr">
        <is>
          <t>អនុញ្ញាត (បានប្រកាស)</t>
        </is>
      </c>
      <c r="K305" s="223" t="n"/>
      <c r="L305" s="626">
        <f>I305</f>
        <v/>
      </c>
      <c r="M305" s="598">
        <f>I305-L305</f>
        <v/>
      </c>
      <c r="N305" s="223" t="n"/>
      <c r="O305" s="228">
        <f>U305=E305</f>
        <v/>
      </c>
      <c r="P305" s="228">
        <f>MONTH(F305)-MONTH(T305)</f>
        <v/>
      </c>
      <c r="Q305" s="228">
        <f>$B$5=X305</f>
        <v/>
      </c>
      <c r="R305" s="228">
        <f>I305-AD305</f>
        <v/>
      </c>
      <c r="S305" s="371" t="n"/>
      <c r="T305" s="372" t="n">
        <v>45735</v>
      </c>
      <c r="U305" s="371" t="inlineStr">
        <is>
          <t>IVP04437</t>
        </is>
      </c>
      <c r="V305" s="371" t="n">
        <v>0</v>
      </c>
      <c r="W305" s="371" t="inlineStr">
        <is>
          <t>បុគ្គលជាប់អាករ</t>
        </is>
      </c>
      <c r="X305" s="371" t="inlineStr">
        <is>
          <t>L001-901640009</t>
        </is>
      </c>
      <c r="Y305" s="371" t="inlineStr">
        <is>
          <t>ហូលីដេ ឌីហ្សាញ (ខេមបូឌា) ឯ.ក</t>
        </is>
      </c>
      <c r="Z305" s="373" t="n">
        <v>19641204</v>
      </c>
      <c r="AA305" s="373" t="n">
        <v>17855640</v>
      </c>
      <c r="AB305" s="371" t="n">
        <v>0</v>
      </c>
      <c r="AC305" s="371" t="inlineStr">
        <is>
          <t>-</t>
        </is>
      </c>
      <c r="AD305" s="373" t="n">
        <v>1785564</v>
      </c>
      <c r="AE305" s="371" t="n">
        <v>0</v>
      </c>
      <c r="AF305" s="625" t="n">
        <v>0</v>
      </c>
      <c r="AG305" s="205" t="n">
        <v>0</v>
      </c>
      <c r="AH305" s="205" t="n">
        <v>0</v>
      </c>
      <c r="AI305" s="205" t="n">
        <v>0</v>
      </c>
      <c r="AJ305" s="205" t="n">
        <v>0</v>
      </c>
      <c r="AK305" s="205" t="n">
        <v>0</v>
      </c>
      <c r="AL305" s="205" t="n">
        <v>0.01</v>
      </c>
      <c r="AM305" s="205" t="n">
        <v>0</v>
      </c>
      <c r="AN305" s="205" t="inlineStr">
        <is>
          <t>នាំចូលទំនិញតាមផ្លូវទឹក</t>
        </is>
      </c>
      <c r="AO305" s="205" t="inlineStr">
        <is>
          <t>បានប្រកាសនិងបង់ពន្ធ</t>
        </is>
      </c>
    </row>
    <row r="306">
      <c r="A306" s="222">
        <f>A305+1</f>
        <v/>
      </c>
      <c r="B306" s="224" t="inlineStr">
        <is>
          <t>THC, Doc, EMF, CIC Fee-Im</t>
        </is>
      </c>
      <c r="C306" s="224" t="inlineStr">
        <is>
          <t>KERRY LOGISTICS (CAMBODIA) PTE. LTD.</t>
        </is>
      </c>
      <c r="D306" s="225" t="inlineStr">
        <is>
          <t>L001-100074669</t>
        </is>
      </c>
      <c r="E306" s="359" t="inlineStr">
        <is>
          <t>IVP03489</t>
        </is>
      </c>
      <c r="F306" s="338" t="n">
        <v>45720</v>
      </c>
      <c r="G306" s="226" t="n"/>
      <c r="H306" s="627" t="n"/>
      <c r="I306" s="627" t="n">
        <v>904030</v>
      </c>
      <c r="J306" s="223" t="inlineStr">
        <is>
          <t>អនុញ្ញាត (បានប្រកាស)</t>
        </is>
      </c>
      <c r="K306" s="628">
        <f>L306</f>
        <v/>
      </c>
      <c r="L306" s="626">
        <f>AD306</f>
        <v/>
      </c>
      <c r="M306" s="598">
        <f>I306-L306</f>
        <v/>
      </c>
      <c r="N306" s="223" t="n"/>
      <c r="O306" s="228">
        <f>U306=E306</f>
        <v/>
      </c>
      <c r="P306" s="228">
        <f>MONTH(F306)-MONTH(T306)</f>
        <v/>
      </c>
      <c r="Q306" s="228">
        <f>$B$5=X306</f>
        <v/>
      </c>
      <c r="R306" s="228">
        <f>I306-AD306</f>
        <v/>
      </c>
      <c r="S306" s="371" t="n"/>
      <c r="T306" s="372" t="n">
        <v>45720</v>
      </c>
      <c r="U306" s="371" t="inlineStr">
        <is>
          <t>IVP03489</t>
        </is>
      </c>
      <c r="V306" s="371" t="n">
        <v>0</v>
      </c>
      <c r="W306" s="371" t="inlineStr">
        <is>
          <t>បុគ្គលជាប់អាករ</t>
        </is>
      </c>
      <c r="X306" s="371" t="inlineStr">
        <is>
          <t>L001-901640009</t>
        </is>
      </c>
      <c r="Y306" s="371" t="inlineStr">
        <is>
          <t>ហូលីដេ ឌីហ្សាញ (ខេមបូឌា) ឯ.ក</t>
        </is>
      </c>
      <c r="Z306" s="373" t="n">
        <v>9944324</v>
      </c>
      <c r="AA306" s="373" t="n">
        <v>9040295</v>
      </c>
      <c r="AB306" s="371" t="n">
        <v>0</v>
      </c>
      <c r="AC306" s="371" t="inlineStr">
        <is>
          <t>-</t>
        </is>
      </c>
      <c r="AD306" s="373" t="n">
        <v>904029</v>
      </c>
      <c r="AE306" s="371" t="n">
        <v>0</v>
      </c>
      <c r="AF306" s="625" t="n">
        <v>0</v>
      </c>
      <c r="AG306" s="205" t="n">
        <v>0</v>
      </c>
      <c r="AH306" s="205" t="n">
        <v>0</v>
      </c>
      <c r="AI306" s="205" t="n">
        <v>0</v>
      </c>
      <c r="AJ306" s="205" t="n">
        <v>0</v>
      </c>
      <c r="AK306" s="205" t="n">
        <v>0</v>
      </c>
      <c r="AL306" s="205" t="n">
        <v>0.01</v>
      </c>
      <c r="AM306" s="205" t="n">
        <v>0</v>
      </c>
      <c r="AN306" s="205" t="inlineStr">
        <is>
          <t>នាំចូលទំនិញតាមផ្លូវទឹក</t>
        </is>
      </c>
      <c r="AO306" s="205" t="inlineStr">
        <is>
          <t>បានប្រកាសនិងបង់ពន្ធ</t>
        </is>
      </c>
    </row>
    <row r="307">
      <c r="A307" s="222">
        <f>A306+1</f>
        <v/>
      </c>
      <c r="B307" s="224" t="inlineStr">
        <is>
          <t>Lift-On &amp; Lift-On-Im</t>
        </is>
      </c>
      <c r="C307" s="224" t="inlineStr">
        <is>
          <t>Port Autonome Du Sihanoukville</t>
        </is>
      </c>
      <c r="D307" s="225" t="inlineStr">
        <is>
          <t>L001-100044638</t>
        </is>
      </c>
      <c r="E307" s="359" t="n">
        <v>202500096098</v>
      </c>
      <c r="F307" s="338" t="n">
        <v>45776</v>
      </c>
      <c r="G307" s="226" t="n"/>
      <c r="H307" s="627" t="n"/>
      <c r="I307" s="627" t="n">
        <v>174131</v>
      </c>
      <c r="J307" s="223" t="inlineStr">
        <is>
          <t>អនុញ្ញាត (បានប្រកាស)</t>
        </is>
      </c>
      <c r="K307" s="223" t="n"/>
      <c r="L307" s="626">
        <f>I307</f>
        <v/>
      </c>
      <c r="M307" s="598">
        <f>I307-L307</f>
        <v/>
      </c>
      <c r="N307" s="223" t="n"/>
      <c r="O307" s="228">
        <f>U307=E307</f>
        <v/>
      </c>
      <c r="P307" s="228">
        <f>MONTH(F307)-MONTH(T307)</f>
        <v/>
      </c>
      <c r="Q307" s="228">
        <f>$B$5=X307</f>
        <v/>
      </c>
      <c r="R307" s="228">
        <f>I307-AD307</f>
        <v/>
      </c>
      <c r="S307" s="371" t="n"/>
      <c r="T307" s="372" t="n">
        <v>45776</v>
      </c>
      <c r="U307" s="371" t="n">
        <v>202500096098</v>
      </c>
      <c r="V307" s="371" t="n">
        <v>0</v>
      </c>
      <c r="W307" s="371" t="inlineStr">
        <is>
          <t>បុគ្គលជាប់អាករ</t>
        </is>
      </c>
      <c r="X307" s="371" t="inlineStr">
        <is>
          <t>L001-901640009</t>
        </is>
      </c>
      <c r="Y307" s="371" t="inlineStr">
        <is>
          <t>ហូលីដេ ឌីហ្សាញ (ខេមបូឌា) ឯ.ក</t>
        </is>
      </c>
      <c r="Z307" s="373" t="n">
        <v>1915436</v>
      </c>
      <c r="AA307" s="373" t="n">
        <v>1741305</v>
      </c>
      <c r="AB307" s="371" t="n">
        <v>0</v>
      </c>
      <c r="AC307" s="371" t="inlineStr">
        <is>
          <t>-</t>
        </is>
      </c>
      <c r="AD307" s="373" t="n">
        <v>174131</v>
      </c>
      <c r="AE307" s="371" t="n">
        <v>0</v>
      </c>
      <c r="AF307" s="625" t="n">
        <v>0</v>
      </c>
      <c r="AG307" s="205" t="n">
        <v>0</v>
      </c>
      <c r="AH307" s="205" t="n">
        <v>0</v>
      </c>
      <c r="AI307" s="205" t="n">
        <v>0</v>
      </c>
      <c r="AJ307" s="205" t="n">
        <v>0</v>
      </c>
      <c r="AK307" s="205" t="n">
        <v>0</v>
      </c>
      <c r="AL307" s="205" t="n">
        <v>0.01</v>
      </c>
      <c r="AM307" s="205" t="n">
        <v>0</v>
      </c>
      <c r="AN307" s="205" t="inlineStr">
        <is>
          <t>LOLO</t>
        </is>
      </c>
    </row>
    <row r="308">
      <c r="A308" s="222">
        <f>A307+1</f>
        <v/>
      </c>
      <c r="B308" s="224" t="inlineStr">
        <is>
          <t>THC, Doc, EMF, CIC Fee-Im</t>
        </is>
      </c>
      <c r="C308" s="224" t="inlineStr">
        <is>
          <t>KERRY LOGISTICS (CAMBODIA) PTE. LTD.</t>
        </is>
      </c>
      <c r="D308" s="225" t="inlineStr">
        <is>
          <t>L001-100074669</t>
        </is>
      </c>
      <c r="E308" s="359" t="inlineStr">
        <is>
          <t>IVP05325</t>
        </is>
      </c>
      <c r="F308" s="338" t="n">
        <v>45751</v>
      </c>
      <c r="G308" s="226" t="n"/>
      <c r="H308" s="627" t="n"/>
      <c r="I308" s="627" t="n">
        <v>902677</v>
      </c>
      <c r="J308" s="223" t="inlineStr">
        <is>
          <t>អនុញ្ញាត (បានប្រកាស)</t>
        </is>
      </c>
      <c r="K308" s="223" t="n"/>
      <c r="L308" s="626">
        <f>I308</f>
        <v/>
      </c>
      <c r="M308" s="598">
        <f>I308-L308</f>
        <v/>
      </c>
      <c r="N308" s="223" t="n"/>
      <c r="O308" s="228">
        <f>U308=E308</f>
        <v/>
      </c>
      <c r="P308" s="228">
        <f>MONTH(F308)-MONTH(T308)</f>
        <v/>
      </c>
      <c r="Q308" s="228">
        <f>$B$5=X308</f>
        <v/>
      </c>
      <c r="R308" s="228">
        <f>I308-AD308</f>
        <v/>
      </c>
      <c r="S308" s="371" t="n"/>
      <c r="T308" s="372" t="n">
        <v>45751</v>
      </c>
      <c r="U308" s="371" t="inlineStr">
        <is>
          <t>IVP05325</t>
        </is>
      </c>
      <c r="V308" s="371" t="n">
        <v>0</v>
      </c>
      <c r="W308" s="371" t="inlineStr">
        <is>
          <t>បុគ្គលជាប់អាករ</t>
        </is>
      </c>
      <c r="X308" s="371" t="inlineStr">
        <is>
          <t>L001-901640009</t>
        </is>
      </c>
      <c r="Y308" s="371" t="inlineStr">
        <is>
          <t>ហូលីដេ ឌីហ្សាញ (ខេមបូឌា) ឯ.ក</t>
        </is>
      </c>
      <c r="Z308" s="373" t="n">
        <v>9929442</v>
      </c>
      <c r="AA308" s="373" t="n">
        <v>9026765</v>
      </c>
      <c r="AB308" s="371" t="n">
        <v>0</v>
      </c>
      <c r="AC308" s="371" t="inlineStr">
        <is>
          <t>-</t>
        </is>
      </c>
      <c r="AD308" s="373" t="n">
        <v>902677</v>
      </c>
      <c r="AE308" s="371" t="n">
        <v>0</v>
      </c>
      <c r="AF308" s="625" t="n">
        <v>0</v>
      </c>
      <c r="AG308" s="205" t="n">
        <v>0</v>
      </c>
      <c r="AH308" s="205" t="n">
        <v>0</v>
      </c>
      <c r="AI308" s="205" t="n">
        <v>0</v>
      </c>
      <c r="AJ308" s="205" t="n">
        <v>0</v>
      </c>
      <c r="AK308" s="205" t="n">
        <v>0</v>
      </c>
      <c r="AL308" s="205" t="n">
        <v>0.01</v>
      </c>
      <c r="AM308" s="205" t="n">
        <v>0</v>
      </c>
      <c r="AN308" s="205" t="inlineStr">
        <is>
          <t>នាំចូលទំនិញតាមផ្លូវទឹក</t>
        </is>
      </c>
      <c r="AO308" s="205" t="inlineStr">
        <is>
          <t>បានប្រកាសនិងបង់ពន្ធ</t>
        </is>
      </c>
    </row>
    <row r="309">
      <c r="A309" s="222">
        <f>A308+1</f>
        <v/>
      </c>
      <c r="B309" s="224" t="inlineStr">
        <is>
          <t>Trucking &amp; Clearance-Im</t>
        </is>
      </c>
      <c r="C309" s="224" t="inlineStr">
        <is>
          <t>BRILLIANT TRANSPORT AND TRADING Co., Ltd.</t>
        </is>
      </c>
      <c r="D309" s="225" t="inlineStr">
        <is>
          <t>K002-100089305</t>
        </is>
      </c>
      <c r="E309" s="359" t="inlineStr">
        <is>
          <t>BTT25-0000926</t>
        </is>
      </c>
      <c r="F309" s="338" t="n">
        <v>45776</v>
      </c>
      <c r="G309" s="226" t="n"/>
      <c r="H309" s="627" t="n"/>
      <c r="I309" s="627" t="n">
        <v>1084813</v>
      </c>
      <c r="J309" s="223" t="inlineStr">
        <is>
          <t>អនុញ្ញាត (បានប្រកាស)</t>
        </is>
      </c>
      <c r="K309" s="223" t="n"/>
      <c r="L309" s="626">
        <f>I309</f>
        <v/>
      </c>
      <c r="M309" s="598">
        <f>I309-L309</f>
        <v/>
      </c>
      <c r="N309" s="223" t="n"/>
      <c r="O309" s="228">
        <f>U309=E309</f>
        <v/>
      </c>
      <c r="P309" s="228">
        <f>MONTH(F309)-MONTH(T309)</f>
        <v/>
      </c>
      <c r="Q309" s="228">
        <f>$B$5=X309</f>
        <v/>
      </c>
      <c r="R309" s="228">
        <f>I309-AD309</f>
        <v/>
      </c>
      <c r="S309" s="371" t="n"/>
      <c r="T309" s="372" t="n">
        <v>45776</v>
      </c>
      <c r="U309" s="371" t="inlineStr">
        <is>
          <t>BTT25-0000926</t>
        </is>
      </c>
      <c r="V309" s="371" t="n">
        <v>0</v>
      </c>
      <c r="W309" s="371" t="inlineStr">
        <is>
          <t>បុគ្គលជាប់អាករ</t>
        </is>
      </c>
      <c r="X309" s="371" t="inlineStr">
        <is>
          <t>L001-901640009</t>
        </is>
      </c>
      <c r="Y309" s="371" t="inlineStr">
        <is>
          <t>ហូលីដេ ឌីហ្សាញ (ខេមបូឌា) ឯ.ក</t>
        </is>
      </c>
      <c r="Z309" s="373" t="n">
        <v>11932943</v>
      </c>
      <c r="AA309" s="373" t="n">
        <v>10848130</v>
      </c>
      <c r="AB309" s="371" t="n">
        <v>0</v>
      </c>
      <c r="AC309" s="371" t="inlineStr">
        <is>
          <t>-</t>
        </is>
      </c>
      <c r="AD309" s="373" t="n">
        <v>1084813</v>
      </c>
      <c r="AE309" s="371" t="n">
        <v>0</v>
      </c>
      <c r="AF309" s="625" t="n">
        <v>0</v>
      </c>
      <c r="AG309" s="205" t="n">
        <v>0</v>
      </c>
      <c r="AH309" s="205" t="n">
        <v>0</v>
      </c>
      <c r="AI309" s="205" t="n">
        <v>0</v>
      </c>
      <c r="AJ309" s="205" t="n">
        <v>0</v>
      </c>
      <c r="AK309" s="205" t="n">
        <v>0</v>
      </c>
      <c r="AL309" s="205" t="n">
        <v>0.01</v>
      </c>
      <c r="AM309" s="205" t="n">
        <v>0</v>
      </c>
      <c r="AN309" s="205" t="inlineStr">
        <is>
          <t>Truking / Service</t>
        </is>
      </c>
    </row>
    <row r="310">
      <c r="A310" s="222">
        <f>A309+1</f>
        <v/>
      </c>
      <c r="B310" s="224" t="inlineStr">
        <is>
          <t>Terminal Handling Charge</t>
        </is>
      </c>
      <c r="C310" s="224" t="inlineStr">
        <is>
          <t>SITC CONTAINER LINES (CAMBODIA) Co., Ltd.</t>
        </is>
      </c>
      <c r="D310" s="225" t="inlineStr">
        <is>
          <t>L001-107035863</t>
        </is>
      </c>
      <c r="E310" s="359" t="inlineStr">
        <is>
          <t>SITC2025-014140</t>
        </is>
      </c>
      <c r="F310" s="338" t="n">
        <v>45772</v>
      </c>
      <c r="G310" s="226" t="n"/>
      <c r="H310" s="627" t="n"/>
      <c r="I310" s="627" t="n">
        <v>984738</v>
      </c>
      <c r="J310" s="223" t="inlineStr">
        <is>
          <t>អនុញ្ញាត (បានប្រកាស)</t>
        </is>
      </c>
      <c r="K310" s="223" t="n"/>
      <c r="L310" s="626">
        <f>I310</f>
        <v/>
      </c>
      <c r="M310" s="598">
        <f>I310-L310</f>
        <v/>
      </c>
      <c r="N310" s="223" t="n"/>
      <c r="O310" s="228">
        <f>U310=E310</f>
        <v/>
      </c>
      <c r="P310" s="228">
        <f>MONTH(F310)-MONTH(T310)</f>
        <v/>
      </c>
      <c r="Q310" s="228">
        <f>$B$5=X310</f>
        <v/>
      </c>
      <c r="R310" s="228">
        <f>I310-AD310</f>
        <v/>
      </c>
      <c r="S310" s="371" t="n"/>
      <c r="T310" s="372" t="n">
        <v>45772</v>
      </c>
      <c r="U310" s="371" t="inlineStr">
        <is>
          <t>SITC2025-014140</t>
        </is>
      </c>
      <c r="V310" s="371" t="n">
        <v>0</v>
      </c>
      <c r="W310" s="371" t="inlineStr">
        <is>
          <t>បុគ្គលជាប់អាករ</t>
        </is>
      </c>
      <c r="X310" s="371" t="inlineStr">
        <is>
          <t>L001-901640009</t>
        </is>
      </c>
      <c r="Y310" s="371" t="inlineStr">
        <is>
          <t>ហូលីដេ ឌីហ្សាញ (ខេមបូឌា) ឯ.ក</t>
        </is>
      </c>
      <c r="Z310" s="373" t="n">
        <v>10832118</v>
      </c>
      <c r="AA310" s="373" t="n">
        <v>9847380</v>
      </c>
      <c r="AB310" s="371" t="n">
        <v>0</v>
      </c>
      <c r="AC310" s="371" t="inlineStr">
        <is>
          <t>-</t>
        </is>
      </c>
      <c r="AD310" s="373" t="n">
        <v>984738</v>
      </c>
      <c r="AE310" s="371" t="n">
        <v>0</v>
      </c>
      <c r="AF310" s="625" t="n">
        <v>0</v>
      </c>
      <c r="AG310" s="205" t="n">
        <v>0</v>
      </c>
      <c r="AH310" s="205" t="n">
        <v>0</v>
      </c>
      <c r="AI310" s="205" t="n">
        <v>0</v>
      </c>
      <c r="AJ310" s="205" t="n">
        <v>0</v>
      </c>
      <c r="AK310" s="205" t="n">
        <v>0</v>
      </c>
      <c r="AL310" s="205" t="n">
        <v>0.01</v>
      </c>
      <c r="AM310" s="205" t="n">
        <v>0</v>
      </c>
      <c r="AN310" s="205" t="inlineStr">
        <is>
          <t>KHCIC,KHTHC,KHDOC,EMF,EIB</t>
        </is>
      </c>
    </row>
    <row r="311">
      <c r="A311" s="222">
        <f>A310+1</f>
        <v/>
      </c>
      <c r="B311" s="224" t="inlineStr">
        <is>
          <t>THC, Doc, EMF, CIC Fee-Im</t>
        </is>
      </c>
      <c r="C311" s="224" t="inlineStr">
        <is>
          <t>KERRY LOGISTICS (CAMBODIA) PTE. LTD.</t>
        </is>
      </c>
      <c r="D311" s="225" t="inlineStr">
        <is>
          <t>L001-100074669</t>
        </is>
      </c>
      <c r="E311" s="359" t="inlineStr">
        <is>
          <t>IVP05323</t>
        </is>
      </c>
      <c r="F311" s="338" t="n">
        <v>45751</v>
      </c>
      <c r="G311" s="226" t="n"/>
      <c r="H311" s="627" t="n"/>
      <c r="I311" s="627" t="n">
        <v>1783337</v>
      </c>
      <c r="J311" s="223" t="inlineStr">
        <is>
          <t>អនុញ្ញាត (បានប្រកាស)</t>
        </is>
      </c>
      <c r="K311" s="223" t="n"/>
      <c r="L311" s="626">
        <f>I311</f>
        <v/>
      </c>
      <c r="M311" s="598">
        <f>I311-L311</f>
        <v/>
      </c>
      <c r="N311" s="223" t="n"/>
      <c r="O311" s="228">
        <f>U311=E311</f>
        <v/>
      </c>
      <c r="P311" s="228">
        <f>MONTH(F311)-MONTH(T311)</f>
        <v/>
      </c>
      <c r="Q311" s="228">
        <f>$B$5=X311</f>
        <v/>
      </c>
      <c r="R311" s="228">
        <f>I311-AD311</f>
        <v/>
      </c>
      <c r="S311" s="371" t="n"/>
      <c r="T311" s="372" t="n">
        <v>45751</v>
      </c>
      <c r="U311" s="371" t="inlineStr">
        <is>
          <t>IVP05323</t>
        </is>
      </c>
      <c r="V311" s="371" t="n">
        <v>0</v>
      </c>
      <c r="W311" s="371" t="inlineStr">
        <is>
          <t>បុគ្គលជាប់អាករ</t>
        </is>
      </c>
      <c r="X311" s="371" t="inlineStr">
        <is>
          <t>L001-901640009</t>
        </is>
      </c>
      <c r="Y311" s="371" t="inlineStr">
        <is>
          <t>ហូលីដេ ឌីហ្សាញ (ខេមបូឌា) ឯ.ក</t>
        </is>
      </c>
      <c r="Z311" s="373" t="n">
        <v>19616702</v>
      </c>
      <c r="AA311" s="373" t="n">
        <v>17833365</v>
      </c>
      <c r="AB311" s="371" t="n">
        <v>0</v>
      </c>
      <c r="AC311" s="371" t="inlineStr">
        <is>
          <t>-</t>
        </is>
      </c>
      <c r="AD311" s="373" t="n">
        <v>1783337</v>
      </c>
      <c r="AE311" s="371" t="n">
        <v>0</v>
      </c>
      <c r="AF311" s="625" t="n">
        <v>0</v>
      </c>
      <c r="AG311" s="205" t="n">
        <v>0</v>
      </c>
      <c r="AH311" s="205" t="n">
        <v>0</v>
      </c>
      <c r="AI311" s="205" t="n">
        <v>0</v>
      </c>
      <c r="AJ311" s="205" t="n">
        <v>0</v>
      </c>
      <c r="AK311" s="205" t="n">
        <v>0</v>
      </c>
      <c r="AL311" s="205" t="n">
        <v>0.01</v>
      </c>
      <c r="AM311" s="205" t="n">
        <v>0</v>
      </c>
      <c r="AN311" s="205" t="inlineStr">
        <is>
          <t>នាំចូលទំនិញតាមផ្លូវទឹក</t>
        </is>
      </c>
      <c r="AO311" s="205" t="inlineStr">
        <is>
          <t>បានប្រកាសនិងបង់ពន្ធ</t>
        </is>
      </c>
    </row>
    <row r="312">
      <c r="A312" s="222">
        <f>A311+1</f>
        <v/>
      </c>
      <c r="B312" s="224" t="inlineStr">
        <is>
          <t>Trucking &amp; Clearance-Im</t>
        </is>
      </c>
      <c r="C312" s="224" t="inlineStr">
        <is>
          <t>BRILLIANT TRANSPORT AND TRADING Co., Ltd.</t>
        </is>
      </c>
      <c r="D312" s="225" t="inlineStr">
        <is>
          <t>K002-100089305</t>
        </is>
      </c>
      <c r="E312" s="359" t="inlineStr">
        <is>
          <t>BTT25-0000925</t>
        </is>
      </c>
      <c r="F312" s="338" t="n">
        <v>45776</v>
      </c>
      <c r="G312" s="226" t="n"/>
      <c r="H312" s="627" t="n"/>
      <c r="I312" s="627" t="n">
        <v>1977482</v>
      </c>
      <c r="J312" s="223" t="inlineStr">
        <is>
          <t>អនុញ្ញាត (បានប្រកាស)</t>
        </is>
      </c>
      <c r="K312" s="223" t="n"/>
      <c r="L312" s="626">
        <f>I312</f>
        <v/>
      </c>
      <c r="M312" s="598">
        <f>I312-L312</f>
        <v/>
      </c>
      <c r="N312" s="223" t="n"/>
      <c r="O312" s="228">
        <f>U312=E312</f>
        <v/>
      </c>
      <c r="P312" s="228">
        <f>MONTH(F312)-MONTH(T312)</f>
        <v/>
      </c>
      <c r="Q312" s="228">
        <f>$B$5=X312</f>
        <v/>
      </c>
      <c r="R312" s="228">
        <f>I312-AD312</f>
        <v/>
      </c>
      <c r="S312" s="371" t="n"/>
      <c r="T312" s="372" t="n">
        <v>45776</v>
      </c>
      <c r="U312" s="371" t="inlineStr">
        <is>
          <t>BTT25-0000925</t>
        </is>
      </c>
      <c r="V312" s="371" t="n">
        <v>0</v>
      </c>
      <c r="W312" s="371" t="inlineStr">
        <is>
          <t>បុគ្គលជាប់អាករ</t>
        </is>
      </c>
      <c r="X312" s="371" t="inlineStr">
        <is>
          <t>L001-901640009</t>
        </is>
      </c>
      <c r="Y312" s="371" t="inlineStr">
        <is>
          <t>ហូលីដេ ឌីហ្សាញ (ខេមបូឌា) ឯ.ក</t>
        </is>
      </c>
      <c r="Z312" s="373" t="n">
        <v>21752302</v>
      </c>
      <c r="AA312" s="373" t="n">
        <v>19774820</v>
      </c>
      <c r="AB312" s="371" t="n">
        <v>0</v>
      </c>
      <c r="AC312" s="371" t="inlineStr">
        <is>
          <t>-</t>
        </is>
      </c>
      <c r="AD312" s="373" t="n">
        <v>1977482</v>
      </c>
      <c r="AE312" s="371" t="n">
        <v>0</v>
      </c>
      <c r="AF312" s="625" t="n">
        <v>0</v>
      </c>
      <c r="AG312" s="205" t="n">
        <v>0</v>
      </c>
      <c r="AH312" s="205" t="n">
        <v>0</v>
      </c>
      <c r="AI312" s="205" t="n">
        <v>0</v>
      </c>
      <c r="AJ312" s="205" t="n">
        <v>0</v>
      </c>
      <c r="AK312" s="205" t="n">
        <v>0</v>
      </c>
      <c r="AL312" s="205" t="n">
        <v>0.01</v>
      </c>
      <c r="AM312" s="205" t="n">
        <v>0</v>
      </c>
      <c r="AN312" s="205" t="inlineStr">
        <is>
          <t>Truking / Service</t>
        </is>
      </c>
    </row>
    <row r="313">
      <c r="A313" s="222">
        <f>A312+1</f>
        <v/>
      </c>
      <c r="B313" s="224" t="inlineStr">
        <is>
          <t>Lift-On &amp; Lift-On-Im</t>
        </is>
      </c>
      <c r="C313" s="224" t="inlineStr">
        <is>
          <t>Port Autonome Du Sihanoukville</t>
        </is>
      </c>
      <c r="D313" s="225" t="inlineStr">
        <is>
          <t>L001-100044638</t>
        </is>
      </c>
      <c r="E313" s="359" t="n">
        <v>202500090154</v>
      </c>
      <c r="F313" s="338" t="n">
        <v>45771</v>
      </c>
      <c r="G313" s="226" t="n"/>
      <c r="H313" s="627" t="n"/>
      <c r="I313" s="627" t="n">
        <v>205354</v>
      </c>
      <c r="J313" s="223" t="inlineStr">
        <is>
          <t>អនុញ្ញាត (បានប្រកាស)</t>
        </is>
      </c>
      <c r="K313" s="223" t="n"/>
      <c r="L313" s="626">
        <f>I313</f>
        <v/>
      </c>
      <c r="M313" s="598">
        <f>I313-L313</f>
        <v/>
      </c>
      <c r="N313" s="223" t="n"/>
      <c r="O313" s="228">
        <f>U313=E313</f>
        <v/>
      </c>
      <c r="P313" s="228">
        <f>MONTH(F313)-MONTH(T313)</f>
        <v/>
      </c>
      <c r="Q313" s="228">
        <f>$B$5=X313</f>
        <v/>
      </c>
      <c r="R313" s="228">
        <f>I313-AD313</f>
        <v/>
      </c>
      <c r="S313" s="371" t="n"/>
      <c r="T313" s="372" t="n">
        <v>45771</v>
      </c>
      <c r="U313" s="371" t="n">
        <v>202500090154</v>
      </c>
      <c r="V313" s="371" t="n">
        <v>0</v>
      </c>
      <c r="W313" s="371" t="inlineStr">
        <is>
          <t>បុគ្គលជាប់អាករ</t>
        </is>
      </c>
      <c r="X313" s="371" t="inlineStr">
        <is>
          <t>L001-901640009</t>
        </is>
      </c>
      <c r="Y313" s="371" t="inlineStr">
        <is>
          <t>ហូលីដេ ឌីហ្សាញ (ខេមបូឌា) ឯ.ក</t>
        </is>
      </c>
      <c r="Z313" s="373" t="n">
        <v>2258893</v>
      </c>
      <c r="AA313" s="373" t="n">
        <v>2053539</v>
      </c>
      <c r="AB313" s="371" t="n">
        <v>0</v>
      </c>
      <c r="AC313" s="371" t="inlineStr">
        <is>
          <t>-</t>
        </is>
      </c>
      <c r="AD313" s="373" t="n">
        <v>205354</v>
      </c>
      <c r="AE313" s="371" t="n">
        <v>0</v>
      </c>
      <c r="AF313" s="625" t="n">
        <v>0</v>
      </c>
      <c r="AG313" s="205" t="n">
        <v>0</v>
      </c>
      <c r="AH313" s="205" t="n">
        <v>0</v>
      </c>
      <c r="AI313" s="205" t="n">
        <v>0</v>
      </c>
      <c r="AJ313" s="205" t="n">
        <v>0</v>
      </c>
      <c r="AK313" s="205" t="n">
        <v>0</v>
      </c>
      <c r="AL313" s="205" t="n">
        <v>0.01</v>
      </c>
      <c r="AM313" s="205" t="n">
        <v>0</v>
      </c>
      <c r="AN313" s="205" t="inlineStr">
        <is>
          <t>LOLO</t>
        </is>
      </c>
    </row>
    <row r="314">
      <c r="A314" s="222">
        <f>A313+1</f>
        <v/>
      </c>
      <c r="B314" s="224" t="inlineStr">
        <is>
          <t>Terminal Handling Charge</t>
        </is>
      </c>
      <c r="C314" s="224" t="inlineStr">
        <is>
          <t>SITC CONTAINER LINES (CAMBODIA) Co., Ltd.</t>
        </is>
      </c>
      <c r="D314" s="225" t="inlineStr">
        <is>
          <t>L001-107035863</t>
        </is>
      </c>
      <c r="E314" s="359" t="inlineStr">
        <is>
          <t>SITC2025-013300</t>
        </is>
      </c>
      <c r="F314" s="338" t="n">
        <v>45768</v>
      </c>
      <c r="G314" s="226" t="n"/>
      <c r="H314" s="627" t="n"/>
      <c r="I314" s="627" t="n">
        <v>1104828</v>
      </c>
      <c r="J314" s="223" t="inlineStr">
        <is>
          <t>អនុញ្ញាត (បានប្រកាស)</t>
        </is>
      </c>
      <c r="K314" s="223" t="n"/>
      <c r="L314" s="626">
        <f>I314</f>
        <v/>
      </c>
      <c r="M314" s="598">
        <f>I314-L314</f>
        <v/>
      </c>
      <c r="N314" s="223" t="n"/>
      <c r="O314" s="228">
        <f>U314=E314</f>
        <v/>
      </c>
      <c r="P314" s="228">
        <f>MONTH(F314)-MONTH(T314)</f>
        <v/>
      </c>
      <c r="Q314" s="228">
        <f>$B$5=X314</f>
        <v/>
      </c>
      <c r="R314" s="228">
        <f>I314-AD314</f>
        <v/>
      </c>
      <c r="S314" s="371" t="n"/>
      <c r="T314" s="372" t="n">
        <v>45768</v>
      </c>
      <c r="U314" s="371" t="inlineStr">
        <is>
          <t>SITC2025-013300</t>
        </is>
      </c>
      <c r="V314" s="371" t="n">
        <v>0</v>
      </c>
      <c r="W314" s="371" t="inlineStr">
        <is>
          <t>បុគ្គលជាប់អាករ</t>
        </is>
      </c>
      <c r="X314" s="371" t="inlineStr">
        <is>
          <t>L001-901640009</t>
        </is>
      </c>
      <c r="Y314" s="371" t="inlineStr">
        <is>
          <t>ហូលីដេ ឌីហ្សាញ (ខេមបូឌា) ឯ.ក</t>
        </is>
      </c>
      <c r="Z314" s="373" t="n">
        <v>12153108</v>
      </c>
      <c r="AA314" s="373" t="n">
        <v>11048280</v>
      </c>
      <c r="AB314" s="371" t="n">
        <v>0</v>
      </c>
      <c r="AC314" s="371" t="inlineStr">
        <is>
          <t>-</t>
        </is>
      </c>
      <c r="AD314" s="373" t="n">
        <v>1104828</v>
      </c>
      <c r="AE314" s="371" t="n">
        <v>0</v>
      </c>
      <c r="AF314" s="625" t="n">
        <v>0</v>
      </c>
      <c r="AG314" s="205" t="n">
        <v>0</v>
      </c>
      <c r="AH314" s="205" t="n">
        <v>0</v>
      </c>
      <c r="AI314" s="205" t="n">
        <v>0</v>
      </c>
      <c r="AJ314" s="205" t="n">
        <v>0</v>
      </c>
      <c r="AK314" s="205" t="n">
        <v>0</v>
      </c>
      <c r="AL314" s="205" t="n">
        <v>0.01</v>
      </c>
      <c r="AM314" s="205" t="n">
        <v>0</v>
      </c>
      <c r="AN314" s="205" t="inlineStr">
        <is>
          <t>KHTHC,KHDOC,EIB,KHCIC,EMF</t>
        </is>
      </c>
    </row>
    <row r="315">
      <c r="A315" s="222">
        <f>A314+1</f>
        <v/>
      </c>
      <c r="B315" s="224" t="inlineStr">
        <is>
          <t>Trucking &amp; Clearance-Im</t>
        </is>
      </c>
      <c r="C315" s="224" t="inlineStr">
        <is>
          <t>BRILLIANT TRANSPORT AND TRADING Co., Ltd.</t>
        </is>
      </c>
      <c r="D315" s="225" t="inlineStr">
        <is>
          <t>K002-100089305</t>
        </is>
      </c>
      <c r="E315" s="359" t="inlineStr">
        <is>
          <t>BTT25-0000924</t>
        </is>
      </c>
      <c r="F315" s="338" t="n">
        <v>45772</v>
      </c>
      <c r="G315" s="226" t="n"/>
      <c r="H315" s="627" t="n"/>
      <c r="I315" s="627" t="n">
        <v>2221665</v>
      </c>
      <c r="J315" s="223" t="inlineStr">
        <is>
          <t>អនុញ្ញាត (បានប្រកាស)</t>
        </is>
      </c>
      <c r="K315" s="223" t="n"/>
      <c r="L315" s="626">
        <f>I315</f>
        <v/>
      </c>
      <c r="M315" s="598">
        <f>I315-L315</f>
        <v/>
      </c>
      <c r="N315" s="223" t="n"/>
      <c r="O315" s="228">
        <f>U315=E315</f>
        <v/>
      </c>
      <c r="P315" s="228">
        <f>MONTH(F315)-MONTH(T315)</f>
        <v/>
      </c>
      <c r="Q315" s="228">
        <f>$B$5=X315</f>
        <v/>
      </c>
      <c r="R315" s="228">
        <f>I315-AD315</f>
        <v/>
      </c>
      <c r="S315" s="371" t="n"/>
      <c r="T315" s="372" t="n">
        <v>45772</v>
      </c>
      <c r="U315" s="371" t="inlineStr">
        <is>
          <t>BTT25-0000924</t>
        </is>
      </c>
      <c r="V315" s="371" t="n">
        <v>0</v>
      </c>
      <c r="W315" s="371" t="inlineStr">
        <is>
          <t>បុគ្គលជាប់អាករ</t>
        </is>
      </c>
      <c r="X315" s="371" t="inlineStr">
        <is>
          <t>L001-901640009</t>
        </is>
      </c>
      <c r="Y315" s="371" t="inlineStr">
        <is>
          <t>ហូលីដេ ឌីហ្សាញ (ខេមបូឌា) ឯ.ក</t>
        </is>
      </c>
      <c r="Z315" s="373" t="n">
        <v>24438315</v>
      </c>
      <c r="AA315" s="373" t="n">
        <v>22216650</v>
      </c>
      <c r="AB315" s="371" t="n">
        <v>0</v>
      </c>
      <c r="AC315" s="371" t="inlineStr">
        <is>
          <t>-</t>
        </is>
      </c>
      <c r="AD315" s="373" t="n">
        <v>2221665</v>
      </c>
      <c r="AE315" s="371" t="n">
        <v>0</v>
      </c>
      <c r="AF315" s="625" t="n">
        <v>0</v>
      </c>
      <c r="AG315" s="205" t="n">
        <v>0</v>
      </c>
      <c r="AH315" s="205" t="n">
        <v>0</v>
      </c>
      <c r="AI315" s="205" t="n">
        <v>0</v>
      </c>
      <c r="AJ315" s="205" t="n">
        <v>0</v>
      </c>
      <c r="AK315" s="205" t="n">
        <v>0</v>
      </c>
      <c r="AL315" s="205" t="n">
        <v>0.01</v>
      </c>
      <c r="AM315" s="205" t="n">
        <v>0</v>
      </c>
      <c r="AN315" s="205" t="inlineStr">
        <is>
          <t>Truking / Service</t>
        </is>
      </c>
    </row>
    <row r="316">
      <c r="A316" s="222">
        <f>A315+1</f>
        <v/>
      </c>
      <c r="B316" s="224" t="inlineStr">
        <is>
          <t>Storage charges-Im</t>
        </is>
      </c>
      <c r="C316" s="224" t="inlineStr">
        <is>
          <t>Port Autonome Du Sihanoukville</t>
        </is>
      </c>
      <c r="D316" s="225" t="inlineStr">
        <is>
          <t>L001-100044638</t>
        </is>
      </c>
      <c r="E316" s="359" t="n">
        <v>202500093601</v>
      </c>
      <c r="F316" s="338" t="n">
        <v>45774</v>
      </c>
      <c r="G316" s="226" t="n"/>
      <c r="H316" s="627" t="n"/>
      <c r="I316" s="627" t="n">
        <v>1201</v>
      </c>
      <c r="J316" s="223" t="inlineStr">
        <is>
          <t>អនុញ្ញាត (បានប្រកាស)</t>
        </is>
      </c>
      <c r="K316" s="223" t="n"/>
      <c r="L316" s="626">
        <f>I316</f>
        <v/>
      </c>
      <c r="M316" s="598">
        <f>I316-L316</f>
        <v/>
      </c>
      <c r="N316" s="223" t="n"/>
      <c r="O316" s="228">
        <f>U316=E316</f>
        <v/>
      </c>
      <c r="P316" s="228">
        <f>MONTH(F316)-MONTH(T316)</f>
        <v/>
      </c>
      <c r="Q316" s="228">
        <f>$B$5=X316</f>
        <v/>
      </c>
      <c r="R316" s="228">
        <f>I316-AD316</f>
        <v/>
      </c>
      <c r="S316" s="371" t="n"/>
      <c r="T316" s="372" t="n">
        <v>45774</v>
      </c>
      <c r="U316" s="371" t="n">
        <v>202500093601</v>
      </c>
      <c r="V316" s="371" t="n">
        <v>0</v>
      </c>
      <c r="W316" s="371" t="inlineStr">
        <is>
          <t>បុគ្គលជាប់អាករ</t>
        </is>
      </c>
      <c r="X316" s="371" t="inlineStr">
        <is>
          <t>L001-901640009</t>
        </is>
      </c>
      <c r="Y316" s="371" t="inlineStr">
        <is>
          <t>ហូលីដេ ឌីហ្សាញ (ខេមបូឌា) ឯ.ក</t>
        </is>
      </c>
      <c r="Z316" s="373" t="n">
        <v>13210</v>
      </c>
      <c r="AA316" s="373" t="n">
        <v>12009</v>
      </c>
      <c r="AB316" s="371" t="n">
        <v>0</v>
      </c>
      <c r="AC316" s="371" t="inlineStr">
        <is>
          <t>-</t>
        </is>
      </c>
      <c r="AD316" s="373" t="n">
        <v>1201</v>
      </c>
      <c r="AE316" s="371" t="n">
        <v>0</v>
      </c>
      <c r="AF316" s="625" t="n">
        <v>0</v>
      </c>
      <c r="AG316" s="205" t="n">
        <v>0</v>
      </c>
      <c r="AH316" s="205" t="n">
        <v>0</v>
      </c>
      <c r="AI316" s="205" t="n">
        <v>0</v>
      </c>
      <c r="AJ316" s="205" t="n">
        <v>0</v>
      </c>
      <c r="AK316" s="205" t="n">
        <v>0</v>
      </c>
      <c r="AL316" s="205" t="n">
        <v>0.01</v>
      </c>
      <c r="AM316" s="205" t="n">
        <v>0</v>
      </c>
      <c r="AN316" s="205" t="inlineStr">
        <is>
          <t>Storage</t>
        </is>
      </c>
    </row>
    <row r="317">
      <c r="A317" s="222">
        <f>A316+1</f>
        <v/>
      </c>
      <c r="B317" s="224" t="inlineStr">
        <is>
          <t>Storage charges-Im</t>
        </is>
      </c>
      <c r="C317" s="224" t="inlineStr">
        <is>
          <t>Port Autonome Du Sihanoukville</t>
        </is>
      </c>
      <c r="D317" s="225" t="inlineStr">
        <is>
          <t>L001-100044638</t>
        </is>
      </c>
      <c r="E317" s="359" t="n">
        <v>202500093568</v>
      </c>
      <c r="F317" s="338" t="n">
        <v>45773</v>
      </c>
      <c r="G317" s="226" t="n"/>
      <c r="H317" s="627" t="n"/>
      <c r="I317" s="627" t="n">
        <v>36027</v>
      </c>
      <c r="J317" s="223" t="inlineStr">
        <is>
          <t>អនុញ្ញាត (បានប្រកាស)</t>
        </is>
      </c>
      <c r="K317" s="223" t="n"/>
      <c r="L317" s="626">
        <f>I317</f>
        <v/>
      </c>
      <c r="M317" s="598">
        <f>I317-L317</f>
        <v/>
      </c>
      <c r="N317" s="223" t="n"/>
      <c r="O317" s="228">
        <f>U317=E317</f>
        <v/>
      </c>
      <c r="P317" s="228">
        <f>MONTH(F317)-MONTH(T317)</f>
        <v/>
      </c>
      <c r="Q317" s="228">
        <f>$B$5=X317</f>
        <v/>
      </c>
      <c r="R317" s="228">
        <f>I317-AD317</f>
        <v/>
      </c>
      <c r="S317" s="371" t="n"/>
      <c r="T317" s="372" t="n">
        <v>45773</v>
      </c>
      <c r="U317" s="371" t="n">
        <v>202500093568</v>
      </c>
      <c r="V317" s="371" t="n">
        <v>0</v>
      </c>
      <c r="W317" s="371" t="inlineStr">
        <is>
          <t>បុគ្គលជាប់អាករ</t>
        </is>
      </c>
      <c r="X317" s="371" t="inlineStr">
        <is>
          <t>L001-901640009</t>
        </is>
      </c>
      <c r="Y317" s="371" t="inlineStr">
        <is>
          <t>ហូលីដេ ឌីហ្សាញ (ខេមបូឌា) ឯ.ក</t>
        </is>
      </c>
      <c r="Z317" s="373" t="n">
        <v>396297</v>
      </c>
      <c r="AA317" s="373" t="n">
        <v>360270</v>
      </c>
      <c r="AB317" s="371" t="n">
        <v>0</v>
      </c>
      <c r="AC317" s="371" t="inlineStr">
        <is>
          <t>-</t>
        </is>
      </c>
      <c r="AD317" s="373" t="n">
        <v>36027</v>
      </c>
      <c r="AE317" s="371" t="n">
        <v>0</v>
      </c>
      <c r="AF317" s="625" t="n">
        <v>0</v>
      </c>
      <c r="AG317" s="205" t="n">
        <v>0</v>
      </c>
      <c r="AH317" s="205" t="n">
        <v>0</v>
      </c>
      <c r="AI317" s="205" t="n">
        <v>0</v>
      </c>
      <c r="AJ317" s="205" t="n">
        <v>0</v>
      </c>
      <c r="AK317" s="205" t="n">
        <v>0</v>
      </c>
      <c r="AL317" s="205" t="n">
        <v>0.01</v>
      </c>
      <c r="AM317" s="205" t="n">
        <v>0</v>
      </c>
      <c r="AN317" s="205" t="inlineStr">
        <is>
          <t>Storage</t>
        </is>
      </c>
    </row>
    <row r="318">
      <c r="A318" s="222">
        <f>A317+1</f>
        <v/>
      </c>
      <c r="B318" s="224" t="inlineStr">
        <is>
          <t>Lift-On &amp; Lift-On-Im</t>
        </is>
      </c>
      <c r="C318" s="224" t="inlineStr">
        <is>
          <t>Port Autonome Du Sihanoukville</t>
        </is>
      </c>
      <c r="D318" s="225" t="inlineStr">
        <is>
          <t>L001-100044638</t>
        </is>
      </c>
      <c r="E318" s="359" t="n">
        <v>202500086733</v>
      </c>
      <c r="F318" s="338" t="n">
        <v>45769</v>
      </c>
      <c r="G318" s="226" t="n"/>
      <c r="H318" s="627" t="n"/>
      <c r="I318" s="627" t="n">
        <v>159760</v>
      </c>
      <c r="J318" s="223" t="inlineStr">
        <is>
          <t>អនុញ្ញាត (បានប្រកាស)</t>
        </is>
      </c>
      <c r="K318" s="223" t="n"/>
      <c r="L318" s="626">
        <f>I318</f>
        <v/>
      </c>
      <c r="M318" s="598">
        <f>I318-L318</f>
        <v/>
      </c>
      <c r="N318" s="223" t="n"/>
      <c r="O318" s="228">
        <f>U318=E318</f>
        <v/>
      </c>
      <c r="P318" s="228">
        <f>MONTH(F318)-MONTH(T318)</f>
        <v/>
      </c>
      <c r="Q318" s="228">
        <f>$B$5=X318</f>
        <v/>
      </c>
      <c r="R318" s="228">
        <f>I318-AD318</f>
        <v/>
      </c>
      <c r="S318" s="371" t="n"/>
      <c r="T318" s="372" t="n">
        <v>45769</v>
      </c>
      <c r="U318" s="371" t="n">
        <v>202500086733</v>
      </c>
      <c r="V318" s="371" t="n">
        <v>0</v>
      </c>
      <c r="W318" s="371" t="inlineStr">
        <is>
          <t>បុគ្គលជាប់អាករ</t>
        </is>
      </c>
      <c r="X318" s="371" t="inlineStr">
        <is>
          <t>L001-901640009</t>
        </is>
      </c>
      <c r="Y318" s="371" t="inlineStr">
        <is>
          <t>ហូលីដេ ឌីហ្សាញ (ខេមបូឌា) ឯ.ក</t>
        </is>
      </c>
      <c r="Z318" s="373" t="n">
        <v>1757356</v>
      </c>
      <c r="AA318" s="373" t="n">
        <v>1597596</v>
      </c>
      <c r="AB318" s="371" t="n">
        <v>0</v>
      </c>
      <c r="AC318" s="371" t="inlineStr">
        <is>
          <t>-</t>
        </is>
      </c>
      <c r="AD318" s="373" t="n">
        <v>159760</v>
      </c>
      <c r="AE318" s="371" t="n">
        <v>0</v>
      </c>
      <c r="AF318" s="625" t="n">
        <v>0</v>
      </c>
      <c r="AG318" s="205" t="n">
        <v>0</v>
      </c>
      <c r="AH318" s="205" t="n">
        <v>0</v>
      </c>
      <c r="AI318" s="205" t="n">
        <v>0</v>
      </c>
      <c r="AJ318" s="205" t="n">
        <v>0</v>
      </c>
      <c r="AK318" s="205" t="n">
        <v>0</v>
      </c>
      <c r="AL318" s="205" t="n">
        <v>0.01</v>
      </c>
      <c r="AM318" s="205" t="n">
        <v>0</v>
      </c>
      <c r="AN318" s="205" t="inlineStr">
        <is>
          <t>LOLO</t>
        </is>
      </c>
    </row>
    <row r="319">
      <c r="A319" s="222">
        <f>A318+1</f>
        <v/>
      </c>
      <c r="B319" s="224" t="inlineStr">
        <is>
          <t>Terminal Handling Charge</t>
        </is>
      </c>
      <c r="C319" s="224" t="inlineStr">
        <is>
          <t>SITC CONTAINER LINES (CAMBODIA) Co., Ltd.</t>
        </is>
      </c>
      <c r="D319" s="225" t="inlineStr">
        <is>
          <t>L001-107035863</t>
        </is>
      </c>
      <c r="E319" s="359" t="inlineStr">
        <is>
          <t>SITC2025-013016</t>
        </is>
      </c>
      <c r="F319" s="338" t="n">
        <v>45764</v>
      </c>
      <c r="G319" s="226" t="n"/>
      <c r="H319" s="627" t="n"/>
      <c r="I319" s="627" t="n">
        <v>865080</v>
      </c>
      <c r="J319" s="223" t="inlineStr">
        <is>
          <t>អនុញ្ញាត (បានប្រកាស)</t>
        </is>
      </c>
      <c r="K319" s="223" t="n"/>
      <c r="L319" s="626">
        <f>I319</f>
        <v/>
      </c>
      <c r="M319" s="598">
        <f>I319-L319</f>
        <v/>
      </c>
      <c r="N319" s="223" t="n"/>
      <c r="O319" s="228">
        <f>U319=E319</f>
        <v/>
      </c>
      <c r="P319" s="228">
        <f>MONTH(F319)-MONTH(T319)</f>
        <v/>
      </c>
      <c r="Q319" s="228">
        <f>$B$5=X319</f>
        <v/>
      </c>
      <c r="R319" s="228">
        <f>I319-AD319</f>
        <v/>
      </c>
      <c r="S319" s="371" t="n"/>
      <c r="T319" s="372" t="n">
        <v>45764</v>
      </c>
      <c r="U319" s="371" t="inlineStr">
        <is>
          <t>SITC2025-013016</t>
        </is>
      </c>
      <c r="V319" s="371" t="n">
        <v>0</v>
      </c>
      <c r="W319" s="371" t="inlineStr">
        <is>
          <t>បុគ្គលជាប់អាករ</t>
        </is>
      </c>
      <c r="X319" s="371" t="inlineStr">
        <is>
          <t>L001-901640009</t>
        </is>
      </c>
      <c r="Y319" s="371" t="inlineStr">
        <is>
          <t>ហូលីដេ ឌីហ្សាញ (ខេមបូឌា) ឯ.ក</t>
        </is>
      </c>
      <c r="Z319" s="373" t="n">
        <v>9515880</v>
      </c>
      <c r="AA319" s="373" t="n">
        <v>8650800</v>
      </c>
      <c r="AB319" s="371" t="n">
        <v>0</v>
      </c>
      <c r="AC319" s="371" t="inlineStr">
        <is>
          <t>-</t>
        </is>
      </c>
      <c r="AD319" s="373" t="n">
        <v>865080</v>
      </c>
      <c r="AE319" s="371" t="n">
        <v>0</v>
      </c>
      <c r="AF319" s="625" t="n">
        <v>0</v>
      </c>
      <c r="AG319" s="205" t="n">
        <v>0</v>
      </c>
      <c r="AH319" s="205" t="n">
        <v>0</v>
      </c>
      <c r="AI319" s="205" t="n">
        <v>0</v>
      </c>
      <c r="AJ319" s="205" t="n">
        <v>0</v>
      </c>
      <c r="AK319" s="205" t="n">
        <v>0</v>
      </c>
      <c r="AL319" s="205" t="n">
        <v>0.01</v>
      </c>
      <c r="AM319" s="205" t="n">
        <v>0</v>
      </c>
      <c r="AN319" s="205" t="inlineStr">
        <is>
          <t>KHDOC,KHTHC,KHCIC,EMF,EIB</t>
        </is>
      </c>
    </row>
    <row r="320">
      <c r="A320" s="222">
        <f>A319+1</f>
        <v/>
      </c>
      <c r="B320" s="224" t="inlineStr">
        <is>
          <t>Trucking &amp; Clearance-Im</t>
        </is>
      </c>
      <c r="C320" s="224" t="inlineStr">
        <is>
          <t>BRILLIANT TRANSPORT AND TRADING Co., Ltd.</t>
        </is>
      </c>
      <c r="D320" s="225" t="inlineStr">
        <is>
          <t>K002-100089305</t>
        </is>
      </c>
      <c r="E320" s="359" t="inlineStr">
        <is>
          <t>BTT25-0000923</t>
        </is>
      </c>
      <c r="F320" s="338" t="n">
        <v>45768</v>
      </c>
      <c r="G320" s="226" t="n"/>
      <c r="H320" s="627" t="n"/>
      <c r="I320" s="627" t="n">
        <v>1733299</v>
      </c>
      <c r="J320" s="223" t="inlineStr">
        <is>
          <t>អនុញ្ញាត (បានប្រកាស)</t>
        </is>
      </c>
      <c r="K320" s="223" t="n"/>
      <c r="L320" s="626">
        <f>I320</f>
        <v/>
      </c>
      <c r="M320" s="598">
        <f>I320-L320</f>
        <v/>
      </c>
      <c r="N320" s="223" t="n"/>
      <c r="O320" s="228">
        <f>U320=E320</f>
        <v/>
      </c>
      <c r="P320" s="228">
        <f>MONTH(F320)-MONTH(T320)</f>
        <v/>
      </c>
      <c r="Q320" s="228">
        <f>$B$5=X320</f>
        <v/>
      </c>
      <c r="R320" s="228">
        <f>I320-AD320</f>
        <v/>
      </c>
      <c r="S320" s="371" t="n"/>
      <c r="T320" s="372" t="n">
        <v>45768</v>
      </c>
      <c r="U320" s="371" t="inlineStr">
        <is>
          <t>BTT25-0000923</t>
        </is>
      </c>
      <c r="V320" s="371" t="n">
        <v>0</v>
      </c>
      <c r="W320" s="371" t="inlineStr">
        <is>
          <t>បុគ្គលជាប់អាករ</t>
        </is>
      </c>
      <c r="X320" s="371" t="inlineStr">
        <is>
          <t>L001-901640009</t>
        </is>
      </c>
      <c r="Y320" s="371" t="inlineStr">
        <is>
          <t>ហូលីដេ ឌីហ្សាញ (ខេមបូឌា) ឯ.ក</t>
        </is>
      </c>
      <c r="Z320" s="373" t="n">
        <v>19066289</v>
      </c>
      <c r="AA320" s="373" t="n">
        <v>17332990</v>
      </c>
      <c r="AB320" s="371" t="n">
        <v>0</v>
      </c>
      <c r="AC320" s="371" t="inlineStr">
        <is>
          <t>-</t>
        </is>
      </c>
      <c r="AD320" s="373" t="n">
        <v>1733299</v>
      </c>
      <c r="AE320" s="371" t="n">
        <v>0</v>
      </c>
      <c r="AF320" s="625" t="n">
        <v>0</v>
      </c>
      <c r="AG320" s="205" t="n">
        <v>0</v>
      </c>
      <c r="AH320" s="205" t="n">
        <v>0</v>
      </c>
      <c r="AI320" s="205" t="n">
        <v>0</v>
      </c>
      <c r="AJ320" s="205" t="n">
        <v>0</v>
      </c>
      <c r="AK320" s="205" t="n">
        <v>0</v>
      </c>
      <c r="AL320" s="205" t="n">
        <v>0.01</v>
      </c>
      <c r="AM320" s="205" t="n">
        <v>0</v>
      </c>
      <c r="AN320" s="205" t="inlineStr">
        <is>
          <t>Truking / Service</t>
        </is>
      </c>
    </row>
    <row r="321">
      <c r="A321" s="222">
        <f>A320+1</f>
        <v/>
      </c>
      <c r="B321" s="224" t="inlineStr">
        <is>
          <t>THC, Doc, EMF, CIC Fee-Im</t>
        </is>
      </c>
      <c r="C321" s="224" t="inlineStr">
        <is>
          <t>KERRY LOGISTICS (CAMBODIA) PTE. LTD.</t>
        </is>
      </c>
      <c r="D321" s="225" t="inlineStr">
        <is>
          <t>L001-100074669</t>
        </is>
      </c>
      <c r="E321" s="359" t="inlineStr">
        <is>
          <t>IVP06305</t>
        </is>
      </c>
      <c r="F321" s="338" t="n">
        <v>45770</v>
      </c>
      <c r="G321" s="226" t="n"/>
      <c r="H321" s="627" t="n"/>
      <c r="I321" s="627" t="n">
        <v>902677</v>
      </c>
      <c r="J321" s="223" t="inlineStr">
        <is>
          <t>អនុញ្ញាត (បានប្រកាស)</t>
        </is>
      </c>
      <c r="K321" s="223" t="n"/>
      <c r="L321" s="626">
        <f>I321</f>
        <v/>
      </c>
      <c r="M321" s="598">
        <f>I321-L321</f>
        <v/>
      </c>
      <c r="N321" s="223" t="n"/>
      <c r="O321" s="228">
        <f>U321=E321</f>
        <v/>
      </c>
      <c r="P321" s="228">
        <f>MONTH(F321)-MONTH(T321)</f>
        <v/>
      </c>
      <c r="Q321" s="228">
        <f>$B$5=X321</f>
        <v/>
      </c>
      <c r="R321" s="228">
        <f>I321-AD321</f>
        <v/>
      </c>
      <c r="S321" s="371" t="n"/>
      <c r="T321" s="372" t="n">
        <v>45770</v>
      </c>
      <c r="U321" s="371" t="inlineStr">
        <is>
          <t>IVP06305</t>
        </is>
      </c>
      <c r="V321" s="371" t="n">
        <v>0</v>
      </c>
      <c r="W321" s="371" t="inlineStr">
        <is>
          <t>បុគ្គលជាប់អាករ</t>
        </is>
      </c>
      <c r="X321" s="371" t="inlineStr">
        <is>
          <t>L001-901640009</t>
        </is>
      </c>
      <c r="Y321" s="371" t="inlineStr">
        <is>
          <t>ហូលីដេ ឌីហ្សាញ (ខេមបូឌា) ឯ.ក</t>
        </is>
      </c>
      <c r="Z321" s="373" t="n">
        <v>9929442</v>
      </c>
      <c r="AA321" s="373" t="n">
        <v>9026765</v>
      </c>
      <c r="AB321" s="371" t="n">
        <v>0</v>
      </c>
      <c r="AC321" s="371" t="inlineStr">
        <is>
          <t>-</t>
        </is>
      </c>
      <c r="AD321" s="373" t="n">
        <v>902677</v>
      </c>
      <c r="AE321" s="371" t="n">
        <v>0</v>
      </c>
      <c r="AF321" s="625" t="n">
        <v>0</v>
      </c>
      <c r="AG321" s="205" t="n">
        <v>0</v>
      </c>
      <c r="AH321" s="205" t="n">
        <v>0</v>
      </c>
      <c r="AI321" s="205" t="n">
        <v>0</v>
      </c>
      <c r="AJ321" s="205" t="n">
        <v>0</v>
      </c>
      <c r="AK321" s="205" t="n">
        <v>0</v>
      </c>
      <c r="AL321" s="205" t="n">
        <v>0.01</v>
      </c>
      <c r="AM321" s="205" t="n">
        <v>0</v>
      </c>
      <c r="AN321" s="205" t="inlineStr">
        <is>
          <t>នាំចូលទំនិញតាមផ្លូវទឹក</t>
        </is>
      </c>
      <c r="AO321" s="205" t="inlineStr">
        <is>
          <t>បានប្រកាសនិងបង់ពន្ធ</t>
        </is>
      </c>
    </row>
    <row r="322">
      <c r="A322" s="222">
        <f>A321+1</f>
        <v/>
      </c>
      <c r="B322" s="224" t="inlineStr">
        <is>
          <t>Lift-On &amp; Lift-On-Im</t>
        </is>
      </c>
      <c r="C322" s="224" t="inlineStr">
        <is>
          <t>Port Autonome Du Sihanoukville</t>
        </is>
      </c>
      <c r="D322" s="225" t="inlineStr">
        <is>
          <t>L001-100044638</t>
        </is>
      </c>
      <c r="E322" s="359" t="n">
        <v>202500096301</v>
      </c>
      <c r="F322" s="338" t="n">
        <v>45777</v>
      </c>
      <c r="G322" s="226" t="n"/>
      <c r="H322" s="627" t="n"/>
      <c r="I322" s="627" t="n">
        <v>174131</v>
      </c>
      <c r="J322" s="223" t="inlineStr">
        <is>
          <t>អនុញ្ញាត (បានប្រកាស)</t>
        </is>
      </c>
      <c r="K322" s="223" t="n"/>
      <c r="L322" s="626">
        <f>I322</f>
        <v/>
      </c>
      <c r="M322" s="598">
        <f>I322-L322</f>
        <v/>
      </c>
      <c r="N322" s="223" t="n"/>
      <c r="O322" s="228">
        <f>U322=E322</f>
        <v/>
      </c>
      <c r="P322" s="228">
        <f>MONTH(F322)-MONTH(T322)</f>
        <v/>
      </c>
      <c r="Q322" s="228">
        <f>$B$5=X322</f>
        <v/>
      </c>
      <c r="R322" s="228">
        <f>I322-AD322</f>
        <v/>
      </c>
      <c r="S322" s="371" t="n"/>
      <c r="T322" s="372" t="n">
        <v>45777</v>
      </c>
      <c r="U322" s="371" t="n">
        <v>202500096301</v>
      </c>
      <c r="V322" s="371" t="n">
        <v>0</v>
      </c>
      <c r="W322" s="371" t="inlineStr">
        <is>
          <t>បុគ្គលជាប់អាករ</t>
        </is>
      </c>
      <c r="X322" s="371" t="inlineStr">
        <is>
          <t>L001-901640009</t>
        </is>
      </c>
      <c r="Y322" s="371" t="inlineStr">
        <is>
          <t>ហូលីដេ ឌីហ្សាញ (ខេមបូឌា) ឯ.ក</t>
        </is>
      </c>
      <c r="Z322" s="373" t="n">
        <v>1915436</v>
      </c>
      <c r="AA322" s="373" t="n">
        <v>1741305</v>
      </c>
      <c r="AB322" s="371" t="n">
        <v>0</v>
      </c>
      <c r="AC322" s="371" t="inlineStr">
        <is>
          <t>-</t>
        </is>
      </c>
      <c r="AD322" s="373" t="n">
        <v>174131</v>
      </c>
      <c r="AE322" s="371" t="n">
        <v>0</v>
      </c>
      <c r="AF322" s="625" t="n">
        <v>0</v>
      </c>
      <c r="AG322" s="205" t="n">
        <v>0</v>
      </c>
      <c r="AH322" s="205" t="n">
        <v>0</v>
      </c>
      <c r="AI322" s="205" t="n">
        <v>0</v>
      </c>
      <c r="AJ322" s="205" t="n">
        <v>0</v>
      </c>
      <c r="AK322" s="205" t="n">
        <v>0</v>
      </c>
      <c r="AL322" s="205" t="n">
        <v>0.01</v>
      </c>
      <c r="AM322" s="205" t="n">
        <v>0</v>
      </c>
      <c r="AN322" s="205" t="inlineStr">
        <is>
          <t>LOLO</t>
        </is>
      </c>
    </row>
    <row r="323">
      <c r="A323" s="222">
        <f>A322+1</f>
        <v/>
      </c>
      <c r="B323" s="224" t="inlineStr">
        <is>
          <t>Demurrage Export</t>
        </is>
      </c>
      <c r="C323" s="224" t="inlineStr">
        <is>
          <t>KERRY LOGISTICS (CAMBODIA) PTE. LTD.</t>
        </is>
      </c>
      <c r="D323" s="225" t="inlineStr">
        <is>
          <t>L001-100074669</t>
        </is>
      </c>
      <c r="E323" s="359" t="inlineStr">
        <is>
          <t>IVP08219</t>
        </is>
      </c>
      <c r="F323" s="338" t="n">
        <v>45805</v>
      </c>
      <c r="G323" s="226" t="n"/>
      <c r="H323" s="627" t="n"/>
      <c r="I323" s="627" t="n">
        <v>14411</v>
      </c>
      <c r="J323" s="223" t="inlineStr">
        <is>
          <t>អនុញ្ញាត (បានប្រកាស)</t>
        </is>
      </c>
      <c r="K323" s="223" t="n"/>
      <c r="L323" s="626">
        <f>I323</f>
        <v/>
      </c>
      <c r="M323" s="598">
        <f>I323-L323</f>
        <v/>
      </c>
      <c r="N323" s="223" t="n"/>
      <c r="O323" s="228">
        <f>U323=E323</f>
        <v/>
      </c>
      <c r="P323" s="228">
        <f>MONTH(F323)-MONTH(T323)</f>
        <v/>
      </c>
      <c r="Q323" s="228">
        <f>$B$5=X323</f>
        <v/>
      </c>
      <c r="R323" s="228">
        <f>I323-AD323</f>
        <v/>
      </c>
      <c r="S323" s="371" t="n"/>
      <c r="T323" s="372" t="n">
        <v>45805</v>
      </c>
      <c r="U323" s="371" t="inlineStr">
        <is>
          <t>IVP08219</t>
        </is>
      </c>
      <c r="V323" s="371" t="n">
        <v>0</v>
      </c>
      <c r="W323" s="371" t="inlineStr">
        <is>
          <t>បុគ្គលជាប់អាករ</t>
        </is>
      </c>
      <c r="X323" s="371" t="inlineStr">
        <is>
          <t>L001-901640009</t>
        </is>
      </c>
      <c r="Y323" s="371" t="inlineStr">
        <is>
          <t>ហូលីដេ ឌីហ្សាញ (ខេមបូឌា) ឯ.ក</t>
        </is>
      </c>
      <c r="Z323" s="373" t="n">
        <v>158519</v>
      </c>
      <c r="AA323" s="373" t="n">
        <v>144108</v>
      </c>
      <c r="AB323" s="371" t="n">
        <v>0</v>
      </c>
      <c r="AC323" s="371" t="inlineStr">
        <is>
          <t>-</t>
        </is>
      </c>
      <c r="AD323" s="373" t="n">
        <v>14411</v>
      </c>
      <c r="AE323" s="371" t="n">
        <v>0</v>
      </c>
      <c r="AF323" s="625" t="n">
        <v>0</v>
      </c>
      <c r="AG323" s="205" t="n">
        <v>0</v>
      </c>
      <c r="AH323" s="205" t="n">
        <v>0</v>
      </c>
      <c r="AI323" s="205" t="n">
        <v>0</v>
      </c>
      <c r="AJ323" s="205" t="n">
        <v>0</v>
      </c>
      <c r="AK323" s="205" t="n">
        <v>0</v>
      </c>
      <c r="AL323" s="205" t="n">
        <v>0.01</v>
      </c>
      <c r="AM323" s="205" t="n">
        <v>0</v>
      </c>
      <c r="AN323" s="205" t="inlineStr">
        <is>
          <t>DEMURRAGE-EXPORT</t>
        </is>
      </c>
      <c r="AO323" s="205" t="inlineStr">
        <is>
          <t>បានប្រកាសនិងបង់ពន្ធ</t>
        </is>
      </c>
    </row>
    <row r="324">
      <c r="A324" s="222">
        <f>A323+1</f>
        <v/>
      </c>
      <c r="B324" s="224" t="inlineStr">
        <is>
          <t>Lift-On &amp; Lift-On-Im</t>
        </is>
      </c>
      <c r="C324" s="224" t="inlineStr">
        <is>
          <t>Port Autonome Du Sihanoukville</t>
        </is>
      </c>
      <c r="D324" s="225" t="inlineStr">
        <is>
          <t>L001-100044638</t>
        </is>
      </c>
      <c r="E324" s="359" t="n">
        <v>202500096304</v>
      </c>
      <c r="F324" s="338" t="n">
        <v>45777</v>
      </c>
      <c r="G324" s="226" t="n"/>
      <c r="H324" s="627" t="n"/>
      <c r="I324" s="627" t="n">
        <v>348261</v>
      </c>
      <c r="J324" s="223" t="inlineStr">
        <is>
          <t>អនុញ្ញាត (បានប្រកាស)</t>
        </is>
      </c>
      <c r="K324" s="223" t="n"/>
      <c r="L324" s="626">
        <f>I324</f>
        <v/>
      </c>
      <c r="M324" s="598">
        <f>I324-L324</f>
        <v/>
      </c>
      <c r="N324" s="223" t="n"/>
      <c r="O324" s="228">
        <f>U324=E324</f>
        <v/>
      </c>
      <c r="P324" s="228">
        <f>MONTH(F324)-MONTH(T324)</f>
        <v/>
      </c>
      <c r="Q324" s="228">
        <f>$B$5=X324</f>
        <v/>
      </c>
      <c r="R324" s="228">
        <f>I324-AD324</f>
        <v/>
      </c>
      <c r="S324" s="371" t="n"/>
      <c r="T324" s="372" t="n">
        <v>45777</v>
      </c>
      <c r="U324" s="371" t="n">
        <v>202500096304</v>
      </c>
      <c r="V324" s="371" t="n">
        <v>0</v>
      </c>
      <c r="W324" s="371" t="inlineStr">
        <is>
          <t>បុគ្គលជាប់អាករ</t>
        </is>
      </c>
      <c r="X324" s="371" t="inlineStr">
        <is>
          <t>L001-901640009</t>
        </is>
      </c>
      <c r="Y324" s="371" t="inlineStr">
        <is>
          <t>ហូលីដេ ឌីហ្សាញ (ខេមបូឌា) ឯ.ក</t>
        </is>
      </c>
      <c r="Z324" s="373" t="n">
        <v>3830871</v>
      </c>
      <c r="AA324" s="373" t="n">
        <v>3482610</v>
      </c>
      <c r="AB324" s="371" t="n">
        <v>0</v>
      </c>
      <c r="AC324" s="371" t="inlineStr">
        <is>
          <t>-</t>
        </is>
      </c>
      <c r="AD324" s="373" t="n">
        <v>348261</v>
      </c>
      <c r="AE324" s="371" t="n">
        <v>0</v>
      </c>
      <c r="AF324" s="625" t="n">
        <v>0</v>
      </c>
      <c r="AG324" s="205" t="n">
        <v>0</v>
      </c>
      <c r="AH324" s="205" t="n">
        <v>0</v>
      </c>
      <c r="AI324" s="205" t="n">
        <v>0</v>
      </c>
      <c r="AJ324" s="205" t="n">
        <v>0</v>
      </c>
      <c r="AK324" s="205" t="n">
        <v>0</v>
      </c>
      <c r="AL324" s="205" t="n">
        <v>0.01</v>
      </c>
      <c r="AM324" s="205" t="n">
        <v>0</v>
      </c>
      <c r="AN324" s="205" t="inlineStr">
        <is>
          <t>LOLO</t>
        </is>
      </c>
    </row>
    <row r="325">
      <c r="A325" s="222">
        <f>A324+1</f>
        <v/>
      </c>
      <c r="B325" s="224" t="inlineStr">
        <is>
          <t>Terminal Handling Charge-Ex</t>
        </is>
      </c>
      <c r="C325" s="224" t="inlineStr">
        <is>
          <t>KERRY LOGISTICS (CAMBODIA) PTE. LTD.</t>
        </is>
      </c>
      <c r="D325" s="225" t="inlineStr">
        <is>
          <t>L001-100074669</t>
        </is>
      </c>
      <c r="E325" s="359" t="inlineStr">
        <is>
          <t>IVP08004</t>
        </is>
      </c>
      <c r="F325" s="338" t="n">
        <v>45801</v>
      </c>
      <c r="G325" s="226" t="n"/>
      <c r="H325" s="627" t="n"/>
      <c r="I325" s="627" t="n">
        <v>110083</v>
      </c>
      <c r="J325" s="223" t="inlineStr">
        <is>
          <t>អនុញ្ញាត (បានប្រកាស)</t>
        </is>
      </c>
      <c r="K325" s="223" t="n"/>
      <c r="L325" s="626">
        <f>I325</f>
        <v/>
      </c>
      <c r="M325" s="598">
        <f>I325-L325</f>
        <v/>
      </c>
      <c r="N325" s="223" t="n"/>
      <c r="O325" s="228">
        <f>U325=E325</f>
        <v/>
      </c>
      <c r="P325" s="228">
        <f>MONTH(F325)-MONTH(T325)</f>
        <v/>
      </c>
      <c r="Q325" s="228">
        <f>$B$5=X325</f>
        <v/>
      </c>
      <c r="R325" s="228">
        <f>I325-AD325</f>
        <v/>
      </c>
      <c r="S325" s="371" t="n"/>
      <c r="T325" s="372" t="n">
        <v>45801</v>
      </c>
      <c r="U325" s="371" t="inlineStr">
        <is>
          <t>IVP08004</t>
        </is>
      </c>
      <c r="V325" s="371" t="n">
        <v>0</v>
      </c>
      <c r="W325" s="371" t="inlineStr">
        <is>
          <t>បុគ្គលជាប់អាករ</t>
        </is>
      </c>
      <c r="X325" s="371" t="inlineStr">
        <is>
          <t>L001-901640009</t>
        </is>
      </c>
      <c r="Y325" s="371" t="inlineStr">
        <is>
          <t>ហូលីដេ ឌីហ្សាញ (ខេមបូឌា) ឯ.ក</t>
        </is>
      </c>
      <c r="Z325" s="373" t="n">
        <v>1210908</v>
      </c>
      <c r="AA325" s="373" t="n">
        <v>1100825</v>
      </c>
      <c r="AB325" s="371" t="n">
        <v>0</v>
      </c>
      <c r="AC325" s="371" t="inlineStr">
        <is>
          <t>-</t>
        </is>
      </c>
      <c r="AD325" s="373" t="n">
        <v>110083</v>
      </c>
      <c r="AE325" s="371" t="n">
        <v>0</v>
      </c>
      <c r="AF325" s="625" t="n">
        <v>0</v>
      </c>
      <c r="AG325" s="205" t="n">
        <v>0</v>
      </c>
      <c r="AH325" s="205" t="n">
        <v>0</v>
      </c>
      <c r="AI325" s="205" t="n">
        <v>0</v>
      </c>
      <c r="AJ325" s="205" t="n">
        <v>0</v>
      </c>
      <c r="AK325" s="205" t="n">
        <v>0</v>
      </c>
      <c r="AL325" s="205" t="n">
        <v>0.01</v>
      </c>
      <c r="AM325" s="205" t="n">
        <v>0</v>
      </c>
      <c r="AN325" s="205" t="inlineStr">
        <is>
          <t>នាំចេញទំនិញតាមផ្លូវទឹក</t>
        </is>
      </c>
      <c r="AO325" s="205" t="inlineStr">
        <is>
          <t>បានប្រកាសនិងបង់ពន្ធ</t>
        </is>
      </c>
    </row>
    <row r="326">
      <c r="A326" s="222">
        <f>A325+1</f>
        <v/>
      </c>
      <c r="B326" s="224" t="inlineStr">
        <is>
          <t>Storage charges-Im</t>
        </is>
      </c>
      <c r="C326" s="224" t="inlineStr">
        <is>
          <t>Port Autonome Du Sihanoukville</t>
        </is>
      </c>
      <c r="D326" s="225" t="inlineStr">
        <is>
          <t>L001-100044638</t>
        </is>
      </c>
      <c r="E326" s="359" t="n">
        <v>202500093595</v>
      </c>
      <c r="F326" s="338" t="n">
        <v>45773</v>
      </c>
      <c r="G326" s="226" t="n"/>
      <c r="H326" s="627" t="n"/>
      <c r="I326" s="627" t="n">
        <v>2402</v>
      </c>
      <c r="J326" s="223" t="inlineStr">
        <is>
          <t>អនុញ្ញាត (បានប្រកាស)</t>
        </is>
      </c>
      <c r="K326" s="223" t="n"/>
      <c r="L326" s="626">
        <f>I326</f>
        <v/>
      </c>
      <c r="M326" s="598">
        <f>I326-L326</f>
        <v/>
      </c>
      <c r="N326" s="223" t="n"/>
      <c r="O326" s="228">
        <f>U326=E326</f>
        <v/>
      </c>
      <c r="P326" s="228">
        <f>MONTH(F326)-MONTH(T326)</f>
        <v/>
      </c>
      <c r="Q326" s="228">
        <f>$B$5=X326</f>
        <v/>
      </c>
      <c r="R326" s="228">
        <f>I326-AD326</f>
        <v/>
      </c>
      <c r="S326" s="371" t="n"/>
      <c r="T326" s="372" t="n">
        <v>45773</v>
      </c>
      <c r="U326" s="371" t="n">
        <v>202500093595</v>
      </c>
      <c r="V326" s="371" t="n">
        <v>0</v>
      </c>
      <c r="W326" s="371" t="inlineStr">
        <is>
          <t>បុគ្គលជាប់អាករ</t>
        </is>
      </c>
      <c r="X326" s="371" t="inlineStr">
        <is>
          <t>L001-901640009</t>
        </is>
      </c>
      <c r="Y326" s="371" t="inlineStr">
        <is>
          <t>ហូលីដេ ឌីហ្សាញ (ខេមបូឌា) ឯ.ក</t>
        </is>
      </c>
      <c r="Z326" s="373" t="n">
        <v>26420</v>
      </c>
      <c r="AA326" s="373" t="n">
        <v>24018</v>
      </c>
      <c r="AB326" s="371" t="n">
        <v>0</v>
      </c>
      <c r="AC326" s="371" t="inlineStr">
        <is>
          <t>-</t>
        </is>
      </c>
      <c r="AD326" s="373" t="n">
        <v>2402</v>
      </c>
      <c r="AE326" s="371" t="n">
        <v>0</v>
      </c>
      <c r="AF326" s="625" t="n">
        <v>0</v>
      </c>
      <c r="AG326" s="205" t="n">
        <v>0</v>
      </c>
      <c r="AH326" s="205" t="n">
        <v>0</v>
      </c>
      <c r="AI326" s="205" t="n">
        <v>0</v>
      </c>
      <c r="AJ326" s="205" t="n">
        <v>0</v>
      </c>
      <c r="AK326" s="205" t="n">
        <v>0</v>
      </c>
      <c r="AL326" s="205" t="n">
        <v>0.01</v>
      </c>
      <c r="AM326" s="205" t="n">
        <v>0</v>
      </c>
      <c r="AN326" s="205" t="inlineStr">
        <is>
          <t>Storage</t>
        </is>
      </c>
    </row>
    <row r="327">
      <c r="A327" s="222">
        <f>A326+1</f>
        <v/>
      </c>
      <c r="B327" s="224" t="inlineStr">
        <is>
          <t>Trucking &amp; Clearance-Im</t>
        </is>
      </c>
      <c r="C327" s="224" t="inlineStr">
        <is>
          <t>BRILLIANT TRANSPORT AND TRADING Co., Ltd.</t>
        </is>
      </c>
      <c r="D327" s="225" t="inlineStr">
        <is>
          <t>K002-100089305</t>
        </is>
      </c>
      <c r="E327" s="359" t="inlineStr">
        <is>
          <t>BTT25-0000742</t>
        </is>
      </c>
      <c r="F327" s="338" t="n">
        <v>45751</v>
      </c>
      <c r="G327" s="226" t="n"/>
      <c r="H327" s="627" t="n"/>
      <c r="I327" s="627" t="n">
        <v>1084813</v>
      </c>
      <c r="J327" s="223" t="inlineStr">
        <is>
          <t>អនុញ្ញាត (បានប្រកាស)</t>
        </is>
      </c>
      <c r="K327" s="223" t="n"/>
      <c r="L327" s="626">
        <f>I327</f>
        <v/>
      </c>
      <c r="M327" s="598">
        <f>I327-L327</f>
        <v/>
      </c>
      <c r="N327" s="223" t="n"/>
      <c r="O327" s="228">
        <f>U327=E327</f>
        <v/>
      </c>
      <c r="P327" s="228">
        <f>MONTH(F327)-MONTH(T327)</f>
        <v/>
      </c>
      <c r="Q327" s="228">
        <f>$B$5=X327</f>
        <v/>
      </c>
      <c r="R327" s="228">
        <f>I327-AD327</f>
        <v/>
      </c>
      <c r="S327" s="371" t="n"/>
      <c r="T327" s="372" t="n">
        <v>45751</v>
      </c>
      <c r="U327" s="371" t="inlineStr">
        <is>
          <t>BTT25-0000742</t>
        </is>
      </c>
      <c r="V327" s="371" t="n">
        <v>0</v>
      </c>
      <c r="W327" s="371" t="inlineStr">
        <is>
          <t>បុគ្គលជាប់អាករ</t>
        </is>
      </c>
      <c r="X327" s="371" t="inlineStr">
        <is>
          <t>L001-901640009</t>
        </is>
      </c>
      <c r="Y327" s="371" t="inlineStr">
        <is>
          <t>ហូលីដេ ឌីហ្សាញ (ខេមបូឌា) ឯ.ក</t>
        </is>
      </c>
      <c r="Z327" s="373" t="n">
        <v>11932943</v>
      </c>
      <c r="AA327" s="373" t="n">
        <v>10848130</v>
      </c>
      <c r="AB327" s="371" t="n">
        <v>0</v>
      </c>
      <c r="AC327" s="371" t="inlineStr">
        <is>
          <t>-</t>
        </is>
      </c>
      <c r="AD327" s="373" t="n">
        <v>1084813</v>
      </c>
      <c r="AE327" s="371" t="n">
        <v>0</v>
      </c>
      <c r="AF327" s="625" t="n">
        <v>0</v>
      </c>
      <c r="AG327" s="205" t="n">
        <v>0</v>
      </c>
      <c r="AH327" s="205" t="n">
        <v>0</v>
      </c>
      <c r="AI327" s="205" t="n">
        <v>0</v>
      </c>
      <c r="AJ327" s="205" t="n">
        <v>0</v>
      </c>
      <c r="AK327" s="205" t="n">
        <v>0</v>
      </c>
      <c r="AL327" s="205" t="n">
        <v>0.01</v>
      </c>
      <c r="AM327" s="205" t="n">
        <v>0</v>
      </c>
      <c r="AN327" s="205" t="inlineStr">
        <is>
          <t>Truking / Service</t>
        </is>
      </c>
    </row>
    <row r="328">
      <c r="A328" s="222">
        <f>A327+1</f>
        <v/>
      </c>
      <c r="B328" s="224" t="inlineStr">
        <is>
          <t>Lift-On &amp; Lift-On-Im</t>
        </is>
      </c>
      <c r="C328" s="224" t="inlineStr">
        <is>
          <t>Port Autonome Du Sihanoukville</t>
        </is>
      </c>
      <c r="D328" s="225" t="inlineStr">
        <is>
          <t>L001-100044638</t>
        </is>
      </c>
      <c r="E328" s="359" t="n">
        <v>202500080080</v>
      </c>
      <c r="F328" s="338" t="n">
        <v>45758</v>
      </c>
      <c r="G328" s="226" t="n"/>
      <c r="H328" s="627" t="n"/>
      <c r="I328" s="627" t="n">
        <v>205508</v>
      </c>
      <c r="J328" s="223" t="inlineStr">
        <is>
          <t>អនុញ្ញាត (បានប្រកាស)</t>
        </is>
      </c>
      <c r="K328" s="223" t="n"/>
      <c r="L328" s="626">
        <f>I328</f>
        <v/>
      </c>
      <c r="M328" s="598">
        <f>I328-L328</f>
        <v/>
      </c>
      <c r="N328" s="223" t="n"/>
      <c r="O328" s="228">
        <f>U328=E328</f>
        <v/>
      </c>
      <c r="P328" s="228">
        <f>MONTH(F328)-MONTH(T328)</f>
        <v/>
      </c>
      <c r="Q328" s="228">
        <f>$B$5=X328</f>
        <v/>
      </c>
      <c r="R328" s="228">
        <f>I328-AD328</f>
        <v/>
      </c>
      <c r="S328" s="371" t="n"/>
      <c r="T328" s="372" t="n">
        <v>45758</v>
      </c>
      <c r="U328" s="371" t="n">
        <v>202500080080</v>
      </c>
      <c r="V328" s="371" t="n">
        <v>0</v>
      </c>
      <c r="W328" s="371" t="inlineStr">
        <is>
          <t>បុគ្គលជាប់អាករ</t>
        </is>
      </c>
      <c r="X328" s="371" t="inlineStr">
        <is>
          <t>L001-901640009</t>
        </is>
      </c>
      <c r="Y328" s="371" t="inlineStr">
        <is>
          <t>ហូលីដេ ឌីហ្សាញ (ខេមបូឌា) ឯ.ក</t>
        </is>
      </c>
      <c r="Z328" s="373" t="n">
        <v>2260586</v>
      </c>
      <c r="AA328" s="373" t="n">
        <v>2055078</v>
      </c>
      <c r="AB328" s="371" t="n">
        <v>0</v>
      </c>
      <c r="AC328" s="371" t="inlineStr">
        <is>
          <t>-</t>
        </is>
      </c>
      <c r="AD328" s="373" t="n">
        <v>205508</v>
      </c>
      <c r="AE328" s="371" t="n">
        <v>0</v>
      </c>
      <c r="AF328" s="625" t="n">
        <v>0</v>
      </c>
      <c r="AG328" s="205" t="n">
        <v>0</v>
      </c>
      <c r="AH328" s="205" t="n">
        <v>0</v>
      </c>
      <c r="AI328" s="205" t="n">
        <v>0</v>
      </c>
      <c r="AJ328" s="205" t="n">
        <v>0</v>
      </c>
      <c r="AK328" s="205" t="n">
        <v>0</v>
      </c>
      <c r="AL328" s="205" t="n">
        <v>0.01</v>
      </c>
      <c r="AM328" s="205" t="n">
        <v>0</v>
      </c>
      <c r="AN328" s="205" t="inlineStr">
        <is>
          <t>LOLO</t>
        </is>
      </c>
    </row>
    <row r="329">
      <c r="A329" s="222">
        <f>A328+1</f>
        <v/>
      </c>
      <c r="B329" s="224" t="inlineStr">
        <is>
          <t>Terminal Handling Charge</t>
        </is>
      </c>
      <c r="C329" s="224" t="inlineStr">
        <is>
          <t>SITC CONTAINER LINES (CAMBODIA) Co., Ltd.</t>
        </is>
      </c>
      <c r="D329" s="225" t="inlineStr">
        <is>
          <t>L001-107035863</t>
        </is>
      </c>
      <c r="E329" s="359" t="inlineStr">
        <is>
          <t>SITC2025-011486</t>
        </is>
      </c>
      <c r="F329" s="338" t="n">
        <v>45754</v>
      </c>
      <c r="G329" s="226" t="n"/>
      <c r="H329" s="627" t="n"/>
      <c r="I329" s="627" t="n">
        <v>1104552</v>
      </c>
      <c r="J329" s="223" t="inlineStr">
        <is>
          <t>អនុញ្ញាត (បានប្រកាស)</t>
        </is>
      </c>
      <c r="K329" s="223" t="n"/>
      <c r="L329" s="626">
        <f>I329</f>
        <v/>
      </c>
      <c r="M329" s="598">
        <f>I329-L329</f>
        <v/>
      </c>
      <c r="N329" s="223" t="n"/>
      <c r="O329" s="228">
        <f>U329=E329</f>
        <v/>
      </c>
      <c r="P329" s="228">
        <f>MONTH(F329)-MONTH(T329)</f>
        <v/>
      </c>
      <c r="Q329" s="228">
        <f>$B$5=X329</f>
        <v/>
      </c>
      <c r="R329" s="228">
        <f>I329-AD329</f>
        <v/>
      </c>
      <c r="S329" s="371" t="n"/>
      <c r="T329" s="372" t="n">
        <v>45754</v>
      </c>
      <c r="U329" s="371" t="inlineStr">
        <is>
          <t>SITC2025-011486</t>
        </is>
      </c>
      <c r="V329" s="371" t="n">
        <v>0</v>
      </c>
      <c r="W329" s="371" t="inlineStr">
        <is>
          <t>បុគ្គលជាប់អាករ</t>
        </is>
      </c>
      <c r="X329" s="371" t="inlineStr">
        <is>
          <t>L001-901640009</t>
        </is>
      </c>
      <c r="Y329" s="371" t="inlineStr">
        <is>
          <t>ហូលីដេ ឌីហ្សាញ (ខេមបូឌា) ឯ.ក</t>
        </is>
      </c>
      <c r="Z329" s="373" t="n">
        <v>12150072</v>
      </c>
      <c r="AA329" s="373" t="n">
        <v>11045520</v>
      </c>
      <c r="AB329" s="371" t="n">
        <v>0</v>
      </c>
      <c r="AC329" s="371" t="inlineStr">
        <is>
          <t>-</t>
        </is>
      </c>
      <c r="AD329" s="373" t="n">
        <v>1104552</v>
      </c>
      <c r="AE329" s="371" t="n">
        <v>0</v>
      </c>
      <c r="AF329" s="625" t="n">
        <v>0</v>
      </c>
      <c r="AG329" s="205" t="n">
        <v>0</v>
      </c>
      <c r="AH329" s="205" t="n">
        <v>0</v>
      </c>
      <c r="AI329" s="205" t="n">
        <v>0</v>
      </c>
      <c r="AJ329" s="205" t="n">
        <v>0</v>
      </c>
      <c r="AK329" s="205" t="n">
        <v>0</v>
      </c>
      <c r="AL329" s="205" t="n">
        <v>0.01</v>
      </c>
      <c r="AM329" s="205" t="n">
        <v>0</v>
      </c>
      <c r="AN329" s="205" t="inlineStr">
        <is>
          <t>KHDOC,KHCIC,EMF,KHTHC,EIB</t>
        </is>
      </c>
    </row>
    <row r="330">
      <c r="A330" s="222">
        <f>A329+1</f>
        <v/>
      </c>
      <c r="B330" s="224" t="inlineStr">
        <is>
          <t>Trucking &amp; Clearance-Im</t>
        </is>
      </c>
      <c r="C330" s="224" t="inlineStr">
        <is>
          <t>BRILLIANT TRANSPORT AND TRADING Co., Ltd.</t>
        </is>
      </c>
      <c r="D330" s="225" t="inlineStr">
        <is>
          <t>K002-100089305</t>
        </is>
      </c>
      <c r="E330" s="359" t="inlineStr">
        <is>
          <t>BTT25-0000879</t>
        </is>
      </c>
      <c r="F330" s="338" t="n">
        <v>45758</v>
      </c>
      <c r="G330" s="226" t="n"/>
      <c r="H330" s="627" t="n"/>
      <c r="I330" s="627" t="n">
        <v>2223330</v>
      </c>
      <c r="J330" s="223" t="inlineStr">
        <is>
          <t>អនុញ្ញាត (បានប្រកាស)</t>
        </is>
      </c>
      <c r="K330" s="223" t="n"/>
      <c r="L330" s="626">
        <f>I330</f>
        <v/>
      </c>
      <c r="M330" s="598">
        <f>I330-L330</f>
        <v/>
      </c>
      <c r="N330" s="223" t="n"/>
      <c r="O330" s="228">
        <f>U330=E330</f>
        <v/>
      </c>
      <c r="P330" s="228">
        <f>MONTH(F330)-MONTH(T330)</f>
        <v/>
      </c>
      <c r="Q330" s="228">
        <f>$B$5=X330</f>
        <v/>
      </c>
      <c r="R330" s="228">
        <f>I330-AD330</f>
        <v/>
      </c>
      <c r="S330" s="371" t="n"/>
      <c r="T330" s="372" t="n">
        <v>45758</v>
      </c>
      <c r="U330" s="371" t="inlineStr">
        <is>
          <t>BTT25-0000879</t>
        </is>
      </c>
      <c r="V330" s="371" t="n">
        <v>0</v>
      </c>
      <c r="W330" s="371" t="inlineStr">
        <is>
          <t>បុគ្គលជាប់អាករ</t>
        </is>
      </c>
      <c r="X330" s="371" t="inlineStr">
        <is>
          <t>L001-901640009</t>
        </is>
      </c>
      <c r="Y330" s="371" t="inlineStr">
        <is>
          <t>ហូលីដេ ឌីហ្សាញ (ខេមបូឌា) ឯ.ក</t>
        </is>
      </c>
      <c r="Z330" s="373" t="n">
        <v>24456630</v>
      </c>
      <c r="AA330" s="373" t="n">
        <v>22233300</v>
      </c>
      <c r="AB330" s="371" t="n">
        <v>0</v>
      </c>
      <c r="AC330" s="371" t="inlineStr">
        <is>
          <t>-</t>
        </is>
      </c>
      <c r="AD330" s="373" t="n">
        <v>2223330</v>
      </c>
      <c r="AE330" s="371" t="n">
        <v>0</v>
      </c>
      <c r="AF330" s="625" t="n">
        <v>0</v>
      </c>
      <c r="AG330" s="205" t="n">
        <v>0</v>
      </c>
      <c r="AH330" s="205" t="n">
        <v>0</v>
      </c>
      <c r="AI330" s="205" t="n">
        <v>0</v>
      </c>
      <c r="AJ330" s="205" t="n">
        <v>0</v>
      </c>
      <c r="AK330" s="205" t="n">
        <v>0</v>
      </c>
      <c r="AL330" s="205" t="n">
        <v>0.01</v>
      </c>
      <c r="AM330" s="205" t="n">
        <v>0</v>
      </c>
      <c r="AN330" s="205" t="inlineStr">
        <is>
          <t>Truking / Service</t>
        </is>
      </c>
    </row>
    <row r="331">
      <c r="A331" s="222">
        <f>A330+1</f>
        <v/>
      </c>
      <c r="B331" s="224" t="inlineStr">
        <is>
          <t>Lift-On &amp; Lift-On-Im</t>
        </is>
      </c>
      <c r="C331" s="224" t="inlineStr">
        <is>
          <t>Port Autonome Du Sihanoukville</t>
        </is>
      </c>
      <c r="D331" s="225" t="inlineStr">
        <is>
          <t>L001-100044638</t>
        </is>
      </c>
      <c r="E331" s="359" t="n">
        <v>202500074487</v>
      </c>
      <c r="F331" s="338" t="n">
        <v>45754</v>
      </c>
      <c r="G331" s="226" t="n"/>
      <c r="H331" s="627" t="n"/>
      <c r="I331" s="627" t="n">
        <v>487444</v>
      </c>
      <c r="J331" s="223" t="inlineStr">
        <is>
          <t>អនុញ្ញាត (បានប្រកាស)</t>
        </is>
      </c>
      <c r="K331" s="223" t="n"/>
      <c r="L331" s="626">
        <f>I331</f>
        <v/>
      </c>
      <c r="M331" s="598">
        <f>I331-L331</f>
        <v/>
      </c>
      <c r="N331" s="223" t="n"/>
      <c r="O331" s="228">
        <f>U331=E331</f>
        <v/>
      </c>
      <c r="P331" s="228">
        <f>MONTH(F331)-MONTH(T331)</f>
        <v/>
      </c>
      <c r="Q331" s="228">
        <f>$B$5=X331</f>
        <v/>
      </c>
      <c r="R331" s="228">
        <f>I331-AD331</f>
        <v/>
      </c>
      <c r="S331" s="371" t="n"/>
      <c r="T331" s="372" t="n">
        <v>45754</v>
      </c>
      <c r="U331" s="371" t="n">
        <v>202500074487</v>
      </c>
      <c r="V331" s="371" t="n">
        <v>0</v>
      </c>
      <c r="W331" s="371" t="inlineStr">
        <is>
          <t>បុគ្គលជាប់អាករ</t>
        </is>
      </c>
      <c r="X331" s="371" t="inlineStr">
        <is>
          <t>L001-901640009</t>
        </is>
      </c>
      <c r="Y331" s="371" t="inlineStr">
        <is>
          <t>ហូលីដេ ឌីហ្សាញ (ខេមបូឌា) ឯ.ក</t>
        </is>
      </c>
      <c r="Z331" s="373" t="n">
        <v>5361880</v>
      </c>
      <c r="AA331" s="373" t="n">
        <v>4874436</v>
      </c>
      <c r="AB331" s="371" t="n">
        <v>0</v>
      </c>
      <c r="AC331" s="371" t="inlineStr">
        <is>
          <t>-</t>
        </is>
      </c>
      <c r="AD331" s="373" t="n">
        <v>487444</v>
      </c>
      <c r="AE331" s="371" t="n">
        <v>0</v>
      </c>
      <c r="AF331" s="625" t="n">
        <v>0</v>
      </c>
      <c r="AG331" s="205" t="n">
        <v>0</v>
      </c>
      <c r="AH331" s="205" t="n">
        <v>0</v>
      </c>
      <c r="AI331" s="205" t="n">
        <v>0</v>
      </c>
      <c r="AJ331" s="205" t="n">
        <v>0</v>
      </c>
      <c r="AK331" s="205" t="n">
        <v>0</v>
      </c>
      <c r="AL331" s="205" t="n">
        <v>0.01</v>
      </c>
      <c r="AM331" s="205" t="n">
        <v>0</v>
      </c>
      <c r="AN331" s="205" t="inlineStr">
        <is>
          <t>LOLO</t>
        </is>
      </c>
    </row>
    <row r="332">
      <c r="A332" s="222">
        <f>A331+1</f>
        <v/>
      </c>
      <c r="B332" s="224" t="inlineStr">
        <is>
          <t>Terminal Handling Charge</t>
        </is>
      </c>
      <c r="C332" s="224" t="inlineStr">
        <is>
          <t>SITC CONTAINER LINES (CAMBODIA) Co., Ltd.</t>
        </is>
      </c>
      <c r="D332" s="225" t="inlineStr">
        <is>
          <t>L001-107035863</t>
        </is>
      </c>
      <c r="E332" s="359" t="inlineStr">
        <is>
          <t>SITC2025-010228</t>
        </is>
      </c>
      <c r="F332" s="338" t="n">
        <v>45749</v>
      </c>
      <c r="G332" s="226" t="n"/>
      <c r="H332" s="627" t="n"/>
      <c r="I332" s="627" t="n">
        <v>2936000</v>
      </c>
      <c r="J332" s="223" t="inlineStr">
        <is>
          <t>អនុញ្ញាត (បានប្រកាស)</t>
        </is>
      </c>
      <c r="K332" s="223" t="n"/>
      <c r="L332" s="626">
        <f>I332</f>
        <v/>
      </c>
      <c r="M332" s="598">
        <f>I332-L332</f>
        <v/>
      </c>
      <c r="N332" s="223" t="n"/>
      <c r="O332" s="228">
        <f>U332=E332</f>
        <v/>
      </c>
      <c r="P332" s="228">
        <f>MONTH(F332)-MONTH(T332)</f>
        <v/>
      </c>
      <c r="Q332" s="228">
        <f>$B$5=X332</f>
        <v/>
      </c>
      <c r="R332" s="228">
        <f>I332-AD332</f>
        <v/>
      </c>
      <c r="S332" s="371" t="n"/>
      <c r="T332" s="372" t="n">
        <v>45748</v>
      </c>
      <c r="U332" s="371" t="inlineStr">
        <is>
          <t>SITC2025-010228</t>
        </is>
      </c>
      <c r="V332" s="371" t="n">
        <v>0</v>
      </c>
      <c r="W332" s="371" t="inlineStr">
        <is>
          <t>បុគ្គលជាប់អាករ</t>
        </is>
      </c>
      <c r="X332" s="371" t="inlineStr">
        <is>
          <t>L001-901640009</t>
        </is>
      </c>
      <c r="Y332" s="371" t="inlineStr">
        <is>
          <t>ហូលីដេ ឌីហ្សាញ (ខេមបូឌា) ឯ.ក</t>
        </is>
      </c>
      <c r="Z332" s="373" t="n">
        <v>32296000</v>
      </c>
      <c r="AA332" s="373" t="n">
        <v>29360000</v>
      </c>
      <c r="AB332" s="371" t="n">
        <v>0</v>
      </c>
      <c r="AC332" s="371" t="inlineStr">
        <is>
          <t>-</t>
        </is>
      </c>
      <c r="AD332" s="373" t="n">
        <v>2936000</v>
      </c>
      <c r="AE332" s="371" t="n">
        <v>0</v>
      </c>
      <c r="AF332" s="625" t="n">
        <v>0</v>
      </c>
      <c r="AG332" s="205" t="n">
        <v>0</v>
      </c>
      <c r="AH332" s="205" t="n">
        <v>0</v>
      </c>
      <c r="AI332" s="205" t="n">
        <v>0</v>
      </c>
      <c r="AJ332" s="205" t="n">
        <v>0</v>
      </c>
      <c r="AK332" s="205" t="n">
        <v>0</v>
      </c>
      <c r="AL332" s="205" t="n">
        <v>0.01</v>
      </c>
      <c r="AM332" s="205" t="n">
        <v>0</v>
      </c>
      <c r="AN332" s="205" t="inlineStr">
        <is>
          <t>KHDOC,EMF,EIB,KHTHC,KHCIC</t>
        </is>
      </c>
    </row>
    <row r="333">
      <c r="A333" s="222">
        <f>A332+1</f>
        <v/>
      </c>
      <c r="B333" s="224" t="inlineStr">
        <is>
          <t>Trucking &amp; Clearance-Im</t>
        </is>
      </c>
      <c r="C333" s="224" t="inlineStr">
        <is>
          <t>BRILLIANT TRANSPORT AND TRADING Co., Ltd.</t>
        </is>
      </c>
      <c r="D333" s="225" t="inlineStr">
        <is>
          <t>K002-100089305</t>
        </is>
      </c>
      <c r="E333" s="359" t="inlineStr">
        <is>
          <t>BTT25-0000807</t>
        </is>
      </c>
      <c r="F333" s="338" t="n">
        <v>45754</v>
      </c>
      <c r="G333" s="226" t="n"/>
      <c r="H333" s="627" t="n"/>
      <c r="I333" s="627" t="n">
        <v>3273636</v>
      </c>
      <c r="J333" s="223" t="inlineStr">
        <is>
          <t>អនុញ្ញាត (បានប្រកាស)</t>
        </is>
      </c>
      <c r="K333" s="223" t="n"/>
      <c r="L333" s="626">
        <f>I333</f>
        <v/>
      </c>
      <c r="M333" s="598">
        <f>I333-L333</f>
        <v/>
      </c>
      <c r="N333" s="223" t="n"/>
      <c r="O333" s="228">
        <f>U333=E333</f>
        <v/>
      </c>
      <c r="P333" s="228">
        <f>MONTH(F333)-MONTH(T333)</f>
        <v/>
      </c>
      <c r="Q333" s="228">
        <f>$B$5=X333</f>
        <v/>
      </c>
      <c r="R333" s="228">
        <f>I333-AD333</f>
        <v/>
      </c>
      <c r="S333" s="371" t="n"/>
      <c r="T333" s="372" t="n">
        <v>45754</v>
      </c>
      <c r="U333" s="371" t="inlineStr">
        <is>
          <t>BTT25-0000807</t>
        </is>
      </c>
      <c r="V333" s="371" t="n">
        <v>0</v>
      </c>
      <c r="W333" s="371" t="inlineStr">
        <is>
          <t>បុគ្គលជាប់អាករ</t>
        </is>
      </c>
      <c r="X333" s="371" t="inlineStr">
        <is>
          <t>L001-901640009</t>
        </is>
      </c>
      <c r="Y333" s="371" t="inlineStr">
        <is>
          <t>ហូលីដេ ឌីហ្សាញ (ខេមបូឌា) ឯ.ក</t>
        </is>
      </c>
      <c r="Z333" s="373" t="n">
        <v>36009996</v>
      </c>
      <c r="AA333" s="373" t="n">
        <v>32736360</v>
      </c>
      <c r="AB333" s="371" t="n">
        <v>0</v>
      </c>
      <c r="AC333" s="371" t="inlineStr">
        <is>
          <t>-</t>
        </is>
      </c>
      <c r="AD333" s="373" t="n">
        <v>3273636</v>
      </c>
      <c r="AE333" s="371" t="n">
        <v>0</v>
      </c>
      <c r="AF333" s="625" t="n">
        <v>0</v>
      </c>
      <c r="AG333" s="205" t="n">
        <v>0</v>
      </c>
      <c r="AH333" s="205" t="n">
        <v>0</v>
      </c>
      <c r="AI333" s="205" t="n">
        <v>0</v>
      </c>
      <c r="AJ333" s="205" t="n">
        <v>0</v>
      </c>
      <c r="AK333" s="205" t="n">
        <v>0</v>
      </c>
      <c r="AL333" s="205" t="n">
        <v>0.01</v>
      </c>
      <c r="AM333" s="205" t="n">
        <v>0</v>
      </c>
      <c r="AN333" s="205" t="inlineStr">
        <is>
          <t>Truking / Service</t>
        </is>
      </c>
    </row>
    <row r="334">
      <c r="A334" s="222">
        <f>A333+1</f>
        <v/>
      </c>
      <c r="B334" s="224" t="inlineStr">
        <is>
          <t>Repair Container Fee</t>
        </is>
      </c>
      <c r="C334" s="224" t="inlineStr">
        <is>
          <t>BRILLIANT TRANSPORT AND TRADING Co., Ltd.</t>
        </is>
      </c>
      <c r="D334" s="225" t="inlineStr">
        <is>
          <t>K002-100089305</t>
        </is>
      </c>
      <c r="E334" s="359" t="inlineStr">
        <is>
          <t>BTT25-0000766</t>
        </is>
      </c>
      <c r="F334" s="338" t="n">
        <v>45748</v>
      </c>
      <c r="G334" s="226" t="n"/>
      <c r="H334" s="627" t="n"/>
      <c r="I334" s="627" t="n">
        <v>164000</v>
      </c>
      <c r="J334" s="223" t="inlineStr">
        <is>
          <t>អនុញ្ញាត (បានប្រកាស)</t>
        </is>
      </c>
      <c r="K334" s="223" t="n"/>
      <c r="L334" s="626">
        <f>I334</f>
        <v/>
      </c>
      <c r="M334" s="598">
        <f>I334-L334</f>
        <v/>
      </c>
      <c r="N334" s="223" t="n"/>
      <c r="O334" s="228">
        <f>U334=E334</f>
        <v/>
      </c>
      <c r="P334" s="228">
        <f>MONTH(F334)-MONTH(T334)</f>
        <v/>
      </c>
      <c r="Q334" s="228">
        <f>$B$5=X334</f>
        <v/>
      </c>
      <c r="R334" s="228">
        <f>I334-AD334</f>
        <v/>
      </c>
      <c r="S334" s="371" t="n"/>
      <c r="T334" s="372" t="n">
        <v>45748</v>
      </c>
      <c r="U334" s="371" t="inlineStr">
        <is>
          <t>BTT25-0000766</t>
        </is>
      </c>
      <c r="V334" s="371" t="n">
        <v>0</v>
      </c>
      <c r="W334" s="371" t="inlineStr">
        <is>
          <t>បុគ្គលជាប់អាករ</t>
        </is>
      </c>
      <c r="X334" s="371" t="inlineStr">
        <is>
          <t>L001-901640009</t>
        </is>
      </c>
      <c r="Y334" s="371" t="inlineStr">
        <is>
          <t>ហូលីដេ ឌីហ្សាញ (ខេមបូឌា) ឯ.ក</t>
        </is>
      </c>
      <c r="Z334" s="373" t="n">
        <v>1804000</v>
      </c>
      <c r="AA334" s="373" t="n">
        <v>1640000</v>
      </c>
      <c r="AB334" s="371" t="n">
        <v>0</v>
      </c>
      <c r="AC334" s="371" t="inlineStr">
        <is>
          <t>-</t>
        </is>
      </c>
      <c r="AD334" s="373" t="n">
        <v>164000</v>
      </c>
      <c r="AE334" s="371" t="n">
        <v>0</v>
      </c>
      <c r="AF334" s="625" t="n">
        <v>0</v>
      </c>
      <c r="AG334" s="205" t="n">
        <v>0</v>
      </c>
      <c r="AH334" s="205" t="n">
        <v>0</v>
      </c>
      <c r="AI334" s="205" t="n">
        <v>0</v>
      </c>
      <c r="AJ334" s="205" t="n">
        <v>0</v>
      </c>
      <c r="AK334" s="205" t="n">
        <v>0</v>
      </c>
      <c r="AL334" s="205" t="n">
        <v>0.01</v>
      </c>
      <c r="AM334" s="205" t="n">
        <v>0</v>
      </c>
      <c r="AN334" s="205" t="inlineStr">
        <is>
          <t>Truking / Service</t>
        </is>
      </c>
    </row>
    <row r="335">
      <c r="A335" s="222">
        <f>A334+1</f>
        <v/>
      </c>
      <c r="B335" s="224" t="inlineStr">
        <is>
          <t>Lift-On &amp; Lift-On-Im</t>
        </is>
      </c>
      <c r="C335" s="224" t="inlineStr">
        <is>
          <t>Port Autonome Du Sihanoukville</t>
        </is>
      </c>
      <c r="D335" s="225" t="inlineStr">
        <is>
          <t>L001-100044638</t>
        </is>
      </c>
      <c r="E335" s="359" t="n">
        <v>202500073701</v>
      </c>
      <c r="F335" s="338" t="n">
        <v>45751</v>
      </c>
      <c r="G335" s="226" t="n"/>
      <c r="H335" s="627" t="n"/>
      <c r="I335" s="627" t="n">
        <v>174131</v>
      </c>
      <c r="J335" s="223" t="inlineStr">
        <is>
          <t>អនុញ្ញាត (បានប្រកាស)</t>
        </is>
      </c>
      <c r="K335" s="223" t="n"/>
      <c r="L335" s="626">
        <f>I335</f>
        <v/>
      </c>
      <c r="M335" s="598">
        <f>I335-L335</f>
        <v/>
      </c>
      <c r="N335" s="223" t="n"/>
      <c r="O335" s="228">
        <f>U335=E335</f>
        <v/>
      </c>
      <c r="P335" s="228">
        <f>MONTH(F335)-MONTH(T335)</f>
        <v/>
      </c>
      <c r="Q335" s="228">
        <f>$B$5=X335</f>
        <v/>
      </c>
      <c r="R335" s="228">
        <f>I335-AD335</f>
        <v/>
      </c>
      <c r="S335" s="371" t="n"/>
      <c r="T335" s="372" t="n">
        <v>45751</v>
      </c>
      <c r="U335" s="371" t="n">
        <v>202500073701</v>
      </c>
      <c r="V335" s="371" t="n">
        <v>0</v>
      </c>
      <c r="W335" s="371" t="inlineStr">
        <is>
          <t>បុគ្គលជាប់អាករ</t>
        </is>
      </c>
      <c r="X335" s="371" t="inlineStr">
        <is>
          <t>L001-901640009</t>
        </is>
      </c>
      <c r="Y335" s="371" t="inlineStr">
        <is>
          <t>ហូលីដេ ឌីហ្សាញ (ខេមបូឌា) ឯ.ក</t>
        </is>
      </c>
      <c r="Z335" s="373" t="n">
        <v>1915436</v>
      </c>
      <c r="AA335" s="373" t="n">
        <v>1741305</v>
      </c>
      <c r="AB335" s="371" t="n">
        <v>0</v>
      </c>
      <c r="AC335" s="371" t="inlineStr">
        <is>
          <t>-</t>
        </is>
      </c>
      <c r="AD335" s="373" t="n">
        <v>174131</v>
      </c>
      <c r="AE335" s="371" t="n">
        <v>0</v>
      </c>
      <c r="AF335" s="625" t="n">
        <v>0</v>
      </c>
      <c r="AG335" s="205" t="n">
        <v>0</v>
      </c>
      <c r="AH335" s="205" t="n">
        <v>0</v>
      </c>
      <c r="AI335" s="205" t="n">
        <v>0</v>
      </c>
      <c r="AJ335" s="205" t="n">
        <v>0</v>
      </c>
      <c r="AK335" s="205" t="n">
        <v>0</v>
      </c>
      <c r="AL335" s="205" t="n">
        <v>0.01</v>
      </c>
      <c r="AM335" s="205" t="n">
        <v>0</v>
      </c>
      <c r="AN335" s="205" t="inlineStr">
        <is>
          <t>LOLO</t>
        </is>
      </c>
    </row>
    <row r="336">
      <c r="A336" s="222">
        <f>A335+1</f>
        <v/>
      </c>
      <c r="B336" s="224" t="inlineStr">
        <is>
          <t>Terminal Handling Charge</t>
        </is>
      </c>
      <c r="C336" s="224" t="inlineStr">
        <is>
          <t>KERRY LOGISTICS (CAMBODIA) PTE. LTD.</t>
        </is>
      </c>
      <c r="D336" s="225" t="inlineStr">
        <is>
          <t>L001-100074669</t>
        </is>
      </c>
      <c r="E336" s="359" t="inlineStr">
        <is>
          <t>IVP07441</t>
        </is>
      </c>
      <c r="F336" s="338" t="n">
        <v>45790</v>
      </c>
      <c r="G336" s="226" t="n"/>
      <c r="H336" s="627" t="n"/>
      <c r="I336" s="627" t="n">
        <v>170085</v>
      </c>
      <c r="J336" s="223" t="inlineStr">
        <is>
          <t>អនុញ្ញាត (បានប្រកាស)</t>
        </is>
      </c>
      <c r="K336" s="223" t="n"/>
      <c r="L336" s="626">
        <f>I336</f>
        <v/>
      </c>
      <c r="M336" s="598">
        <f>I336-L336</f>
        <v/>
      </c>
      <c r="N336" s="223" t="n"/>
      <c r="O336" s="228">
        <f>U336=E336</f>
        <v/>
      </c>
      <c r="P336" s="228">
        <f>MONTH(F336)-MONTH(T336)</f>
        <v/>
      </c>
      <c r="Q336" s="228">
        <f>$B$5=X336</f>
        <v/>
      </c>
      <c r="R336" s="228">
        <f>I336-AD336</f>
        <v/>
      </c>
      <c r="S336" s="371" t="n"/>
      <c r="T336" s="372" t="n">
        <v>45790</v>
      </c>
      <c r="U336" s="371" t="inlineStr">
        <is>
          <t>IVP07441</t>
        </is>
      </c>
      <c r="V336" s="371" t="n">
        <v>0</v>
      </c>
      <c r="W336" s="371" t="inlineStr">
        <is>
          <t>បុគ្គលជាប់អាករ</t>
        </is>
      </c>
      <c r="X336" s="371" t="inlineStr">
        <is>
          <t>L001-901640009</t>
        </is>
      </c>
      <c r="Y336" s="371" t="inlineStr">
        <is>
          <t>ហូលីដេ ឌីហ្សាញ (ខេមបូឌា) ឯ.ក</t>
        </is>
      </c>
      <c r="Z336" s="373" t="n">
        <v>1870935</v>
      </c>
      <c r="AA336" s="373" t="n">
        <v>1700850</v>
      </c>
      <c r="AB336" s="371" t="n">
        <v>0</v>
      </c>
      <c r="AC336" s="371" t="inlineStr">
        <is>
          <t>-</t>
        </is>
      </c>
      <c r="AD336" s="373" t="n">
        <v>170085</v>
      </c>
      <c r="AE336" s="371" t="n">
        <v>0</v>
      </c>
      <c r="AF336" s="625" t="n">
        <v>0</v>
      </c>
      <c r="AG336" s="205" t="n">
        <v>0</v>
      </c>
      <c r="AH336" s="205" t="n">
        <v>0</v>
      </c>
      <c r="AI336" s="205" t="n">
        <v>0</v>
      </c>
      <c r="AJ336" s="205" t="n">
        <v>0</v>
      </c>
      <c r="AK336" s="205" t="n">
        <v>0</v>
      </c>
      <c r="AL336" s="205" t="n">
        <v>0.01</v>
      </c>
      <c r="AM336" s="205" t="n">
        <v>0</v>
      </c>
      <c r="AN336" s="205" t="inlineStr">
        <is>
          <t>នាំចេញទំនិញតាមផ្លូវទឹក</t>
        </is>
      </c>
      <c r="AO336" s="205" t="inlineStr">
        <is>
          <t>បានប្រកាសនិងបង់ពន្ធ</t>
        </is>
      </c>
    </row>
    <row r="337">
      <c r="A337" s="222">
        <f>A336+1</f>
        <v/>
      </c>
      <c r="B337" s="224" t="inlineStr">
        <is>
          <t>Storage charges-Im</t>
        </is>
      </c>
      <c r="C337" s="224" t="inlineStr">
        <is>
          <t>Port Autonome Du Sihanoukville</t>
        </is>
      </c>
      <c r="D337" s="225" t="inlineStr">
        <is>
          <t>L001-100044638</t>
        </is>
      </c>
      <c r="E337" s="359" t="n">
        <v>202500091494</v>
      </c>
      <c r="F337" s="338" t="n">
        <v>45772</v>
      </c>
      <c r="G337" s="226" t="n"/>
      <c r="H337" s="627" t="n"/>
      <c r="I337" s="627" t="n">
        <v>72054</v>
      </c>
      <c r="J337" s="223" t="inlineStr">
        <is>
          <t>អនុញ្ញាត (បានប្រកាស)</t>
        </is>
      </c>
      <c r="K337" s="223" t="n"/>
      <c r="L337" s="626">
        <f>I337</f>
        <v/>
      </c>
      <c r="M337" s="598">
        <f>I337-L337</f>
        <v/>
      </c>
      <c r="N337" s="223" t="n"/>
      <c r="O337" s="228">
        <f>U337=E337</f>
        <v/>
      </c>
      <c r="P337" s="228">
        <f>MONTH(F337)-MONTH(T337)</f>
        <v/>
      </c>
      <c r="Q337" s="228">
        <f>$B$5=X337</f>
        <v/>
      </c>
      <c r="R337" s="228">
        <f>I337-AD337</f>
        <v/>
      </c>
      <c r="S337" s="371" t="n"/>
      <c r="T337" s="372" t="n">
        <v>45772</v>
      </c>
      <c r="U337" s="371" t="n">
        <v>202500091494</v>
      </c>
      <c r="V337" s="371" t="n">
        <v>0</v>
      </c>
      <c r="W337" s="371" t="inlineStr">
        <is>
          <t>បុគ្គលជាប់អាករ</t>
        </is>
      </c>
      <c r="X337" s="371" t="inlineStr">
        <is>
          <t>L001-901640009</t>
        </is>
      </c>
      <c r="Y337" s="371" t="inlineStr">
        <is>
          <t>ហូលីដេ ឌីហ្សាញ (ខេមបូឌា) ឯ.ក</t>
        </is>
      </c>
      <c r="Z337" s="373" t="n">
        <v>792594</v>
      </c>
      <c r="AA337" s="373" t="n">
        <v>720540</v>
      </c>
      <c r="AB337" s="371" t="n">
        <v>0</v>
      </c>
      <c r="AC337" s="371" t="inlineStr">
        <is>
          <t>-</t>
        </is>
      </c>
      <c r="AD337" s="373" t="n">
        <v>72054</v>
      </c>
      <c r="AE337" s="371" t="n">
        <v>0</v>
      </c>
      <c r="AF337" s="625" t="n">
        <v>0</v>
      </c>
      <c r="AG337" s="205" t="n">
        <v>0</v>
      </c>
      <c r="AH337" s="205" t="n">
        <v>0</v>
      </c>
      <c r="AI337" s="205" t="n">
        <v>0</v>
      </c>
      <c r="AJ337" s="205" t="n">
        <v>0</v>
      </c>
      <c r="AK337" s="205" t="n">
        <v>0</v>
      </c>
      <c r="AL337" s="205" t="n">
        <v>0.01</v>
      </c>
      <c r="AM337" s="205" t="n">
        <v>0</v>
      </c>
      <c r="AN337" s="205" t="inlineStr">
        <is>
          <t>Storage</t>
        </is>
      </c>
    </row>
    <row r="338">
      <c r="A338" s="222">
        <f>A337+1</f>
        <v/>
      </c>
      <c r="B338" s="224" t="inlineStr">
        <is>
          <t>Lift-On &amp; Lift-On-Im</t>
        </is>
      </c>
      <c r="C338" s="224" t="inlineStr">
        <is>
          <t>Port Autonome Du Sihanoukville</t>
        </is>
      </c>
      <c r="D338" s="225" t="inlineStr">
        <is>
          <t>L001-100044638</t>
        </is>
      </c>
      <c r="E338" s="359" t="n">
        <v>202500073702</v>
      </c>
      <c r="F338" s="338" t="n">
        <v>45751</v>
      </c>
      <c r="G338" s="226" t="n"/>
      <c r="H338" s="627" t="n"/>
      <c r="I338" s="627" t="n">
        <v>348261</v>
      </c>
      <c r="J338" s="223" t="inlineStr">
        <is>
          <t>អនុញ្ញាត (បានប្រកាស)</t>
        </is>
      </c>
      <c r="K338" s="223" t="n"/>
      <c r="L338" s="626">
        <f>I338</f>
        <v/>
      </c>
      <c r="M338" s="598">
        <f>I338-L338</f>
        <v/>
      </c>
      <c r="N338" s="223" t="n"/>
      <c r="O338" s="228">
        <f>U338=E338</f>
        <v/>
      </c>
      <c r="P338" s="228">
        <f>MONTH(F338)-MONTH(T338)</f>
        <v/>
      </c>
      <c r="Q338" s="228">
        <f>$B$5=X338</f>
        <v/>
      </c>
      <c r="R338" s="228">
        <f>I338-AD338</f>
        <v/>
      </c>
      <c r="S338" s="371" t="n"/>
      <c r="T338" s="372" t="n">
        <v>45751</v>
      </c>
      <c r="U338" s="371" t="n">
        <v>202500073702</v>
      </c>
      <c r="V338" s="371" t="n">
        <v>0</v>
      </c>
      <c r="W338" s="371" t="inlineStr">
        <is>
          <t>បុគ្គលជាប់អាករ</t>
        </is>
      </c>
      <c r="X338" s="371" t="inlineStr">
        <is>
          <t>L001-901640009</t>
        </is>
      </c>
      <c r="Y338" s="371" t="inlineStr">
        <is>
          <t>ហូលីដេ ឌីហ្សាញ (ខេមបូឌា) ឯ.ក</t>
        </is>
      </c>
      <c r="Z338" s="373" t="n">
        <v>3830871</v>
      </c>
      <c r="AA338" s="373" t="n">
        <v>3482610</v>
      </c>
      <c r="AB338" s="371" t="n">
        <v>0</v>
      </c>
      <c r="AC338" s="371" t="inlineStr">
        <is>
          <t>-</t>
        </is>
      </c>
      <c r="AD338" s="373" t="n">
        <v>348261</v>
      </c>
      <c r="AE338" s="371" t="n">
        <v>0</v>
      </c>
      <c r="AF338" s="625" t="n">
        <v>0</v>
      </c>
      <c r="AG338" s="205" t="n">
        <v>0</v>
      </c>
      <c r="AH338" s="205" t="n">
        <v>0</v>
      </c>
      <c r="AI338" s="205" t="n">
        <v>0</v>
      </c>
      <c r="AJ338" s="205" t="n">
        <v>0</v>
      </c>
      <c r="AK338" s="205" t="n">
        <v>0</v>
      </c>
      <c r="AL338" s="205" t="n">
        <v>0.01</v>
      </c>
      <c r="AM338" s="205" t="n">
        <v>0</v>
      </c>
      <c r="AN338" s="205" t="inlineStr">
        <is>
          <t>LOLO</t>
        </is>
      </c>
    </row>
    <row r="339">
      <c r="A339" s="222">
        <f>A338+1</f>
        <v/>
      </c>
      <c r="B339" s="224" t="inlineStr">
        <is>
          <t>Telecom Service Usage Charge</t>
        </is>
      </c>
      <c r="C339" s="224" t="inlineStr">
        <is>
          <t>VIETTEL (CAMBODIA) PTE. LTD.</t>
        </is>
      </c>
      <c r="D339" s="225" t="inlineStr">
        <is>
          <t>L001-100121845</t>
        </is>
      </c>
      <c r="E339" s="359" t="inlineStr">
        <is>
          <t>MC/2025-0095268</t>
        </is>
      </c>
      <c r="F339" s="338" t="n">
        <v>45672</v>
      </c>
      <c r="G339" s="226" t="n"/>
      <c r="H339" s="627" t="n"/>
      <c r="I339" s="627" t="n">
        <v>724500</v>
      </c>
      <c r="J339" s="223" t="inlineStr">
        <is>
          <t>អនុញ្ញាត (បានប្រកាស)</t>
        </is>
      </c>
      <c r="K339" s="628">
        <f>L339</f>
        <v/>
      </c>
      <c r="L339" s="626">
        <f>AD339</f>
        <v/>
      </c>
      <c r="M339" s="598">
        <f>I339-L339</f>
        <v/>
      </c>
      <c r="N339" s="223" t="n"/>
      <c r="O339" s="228">
        <f>U339=E339</f>
        <v/>
      </c>
      <c r="P339" s="228">
        <f>MONTH(F339)-MONTH(T339)</f>
        <v/>
      </c>
      <c r="Q339" s="228">
        <f>$B$5=X339</f>
        <v/>
      </c>
      <c r="R339" s="228">
        <f>I339-AD339</f>
        <v/>
      </c>
      <c r="S339" s="371" t="n"/>
      <c r="T339" s="372" t="n">
        <v>45673</v>
      </c>
      <c r="U339" s="371" t="inlineStr">
        <is>
          <t>MC/2025-0095268</t>
        </is>
      </c>
      <c r="V339" s="371" t="n">
        <v>0</v>
      </c>
      <c r="W339" s="371" t="inlineStr">
        <is>
          <t>បុគ្គលជាប់អាករ</t>
        </is>
      </c>
      <c r="X339" s="371" t="inlineStr">
        <is>
          <t>L001-901640009</t>
        </is>
      </c>
      <c r="Y339" s="371" t="inlineStr">
        <is>
          <t>ហូលីដេ ឌីហ្សាញ (ខេមបូឌា) ឯ.ក</t>
        </is>
      </c>
      <c r="Z339" s="373" t="n">
        <v>7967520</v>
      </c>
      <c r="AA339" s="373" t="n">
        <v>7243200</v>
      </c>
      <c r="AB339" s="371" t="n">
        <v>0</v>
      </c>
      <c r="AC339" s="371" t="inlineStr">
        <is>
          <t>-</t>
        </is>
      </c>
      <c r="AD339" s="373" t="n">
        <v>724320</v>
      </c>
      <c r="AE339" s="371" t="n">
        <v>0</v>
      </c>
      <c r="AF339" s="625" t="n">
        <v>0</v>
      </c>
      <c r="AG339" s="205" t="n">
        <v>0</v>
      </c>
      <c r="AH339" s="205" t="n">
        <v>0</v>
      </c>
      <c r="AI339" s="205" t="n">
        <v>0</v>
      </c>
      <c r="AJ339" s="205" t="n">
        <v>0</v>
      </c>
      <c r="AK339" s="205" t="n">
        <v>0</v>
      </c>
      <c r="AL339" s="205" t="n">
        <v>0.01</v>
      </c>
      <c r="AM339" s="205" t="n">
        <v>0</v>
      </c>
      <c r="AN339" s="205" t="inlineStr">
        <is>
          <t>Fixed-FTTx</t>
        </is>
      </c>
      <c r="AO339" s="205" t="inlineStr">
        <is>
          <t>បានប្រកាសនិងបង់ពន្ធ</t>
        </is>
      </c>
    </row>
    <row r="340">
      <c r="A340" s="222">
        <f>A339+1</f>
        <v/>
      </c>
      <c r="B340" s="224" t="inlineStr">
        <is>
          <t>Trucking &amp; Clearance-Im</t>
        </is>
      </c>
      <c r="C340" s="224" t="inlineStr">
        <is>
          <t>BRILLIANT TRANSPORT AND TRADING Co., Ltd.</t>
        </is>
      </c>
      <c r="D340" s="225" t="inlineStr">
        <is>
          <t>K002-100089305</t>
        </is>
      </c>
      <c r="E340" s="359" t="inlineStr">
        <is>
          <t>BTT25-0000741</t>
        </is>
      </c>
      <c r="F340" s="338" t="n">
        <v>45751</v>
      </c>
      <c r="G340" s="226" t="n"/>
      <c r="H340" s="627" t="n"/>
      <c r="I340" s="627" t="n">
        <v>2145608</v>
      </c>
      <c r="J340" s="223" t="inlineStr">
        <is>
          <t>អនុញ្ញាត (បានប្រកាស)</t>
        </is>
      </c>
      <c r="K340" s="223" t="n"/>
      <c r="L340" s="626">
        <f>I340</f>
        <v/>
      </c>
      <c r="M340" s="598">
        <f>I340-L340</f>
        <v/>
      </c>
      <c r="N340" s="223" t="n"/>
      <c r="O340" s="228">
        <f>U340=E340</f>
        <v/>
      </c>
      <c r="P340" s="228">
        <f>MONTH(F340)-MONTH(T340)</f>
        <v/>
      </c>
      <c r="Q340" s="228">
        <f>$B$5=X340</f>
        <v/>
      </c>
      <c r="R340" s="228">
        <f>I340-AD340</f>
        <v/>
      </c>
      <c r="S340" s="371" t="n"/>
      <c r="T340" s="372" t="n">
        <v>45751</v>
      </c>
      <c r="U340" s="371" t="inlineStr">
        <is>
          <t>BTT25-0000741</t>
        </is>
      </c>
      <c r="V340" s="371" t="n">
        <v>0</v>
      </c>
      <c r="W340" s="371" t="inlineStr">
        <is>
          <t>បុគ្គលជាប់អាករ</t>
        </is>
      </c>
      <c r="X340" s="371" t="inlineStr">
        <is>
          <t>L001-901640009</t>
        </is>
      </c>
      <c r="Y340" s="371" t="inlineStr">
        <is>
          <t>ហូលីដេ ឌីហ្សាញ (ខេមបូឌា) ឯ.ក</t>
        </is>
      </c>
      <c r="Z340" s="373" t="n">
        <v>23601688</v>
      </c>
      <c r="AA340" s="373" t="n">
        <v>21456080</v>
      </c>
      <c r="AB340" s="371" t="n">
        <v>0</v>
      </c>
      <c r="AC340" s="371" t="inlineStr">
        <is>
          <t>-</t>
        </is>
      </c>
      <c r="AD340" s="373" t="n">
        <v>2145608</v>
      </c>
      <c r="AE340" s="371" t="n">
        <v>0</v>
      </c>
      <c r="AF340" s="625" t="n">
        <v>0</v>
      </c>
      <c r="AG340" s="205" t="n">
        <v>0</v>
      </c>
      <c r="AH340" s="205" t="n">
        <v>0</v>
      </c>
      <c r="AI340" s="205" t="n">
        <v>0</v>
      </c>
      <c r="AJ340" s="205" t="n">
        <v>0</v>
      </c>
      <c r="AK340" s="205" t="n">
        <v>0</v>
      </c>
      <c r="AL340" s="205" t="n">
        <v>0.01</v>
      </c>
      <c r="AM340" s="205" t="n">
        <v>0</v>
      </c>
      <c r="AN340" s="205" t="inlineStr">
        <is>
          <t>Truking / Service</t>
        </is>
      </c>
    </row>
    <row r="341">
      <c r="A341" s="222">
        <f>A340+1</f>
        <v/>
      </c>
      <c r="B341" s="224" t="inlineStr">
        <is>
          <t>Lift-On &amp; Lift-On-Im</t>
        </is>
      </c>
      <c r="C341" s="224" t="inlineStr">
        <is>
          <t>Port Autonome Du Sihanoukville</t>
        </is>
      </c>
      <c r="D341" s="225" t="inlineStr">
        <is>
          <t>L001-100044638</t>
        </is>
      </c>
      <c r="E341" s="359" t="n">
        <v>202500072119</v>
      </c>
      <c r="F341" s="338" t="n">
        <v>45750</v>
      </c>
      <c r="G341" s="226" t="n"/>
      <c r="H341" s="627" t="n"/>
      <c r="I341" s="627" t="n">
        <v>68400</v>
      </c>
      <c r="J341" s="223" t="inlineStr">
        <is>
          <t>អនុញ្ញាត (បានប្រកាស)</t>
        </is>
      </c>
      <c r="K341" s="223" t="n"/>
      <c r="L341" s="626">
        <f>I341</f>
        <v/>
      </c>
      <c r="M341" s="598">
        <f>I341-L341</f>
        <v/>
      </c>
      <c r="N341" s="223" t="n"/>
      <c r="O341" s="228">
        <f>U341=E341</f>
        <v/>
      </c>
      <c r="P341" s="228">
        <f>MONTH(F341)-MONTH(T341)</f>
        <v/>
      </c>
      <c r="Q341" s="228">
        <f>$B$5=X341</f>
        <v/>
      </c>
      <c r="R341" s="228">
        <f>I341-AD341</f>
        <v/>
      </c>
      <c r="S341" s="371" t="n"/>
      <c r="T341" s="372" t="n">
        <v>45750</v>
      </c>
      <c r="U341" s="371" t="n">
        <v>202500072119</v>
      </c>
      <c r="V341" s="371" t="n">
        <v>0</v>
      </c>
      <c r="W341" s="371" t="inlineStr">
        <is>
          <t>បុគ្គលជាប់អាករ</t>
        </is>
      </c>
      <c r="X341" s="371" t="inlineStr">
        <is>
          <t>L001-901640009</t>
        </is>
      </c>
      <c r="Y341" s="371" t="inlineStr">
        <is>
          <t>ហូលីដេ ឌីហ្សាញ (ខេមបូឌា) ឯ.ក</t>
        </is>
      </c>
      <c r="Z341" s="373" t="n">
        <v>752400</v>
      </c>
      <c r="AA341" s="373" t="n">
        <v>684000</v>
      </c>
      <c r="AB341" s="371" t="n">
        <v>0</v>
      </c>
      <c r="AC341" s="371" t="inlineStr">
        <is>
          <t>-</t>
        </is>
      </c>
      <c r="AD341" s="373" t="n">
        <v>68400</v>
      </c>
      <c r="AE341" s="371" t="n">
        <v>0</v>
      </c>
      <c r="AF341" s="625" t="n">
        <v>0</v>
      </c>
      <c r="AG341" s="205" t="n">
        <v>0</v>
      </c>
      <c r="AH341" s="205" t="n">
        <v>0</v>
      </c>
      <c r="AI341" s="205" t="n">
        <v>0</v>
      </c>
      <c r="AJ341" s="205" t="n">
        <v>0</v>
      </c>
      <c r="AK341" s="205" t="n">
        <v>0</v>
      </c>
      <c r="AL341" s="205" t="n">
        <v>0.01</v>
      </c>
      <c r="AM341" s="205" t="n">
        <v>0</v>
      </c>
      <c r="AN341" s="205" t="inlineStr">
        <is>
          <t>LOLO</t>
        </is>
      </c>
    </row>
    <row r="342">
      <c r="A342" s="222">
        <f>A341+1</f>
        <v/>
      </c>
      <c r="B342" s="224" t="inlineStr">
        <is>
          <t>Terminal Handling Charge</t>
        </is>
      </c>
      <c r="C342" s="224" t="inlineStr">
        <is>
          <t>SITC CONTAINER LINES (CAMBODIA) Co., Ltd.</t>
        </is>
      </c>
      <c r="D342" s="225" t="inlineStr">
        <is>
          <t>L001-107035863</t>
        </is>
      </c>
      <c r="E342" s="359" t="inlineStr">
        <is>
          <t>SITC2025-010100</t>
        </is>
      </c>
      <c r="F342" s="338" t="n">
        <v>45748</v>
      </c>
      <c r="G342" s="226" t="n"/>
      <c r="H342" s="627" t="n"/>
      <c r="I342" s="627" t="n">
        <v>384000</v>
      </c>
      <c r="J342" s="223" t="inlineStr">
        <is>
          <t>អនុញ្ញាត (បានប្រកាស)</t>
        </is>
      </c>
      <c r="K342" s="223" t="n"/>
      <c r="L342" s="626">
        <f>I342</f>
        <v/>
      </c>
      <c r="M342" s="598">
        <f>I342-L342</f>
        <v/>
      </c>
      <c r="N342" s="223" t="n"/>
      <c r="O342" s="228">
        <f>U342=E342</f>
        <v/>
      </c>
      <c r="P342" s="228">
        <f>MONTH(F342)-MONTH(T342)</f>
        <v/>
      </c>
      <c r="Q342" s="228">
        <f>$B$5=X342</f>
        <v/>
      </c>
      <c r="R342" s="228">
        <f>I342-AD342</f>
        <v/>
      </c>
      <c r="S342" s="371" t="n"/>
      <c r="T342" s="372" t="n">
        <v>45748</v>
      </c>
      <c r="U342" s="371" t="inlineStr">
        <is>
          <t>SITC2025-010100</t>
        </is>
      </c>
      <c r="V342" s="371" t="n">
        <v>0</v>
      </c>
      <c r="W342" s="371" t="inlineStr">
        <is>
          <t>បុគ្គលជាប់អាករ</t>
        </is>
      </c>
      <c r="X342" s="371" t="inlineStr">
        <is>
          <t>L001-901640009</t>
        </is>
      </c>
      <c r="Y342" s="371" t="inlineStr">
        <is>
          <t>ហូលីដេ ឌីហ្សាញ (ខេមបូឌា) ឯ.ក</t>
        </is>
      </c>
      <c r="Z342" s="373" t="n">
        <v>4224000</v>
      </c>
      <c r="AA342" s="373" t="n">
        <v>3840000</v>
      </c>
      <c r="AB342" s="371" t="n">
        <v>0</v>
      </c>
      <c r="AC342" s="371" t="inlineStr">
        <is>
          <t>-</t>
        </is>
      </c>
      <c r="AD342" s="373" t="n">
        <v>384000</v>
      </c>
      <c r="AE342" s="371" t="n">
        <v>0</v>
      </c>
      <c r="AF342" s="625" t="n">
        <v>0</v>
      </c>
      <c r="AG342" s="205" t="n">
        <v>0</v>
      </c>
      <c r="AH342" s="205" t="n">
        <v>0</v>
      </c>
      <c r="AI342" s="205" t="n">
        <v>0</v>
      </c>
      <c r="AJ342" s="205" t="n">
        <v>0</v>
      </c>
      <c r="AK342" s="205" t="n">
        <v>0</v>
      </c>
      <c r="AL342" s="205" t="n">
        <v>0.01</v>
      </c>
      <c r="AM342" s="205" t="n">
        <v>0</v>
      </c>
      <c r="AN342" s="205" t="inlineStr">
        <is>
          <t>KHTHC,EMF,KHDOC,KHCIC,EIB</t>
        </is>
      </c>
    </row>
    <row r="343">
      <c r="A343" s="222">
        <f>A342+1</f>
        <v/>
      </c>
      <c r="B343" s="224" t="inlineStr">
        <is>
          <t>Trucking &amp; Clearance-Im</t>
        </is>
      </c>
      <c r="C343" s="224" t="inlineStr">
        <is>
          <t>BRILLIANT TRANSPORT AND TRADING Co., Ltd.</t>
        </is>
      </c>
      <c r="D343" s="225" t="inlineStr">
        <is>
          <t>K002-100089305</t>
        </is>
      </c>
      <c r="E343" s="359" t="inlineStr">
        <is>
          <t>BTT25-0000737</t>
        </is>
      </c>
      <c r="F343" s="338" t="n">
        <v>45750</v>
      </c>
      <c r="G343" s="226" t="n"/>
      <c r="H343" s="627" t="n"/>
      <c r="I343" s="627" t="n">
        <v>732000</v>
      </c>
      <c r="J343" s="223" t="inlineStr">
        <is>
          <t>អនុញ្ញាត (បានប្រកាស)</t>
        </is>
      </c>
      <c r="K343" s="223" t="n"/>
      <c r="L343" s="626">
        <f>I343</f>
        <v/>
      </c>
      <c r="M343" s="598">
        <f>I343-L343</f>
        <v/>
      </c>
      <c r="N343" s="223" t="n"/>
      <c r="O343" s="228">
        <f>U343=E343</f>
        <v/>
      </c>
      <c r="P343" s="228">
        <f>MONTH(F343)-MONTH(T343)</f>
        <v/>
      </c>
      <c r="Q343" s="228">
        <f>$B$5=X343</f>
        <v/>
      </c>
      <c r="R343" s="228">
        <f>I343-AD343</f>
        <v/>
      </c>
      <c r="S343" s="371" t="n"/>
      <c r="T343" s="372" t="n">
        <v>45750</v>
      </c>
      <c r="U343" s="371" t="inlineStr">
        <is>
          <t>BTT25-0000737</t>
        </is>
      </c>
      <c r="V343" s="371" t="n">
        <v>0</v>
      </c>
      <c r="W343" s="371" t="inlineStr">
        <is>
          <t>បុគ្គលជាប់អាករ</t>
        </is>
      </c>
      <c r="X343" s="371" t="inlineStr">
        <is>
          <t>L001-901640009</t>
        </is>
      </c>
      <c r="Y343" s="371" t="inlineStr">
        <is>
          <t>ហូលីដេ ឌីហ្សាញ (ខេមបូឌា) ឯ.ក</t>
        </is>
      </c>
      <c r="Z343" s="373" t="n">
        <v>8052000</v>
      </c>
      <c r="AA343" s="373" t="n">
        <v>7320000</v>
      </c>
      <c r="AB343" s="371" t="n">
        <v>0</v>
      </c>
      <c r="AC343" s="371" t="inlineStr">
        <is>
          <t>-</t>
        </is>
      </c>
      <c r="AD343" s="373" t="n">
        <v>732000</v>
      </c>
      <c r="AE343" s="371" t="n">
        <v>0</v>
      </c>
      <c r="AF343" s="625" t="n">
        <v>0</v>
      </c>
      <c r="AG343" s="205" t="n">
        <v>0</v>
      </c>
      <c r="AH343" s="205" t="n">
        <v>0</v>
      </c>
      <c r="AI343" s="205" t="n">
        <v>0</v>
      </c>
      <c r="AJ343" s="205" t="n">
        <v>0</v>
      </c>
      <c r="AK343" s="205" t="n">
        <v>0</v>
      </c>
      <c r="AL343" s="205" t="n">
        <v>0.01</v>
      </c>
      <c r="AM343" s="205" t="n">
        <v>0</v>
      </c>
      <c r="AN343" s="205" t="inlineStr">
        <is>
          <t>Truking / Service</t>
        </is>
      </c>
    </row>
    <row r="344">
      <c r="A344" s="222">
        <f>A343+1</f>
        <v/>
      </c>
      <c r="B344" s="224" t="inlineStr">
        <is>
          <t>Trucking &amp; Clearance-Im</t>
        </is>
      </c>
      <c r="C344" s="224" t="inlineStr">
        <is>
          <t>BRILLIANT TRANSPORT AND TRADING Co., Ltd.</t>
        </is>
      </c>
      <c r="D344" s="225" t="inlineStr">
        <is>
          <t>K002-100089305</t>
        </is>
      </c>
      <c r="E344" s="359" t="inlineStr">
        <is>
          <t>BTT25-0000735</t>
        </is>
      </c>
      <c r="F344" s="338" t="n">
        <v>45748</v>
      </c>
      <c r="G344" s="226" t="n"/>
      <c r="H344" s="627" t="n"/>
      <c r="I344" s="627" t="n">
        <v>3040000</v>
      </c>
      <c r="J344" s="223" t="inlineStr">
        <is>
          <t>អនុញ្ញាត (បានប្រកាស)</t>
        </is>
      </c>
      <c r="K344" s="223" t="n"/>
      <c r="L344" s="626">
        <f>I344</f>
        <v/>
      </c>
      <c r="M344" s="598">
        <f>I344-L344</f>
        <v/>
      </c>
      <c r="N344" s="223" t="n"/>
      <c r="O344" s="228">
        <f>U344=E344</f>
        <v/>
      </c>
      <c r="P344" s="228">
        <f>MONTH(F344)-MONTH(T344)</f>
        <v/>
      </c>
      <c r="Q344" s="228">
        <f>$B$5=X344</f>
        <v/>
      </c>
      <c r="R344" s="228">
        <f>I344-AD344</f>
        <v/>
      </c>
      <c r="S344" s="371" t="n"/>
      <c r="T344" s="372" t="n">
        <v>45748</v>
      </c>
      <c r="U344" s="371" t="inlineStr">
        <is>
          <t>BTT25-0000735</t>
        </is>
      </c>
      <c r="V344" s="371" t="n">
        <v>0</v>
      </c>
      <c r="W344" s="371" t="inlineStr">
        <is>
          <t>បុគ្គលជាប់អាករ</t>
        </is>
      </c>
      <c r="X344" s="371" t="inlineStr">
        <is>
          <t>L001-901640009</t>
        </is>
      </c>
      <c r="Y344" s="371" t="inlineStr">
        <is>
          <t>ហូលីដេ ឌីហ្សាញ (ខេមបូឌា) ឯ.ក</t>
        </is>
      </c>
      <c r="Z344" s="373" t="n">
        <v>33440000</v>
      </c>
      <c r="AA344" s="373" t="n">
        <v>30400000</v>
      </c>
      <c r="AB344" s="371" t="n">
        <v>0</v>
      </c>
      <c r="AC344" s="371" t="inlineStr">
        <is>
          <t>-</t>
        </is>
      </c>
      <c r="AD344" s="373" t="n">
        <v>3040000</v>
      </c>
      <c r="AE344" s="371" t="n">
        <v>0</v>
      </c>
      <c r="AF344" s="625" t="n">
        <v>0</v>
      </c>
      <c r="AG344" s="205" t="n">
        <v>0</v>
      </c>
      <c r="AH344" s="205" t="n">
        <v>0</v>
      </c>
      <c r="AI344" s="205" t="n">
        <v>0</v>
      </c>
      <c r="AJ344" s="205" t="n">
        <v>0</v>
      </c>
      <c r="AK344" s="205" t="n">
        <v>0</v>
      </c>
      <c r="AL344" s="205" t="n">
        <v>0.01</v>
      </c>
      <c r="AM344" s="205" t="n">
        <v>0</v>
      </c>
      <c r="AN344" s="205" t="inlineStr">
        <is>
          <t>Truking / Service</t>
        </is>
      </c>
    </row>
    <row r="345">
      <c r="A345" s="222">
        <f>A344+1</f>
        <v/>
      </c>
      <c r="B345" s="224" t="inlineStr">
        <is>
          <t>Trucking &amp; Clearance-Im</t>
        </is>
      </c>
      <c r="C345" s="224" t="inlineStr">
        <is>
          <t>BRILLIANT TRANSPORT AND TRADING Co., Ltd.</t>
        </is>
      </c>
      <c r="D345" s="225" t="inlineStr">
        <is>
          <t>K002-100089305</t>
        </is>
      </c>
      <c r="E345" s="359" t="inlineStr">
        <is>
          <t>BTT25-0000880</t>
        </is>
      </c>
      <c r="F345" s="338" t="n">
        <v>45758</v>
      </c>
      <c r="G345" s="226" t="n"/>
      <c r="H345" s="627" t="n"/>
      <c r="I345" s="627" t="n">
        <v>1902850</v>
      </c>
      <c r="J345" s="223" t="inlineStr">
        <is>
          <t>អនុញ្ញាត (បានប្រកាស)</t>
        </is>
      </c>
      <c r="K345" s="223" t="n"/>
      <c r="L345" s="626">
        <f>I345</f>
        <v/>
      </c>
      <c r="M345" s="598">
        <f>I345-L345</f>
        <v/>
      </c>
      <c r="N345" s="223" t="n"/>
      <c r="O345" s="228">
        <f>U345=E345</f>
        <v/>
      </c>
      <c r="P345" s="228">
        <f>MONTH(F345)-MONTH(T345)</f>
        <v/>
      </c>
      <c r="Q345" s="228">
        <f>$B$5=X345</f>
        <v/>
      </c>
      <c r="R345" s="228">
        <f>I345-AD345</f>
        <v/>
      </c>
      <c r="S345" s="371" t="n"/>
      <c r="T345" s="372" t="n">
        <v>45758</v>
      </c>
      <c r="U345" s="371" t="inlineStr">
        <is>
          <t>BTT25-0000880</t>
        </is>
      </c>
      <c r="V345" s="371" t="n">
        <v>0</v>
      </c>
      <c r="W345" s="371" t="inlineStr">
        <is>
          <t>បុគ្គលជាប់អាករ</t>
        </is>
      </c>
      <c r="X345" s="371" t="inlineStr">
        <is>
          <t>L001-901640009</t>
        </is>
      </c>
      <c r="Y345" s="371" t="inlineStr">
        <is>
          <t>ហូលីដេ ឌីហ្សាញ (ខេមបូឌា) ឯ.ក</t>
        </is>
      </c>
      <c r="Z345" s="373" t="n">
        <v>20931350</v>
      </c>
      <c r="AA345" s="373" t="n">
        <v>19028500</v>
      </c>
      <c r="AB345" s="371" t="n">
        <v>0</v>
      </c>
      <c r="AC345" s="371" t="inlineStr">
        <is>
          <t>-</t>
        </is>
      </c>
      <c r="AD345" s="373" t="n">
        <v>1902850</v>
      </c>
      <c r="AE345" s="371" t="n">
        <v>0</v>
      </c>
      <c r="AF345" s="625" t="n">
        <v>0</v>
      </c>
      <c r="AG345" s="205" t="n">
        <v>0</v>
      </c>
      <c r="AH345" s="205" t="n">
        <v>0</v>
      </c>
      <c r="AI345" s="205" t="n">
        <v>0</v>
      </c>
      <c r="AJ345" s="205" t="n">
        <v>0</v>
      </c>
      <c r="AK345" s="205" t="n">
        <v>0</v>
      </c>
      <c r="AL345" s="205" t="n">
        <v>0.01</v>
      </c>
      <c r="AM345" s="205" t="n">
        <v>0</v>
      </c>
      <c r="AN345" s="205" t="inlineStr">
        <is>
          <t>Truking / Service</t>
        </is>
      </c>
    </row>
    <row r="346">
      <c r="A346" s="222">
        <f>A345+1</f>
        <v/>
      </c>
      <c r="B346" s="224" t="inlineStr">
        <is>
          <t>Terminal Handling Charge</t>
        </is>
      </c>
      <c r="C346" s="224" t="inlineStr">
        <is>
          <t>SITC CONTAINER LINES (CAMBODIA) Co., Ltd.</t>
        </is>
      </c>
      <c r="D346" s="225" t="inlineStr">
        <is>
          <t>L001-107035863</t>
        </is>
      </c>
      <c r="E346" s="359" t="inlineStr">
        <is>
          <t>SITC2025-011698</t>
        </is>
      </c>
      <c r="F346" s="338" t="n">
        <v>45755</v>
      </c>
      <c r="G346" s="226" t="n"/>
      <c r="H346" s="627" t="n"/>
      <c r="I346" s="627" t="n">
        <v>1688844</v>
      </c>
      <c r="J346" s="223" t="inlineStr">
        <is>
          <t>អនុញ្ញាត (បានប្រកាស)</t>
        </is>
      </c>
      <c r="K346" s="223" t="n"/>
      <c r="L346" s="626">
        <f>I346</f>
        <v/>
      </c>
      <c r="M346" s="598">
        <f>I346-L346</f>
        <v/>
      </c>
      <c r="N346" s="223" t="n"/>
      <c r="O346" s="228">
        <f>U346=E346</f>
        <v/>
      </c>
      <c r="P346" s="228">
        <f>MONTH(F346)-MONTH(T346)</f>
        <v/>
      </c>
      <c r="Q346" s="228">
        <f>$B$5=X346</f>
        <v/>
      </c>
      <c r="R346" s="228">
        <f>I346-AD346</f>
        <v/>
      </c>
      <c r="S346" s="371" t="n"/>
      <c r="T346" s="372" t="n">
        <v>45755</v>
      </c>
      <c r="U346" s="371" t="inlineStr">
        <is>
          <t>SITC2025-011698</t>
        </is>
      </c>
      <c r="V346" s="371" t="n">
        <v>0</v>
      </c>
      <c r="W346" s="371" t="inlineStr">
        <is>
          <t>បុគ្គលជាប់អាករ</t>
        </is>
      </c>
      <c r="X346" s="371" t="inlineStr">
        <is>
          <t>L001-901640009</t>
        </is>
      </c>
      <c r="Y346" s="371" t="inlineStr">
        <is>
          <t>ហូលីដេ ឌីហ្សាញ (ខេមបូឌា) ឯ.ក</t>
        </is>
      </c>
      <c r="Z346" s="373" t="n">
        <v>18577284</v>
      </c>
      <c r="AA346" s="373" t="n">
        <v>16888440</v>
      </c>
      <c r="AB346" s="371" t="n">
        <v>0</v>
      </c>
      <c r="AC346" s="371" t="inlineStr">
        <is>
          <t>-</t>
        </is>
      </c>
      <c r="AD346" s="373" t="n">
        <v>1688844</v>
      </c>
      <c r="AE346" s="371" t="n">
        <v>0</v>
      </c>
      <c r="AF346" s="625" t="n">
        <v>0</v>
      </c>
      <c r="AG346" s="205" t="n">
        <v>0</v>
      </c>
      <c r="AH346" s="205" t="n">
        <v>0</v>
      </c>
      <c r="AI346" s="205" t="n">
        <v>0</v>
      </c>
      <c r="AJ346" s="205" t="n">
        <v>0</v>
      </c>
      <c r="AK346" s="205" t="n">
        <v>0</v>
      </c>
      <c r="AL346" s="205" t="n">
        <v>0.01</v>
      </c>
      <c r="AM346" s="205" t="n">
        <v>0</v>
      </c>
      <c r="AN346" s="205" t="inlineStr">
        <is>
          <t>EIB,KHTHC,KHCIC,KHDOC,EMF</t>
        </is>
      </c>
    </row>
    <row r="347">
      <c r="A347" s="222">
        <f>A346+1</f>
        <v/>
      </c>
      <c r="B347" s="224" t="inlineStr">
        <is>
          <t>Lift-On &amp; Lift-On-Im</t>
        </is>
      </c>
      <c r="C347" s="224" t="inlineStr">
        <is>
          <t>Port Autonome Du Sihanoukville</t>
        </is>
      </c>
      <c r="D347" s="225" t="inlineStr">
        <is>
          <t>L001-100044638</t>
        </is>
      </c>
      <c r="E347" s="359" t="n">
        <v>202500080259</v>
      </c>
      <c r="F347" s="338" t="n">
        <v>45759</v>
      </c>
      <c r="G347" s="226" t="n"/>
      <c r="H347" s="627" t="n"/>
      <c r="I347" s="627" t="n">
        <v>278818</v>
      </c>
      <c r="J347" s="223" t="inlineStr">
        <is>
          <t>អនុញ្ញាត (បានប្រកាស)</t>
        </is>
      </c>
      <c r="K347" s="223" t="n"/>
      <c r="L347" s="626">
        <f>I347</f>
        <v/>
      </c>
      <c r="M347" s="598">
        <f>I347-L347</f>
        <v/>
      </c>
      <c r="N347" s="223" t="n"/>
      <c r="O347" s="228">
        <f>U347=E347</f>
        <v/>
      </c>
      <c r="P347" s="228">
        <f>MONTH(F347)-MONTH(T347)</f>
        <v/>
      </c>
      <c r="Q347" s="228">
        <f>$B$5=X347</f>
        <v/>
      </c>
      <c r="R347" s="228">
        <f>I347-AD347</f>
        <v/>
      </c>
      <c r="S347" s="371" t="n"/>
      <c r="T347" s="372" t="n">
        <v>45759</v>
      </c>
      <c r="U347" s="371" t="n">
        <v>202500080259</v>
      </c>
      <c r="V347" s="371" t="n">
        <v>0</v>
      </c>
      <c r="W347" s="371" t="inlineStr">
        <is>
          <t>បុគ្គលជាប់អាករ</t>
        </is>
      </c>
      <c r="X347" s="371" t="inlineStr">
        <is>
          <t>L001-901640009</t>
        </is>
      </c>
      <c r="Y347" s="371" t="inlineStr">
        <is>
          <t>ហូលីដេ ឌីហ្សាញ (ខេមបូឌា) ឯ.ក</t>
        </is>
      </c>
      <c r="Z347" s="373" t="n">
        <v>3066994</v>
      </c>
      <c r="AA347" s="373" t="n">
        <v>2788176</v>
      </c>
      <c r="AB347" s="371" t="n">
        <v>0</v>
      </c>
      <c r="AC347" s="371" t="inlineStr">
        <is>
          <t>-</t>
        </is>
      </c>
      <c r="AD347" s="373" t="n">
        <v>278818</v>
      </c>
      <c r="AE347" s="371" t="n">
        <v>0</v>
      </c>
      <c r="AF347" s="625" t="n">
        <v>0</v>
      </c>
      <c r="AG347" s="205" t="n">
        <v>0</v>
      </c>
      <c r="AH347" s="205" t="n">
        <v>0</v>
      </c>
      <c r="AI347" s="205" t="n">
        <v>0</v>
      </c>
      <c r="AJ347" s="205" t="n">
        <v>0</v>
      </c>
      <c r="AK347" s="205" t="n">
        <v>0</v>
      </c>
      <c r="AL347" s="205" t="n">
        <v>0.01</v>
      </c>
      <c r="AM347" s="205" t="n">
        <v>0</v>
      </c>
      <c r="AN347" s="205" t="inlineStr">
        <is>
          <t>LOLO</t>
        </is>
      </c>
    </row>
    <row r="348">
      <c r="A348" s="222">
        <f>A347+1</f>
        <v/>
      </c>
      <c r="B348" s="224" t="inlineStr">
        <is>
          <t>Lift-On &amp; Lift-On-Im</t>
        </is>
      </c>
      <c r="C348" s="224" t="inlineStr">
        <is>
          <t>Port Autonome Du Sihanoukville</t>
        </is>
      </c>
      <c r="D348" s="225" t="inlineStr">
        <is>
          <t>L001-100044638</t>
        </is>
      </c>
      <c r="E348" s="359" t="n">
        <v>202500084254</v>
      </c>
      <c r="F348" s="338" t="n">
        <v>45766</v>
      </c>
      <c r="G348" s="226" t="n"/>
      <c r="H348" s="627" t="n"/>
      <c r="I348" s="627" t="n">
        <v>452966</v>
      </c>
      <c r="J348" s="223" t="inlineStr">
        <is>
          <t>អនុញ្ញាត (បានប្រកាស)</t>
        </is>
      </c>
      <c r="K348" s="223" t="n"/>
      <c r="L348" s="626">
        <f>I348</f>
        <v/>
      </c>
      <c r="M348" s="598">
        <f>I348-L348</f>
        <v/>
      </c>
      <c r="N348" s="223" t="n"/>
      <c r="O348" s="228">
        <f>U348=E348</f>
        <v/>
      </c>
      <c r="P348" s="228">
        <f>MONTH(F348)-MONTH(T348)</f>
        <v/>
      </c>
      <c r="Q348" s="228">
        <f>$B$5=X348</f>
        <v/>
      </c>
      <c r="R348" s="228">
        <f>I348-AD348</f>
        <v/>
      </c>
      <c r="S348" s="371" t="n"/>
      <c r="T348" s="372" t="n">
        <v>45766</v>
      </c>
      <c r="U348" s="371" t="n">
        <v>202500084254</v>
      </c>
      <c r="V348" s="371" t="n">
        <v>0</v>
      </c>
      <c r="W348" s="371" t="inlineStr">
        <is>
          <t>បុគ្គលជាប់អាករ</t>
        </is>
      </c>
      <c r="X348" s="371" t="inlineStr">
        <is>
          <t>L001-901640009</t>
        </is>
      </c>
      <c r="Y348" s="371" t="inlineStr">
        <is>
          <t>ហូលីដេ ឌីហ្សាញ (ខេមបូឌា) ឯ.ក</t>
        </is>
      </c>
      <c r="Z348" s="373" t="n">
        <v>4982621</v>
      </c>
      <c r="AA348" s="373" t="n">
        <v>4529655</v>
      </c>
      <c r="AB348" s="371" t="n">
        <v>0</v>
      </c>
      <c r="AC348" s="371" t="inlineStr">
        <is>
          <t>-</t>
        </is>
      </c>
      <c r="AD348" s="373" t="n">
        <v>452966</v>
      </c>
      <c r="AE348" s="371" t="n">
        <v>0</v>
      </c>
      <c r="AF348" s="625" t="n">
        <v>0</v>
      </c>
      <c r="AG348" s="205" t="n">
        <v>0</v>
      </c>
      <c r="AH348" s="205" t="n">
        <v>0</v>
      </c>
      <c r="AI348" s="205" t="n">
        <v>0</v>
      </c>
      <c r="AJ348" s="205" t="n">
        <v>0</v>
      </c>
      <c r="AK348" s="205" t="n">
        <v>0</v>
      </c>
      <c r="AL348" s="205" t="n">
        <v>0.01</v>
      </c>
      <c r="AM348" s="205" t="n">
        <v>0</v>
      </c>
      <c r="AN348" s="205" t="inlineStr">
        <is>
          <t>LOLO</t>
        </is>
      </c>
    </row>
    <row r="349">
      <c r="A349" s="222">
        <f>A348+1</f>
        <v/>
      </c>
      <c r="B349" s="224" t="inlineStr">
        <is>
          <t>Terminal Handling Charge</t>
        </is>
      </c>
      <c r="C349" s="224" t="inlineStr">
        <is>
          <t>SITC CONTAINER LINES (CAMBODIA) Co., Ltd.</t>
        </is>
      </c>
      <c r="D349" s="225" t="inlineStr">
        <is>
          <t>L001-107035863</t>
        </is>
      </c>
      <c r="E349" s="359" t="inlineStr">
        <is>
          <t>SITC2025-012624</t>
        </is>
      </c>
      <c r="F349" s="338" t="n">
        <v>45762</v>
      </c>
      <c r="G349" s="226" t="n"/>
      <c r="H349" s="627" t="n"/>
      <c r="I349" s="627" t="n">
        <v>2732092</v>
      </c>
      <c r="J349" s="223" t="inlineStr">
        <is>
          <t>អនុញ្ញាត (បានប្រកាស)</t>
        </is>
      </c>
      <c r="K349" s="223" t="n"/>
      <c r="L349" s="626">
        <f>I349</f>
        <v/>
      </c>
      <c r="M349" s="598">
        <f>I349-L349</f>
        <v/>
      </c>
      <c r="N349" s="223" t="n"/>
      <c r="O349" s="228">
        <f>U349=E349</f>
        <v/>
      </c>
      <c r="P349" s="228">
        <f>MONTH(F349)-MONTH(T349)</f>
        <v/>
      </c>
      <c r="Q349" s="228">
        <f>$B$5=X349</f>
        <v/>
      </c>
      <c r="R349" s="228">
        <f>I349-AD349</f>
        <v/>
      </c>
      <c r="S349" s="371" t="n"/>
      <c r="T349" s="372" t="n">
        <v>45762</v>
      </c>
      <c r="U349" s="371" t="inlineStr">
        <is>
          <t>SITC2025-012624</t>
        </is>
      </c>
      <c r="V349" s="371" t="n">
        <v>0</v>
      </c>
      <c r="W349" s="371" t="inlineStr">
        <is>
          <t>បុគ្គលជាប់អាករ</t>
        </is>
      </c>
      <c r="X349" s="371" t="inlineStr">
        <is>
          <t>L001-901640009</t>
        </is>
      </c>
      <c r="Y349" s="371" t="inlineStr">
        <is>
          <t>ហូលីដេ ឌីហ្សាញ (ខេមបូឌា) ឯ.ក</t>
        </is>
      </c>
      <c r="Z349" s="373" t="n">
        <v>30053012</v>
      </c>
      <c r="AA349" s="373" t="n">
        <v>27320920</v>
      </c>
      <c r="AB349" s="371" t="n">
        <v>0</v>
      </c>
      <c r="AC349" s="371" t="inlineStr">
        <is>
          <t>-</t>
        </is>
      </c>
      <c r="AD349" s="373" t="n">
        <v>2732092</v>
      </c>
      <c r="AE349" s="371" t="n">
        <v>0</v>
      </c>
      <c r="AF349" s="625" t="n">
        <v>0</v>
      </c>
      <c r="AG349" s="205" t="n">
        <v>0</v>
      </c>
      <c r="AH349" s="205" t="n">
        <v>0</v>
      </c>
      <c r="AI349" s="205" t="n">
        <v>0</v>
      </c>
      <c r="AJ349" s="205" t="n">
        <v>0</v>
      </c>
      <c r="AK349" s="205" t="n">
        <v>0</v>
      </c>
      <c r="AL349" s="205" t="n">
        <v>0.01</v>
      </c>
      <c r="AM349" s="205" t="n">
        <v>0</v>
      </c>
      <c r="AN349" s="205" t="inlineStr">
        <is>
          <t>KHDOC,EIB,EMF,KHCIC,KHTHC</t>
        </is>
      </c>
    </row>
    <row r="350">
      <c r="A350" s="222">
        <f>A349+1</f>
        <v/>
      </c>
      <c r="B350" s="224" t="inlineStr">
        <is>
          <t>Trucking &amp; Clearance-Im</t>
        </is>
      </c>
      <c r="C350" s="224" t="inlineStr">
        <is>
          <t>BRILLIANT TRANSPORT AND TRADING Co., Ltd.</t>
        </is>
      </c>
      <c r="D350" s="225" t="inlineStr">
        <is>
          <t>K002-100089305</t>
        </is>
      </c>
      <c r="E350" s="359" t="inlineStr">
        <is>
          <t>BTT25-0000922</t>
        </is>
      </c>
      <c r="F350" s="338" t="n">
        <v>45765</v>
      </c>
      <c r="G350" s="226" t="n"/>
      <c r="H350" s="627" t="n"/>
      <c r="I350" s="627" t="n">
        <v>3083850</v>
      </c>
      <c r="J350" s="223" t="inlineStr">
        <is>
          <t>អនុញ្ញាត (បានប្រកាស)</t>
        </is>
      </c>
      <c r="K350" s="223" t="n"/>
      <c r="L350" s="626">
        <f>I350</f>
        <v/>
      </c>
      <c r="M350" s="598">
        <f>I350-L350</f>
        <v/>
      </c>
      <c r="N350" s="223" t="n"/>
      <c r="O350" s="228">
        <f>U350=E350</f>
        <v/>
      </c>
      <c r="P350" s="228">
        <f>MONTH(F350)-MONTH(T350)</f>
        <v/>
      </c>
      <c r="Q350" s="228">
        <f>$B$5=X350</f>
        <v/>
      </c>
      <c r="R350" s="228">
        <f>I350-AD350</f>
        <v/>
      </c>
      <c r="S350" s="371" t="n"/>
      <c r="T350" s="372" t="n">
        <v>45765</v>
      </c>
      <c r="U350" s="371" t="inlineStr">
        <is>
          <t>BTT25-0000922</t>
        </is>
      </c>
      <c r="V350" s="371" t="n">
        <v>0</v>
      </c>
      <c r="W350" s="371" t="inlineStr">
        <is>
          <t>បុគ្គលជាប់អាករ</t>
        </is>
      </c>
      <c r="X350" s="371" t="inlineStr">
        <is>
          <t>L001-901640009</t>
        </is>
      </c>
      <c r="Y350" s="371" t="inlineStr">
        <is>
          <t>ហូលីដេ ឌីហ្សាញ (ខេមបូឌា) ឯ.ក</t>
        </is>
      </c>
      <c r="Z350" s="373" t="n">
        <v>33922350</v>
      </c>
      <c r="AA350" s="373" t="n">
        <v>30838500</v>
      </c>
      <c r="AB350" s="371" t="n">
        <v>0</v>
      </c>
      <c r="AC350" s="371" t="inlineStr">
        <is>
          <t>-</t>
        </is>
      </c>
      <c r="AD350" s="373" t="n">
        <v>3083850</v>
      </c>
      <c r="AE350" s="371" t="n">
        <v>0</v>
      </c>
      <c r="AF350" s="625" t="n">
        <v>0</v>
      </c>
      <c r="AG350" s="205" t="n">
        <v>0</v>
      </c>
      <c r="AH350" s="205" t="n">
        <v>0</v>
      </c>
      <c r="AI350" s="205" t="n">
        <v>0</v>
      </c>
      <c r="AJ350" s="205" t="n">
        <v>0</v>
      </c>
      <c r="AK350" s="205" t="n">
        <v>0</v>
      </c>
      <c r="AL350" s="205" t="n">
        <v>0.01</v>
      </c>
      <c r="AM350" s="205" t="n">
        <v>0</v>
      </c>
      <c r="AN350" s="205" t="inlineStr">
        <is>
          <t>Truking / Service</t>
        </is>
      </c>
    </row>
    <row r="351">
      <c r="A351" s="222">
        <f>A350+1</f>
        <v/>
      </c>
      <c r="B351" s="224" t="inlineStr">
        <is>
          <t>Lift-On &amp; Lift-On-Im</t>
        </is>
      </c>
      <c r="C351" s="224" t="inlineStr">
        <is>
          <t>Port Autonome Du Sihanoukville</t>
        </is>
      </c>
      <c r="D351" s="225" t="inlineStr">
        <is>
          <t>L001-100044638</t>
        </is>
      </c>
      <c r="E351" s="359" t="n">
        <v>202500090156</v>
      </c>
      <c r="F351" s="338" t="n">
        <v>45771</v>
      </c>
      <c r="G351" s="226" t="n"/>
      <c r="H351" s="627" t="n"/>
      <c r="I351" s="627" t="n">
        <v>174131</v>
      </c>
      <c r="J351" s="223" t="inlineStr">
        <is>
          <t>អនុញ្ញាត (បានប្រកាស)</t>
        </is>
      </c>
      <c r="K351" s="223" t="n"/>
      <c r="L351" s="626">
        <f>I351</f>
        <v/>
      </c>
      <c r="M351" s="598">
        <f>I351-L351</f>
        <v/>
      </c>
      <c r="N351" s="223" t="n"/>
      <c r="O351" s="228">
        <f>U351=E351</f>
        <v/>
      </c>
      <c r="P351" s="228">
        <f>MONTH(F351)-MONTH(T351)</f>
        <v/>
      </c>
      <c r="Q351" s="228">
        <f>$B$5=X351</f>
        <v/>
      </c>
      <c r="R351" s="228">
        <f>I351-AD351</f>
        <v/>
      </c>
      <c r="S351" s="371" t="n"/>
      <c r="T351" s="372" t="n">
        <v>45771</v>
      </c>
      <c r="U351" s="371" t="n">
        <v>202500090156</v>
      </c>
      <c r="V351" s="371" t="n">
        <v>0</v>
      </c>
      <c r="W351" s="371" t="inlineStr">
        <is>
          <t>បុគ្គលជាប់អាករ</t>
        </is>
      </c>
      <c r="X351" s="371" t="inlineStr">
        <is>
          <t>L001-901640009</t>
        </is>
      </c>
      <c r="Y351" s="371" t="inlineStr">
        <is>
          <t>ហូលីដេ ឌីហ្សាញ (ខេមបូឌា) ឯ.ក</t>
        </is>
      </c>
      <c r="Z351" s="373" t="n">
        <v>1915436</v>
      </c>
      <c r="AA351" s="373" t="n">
        <v>1741305</v>
      </c>
      <c r="AB351" s="371" t="n">
        <v>0</v>
      </c>
      <c r="AC351" s="371" t="inlineStr">
        <is>
          <t>-</t>
        </is>
      </c>
      <c r="AD351" s="373" t="n">
        <v>174131</v>
      </c>
      <c r="AE351" s="371" t="n">
        <v>0</v>
      </c>
      <c r="AF351" s="625" t="n">
        <v>0</v>
      </c>
      <c r="AG351" s="205" t="n">
        <v>0</v>
      </c>
      <c r="AH351" s="205" t="n">
        <v>0</v>
      </c>
      <c r="AI351" s="205" t="n">
        <v>0</v>
      </c>
      <c r="AJ351" s="205" t="n">
        <v>0</v>
      </c>
      <c r="AK351" s="205" t="n">
        <v>0</v>
      </c>
      <c r="AL351" s="205" t="n">
        <v>0.01</v>
      </c>
      <c r="AM351" s="205" t="n">
        <v>0</v>
      </c>
      <c r="AN351" s="205" t="inlineStr">
        <is>
          <t>LOLO</t>
        </is>
      </c>
    </row>
    <row r="352">
      <c r="A352" s="222">
        <f>A351+1</f>
        <v/>
      </c>
      <c r="B352" s="224" t="inlineStr">
        <is>
          <t>Telecom service usage charge</t>
        </is>
      </c>
      <c r="C352" s="224" t="inlineStr">
        <is>
          <t>VIETTEL (CAMBODIA) PTE. LTD.</t>
        </is>
      </c>
      <c r="D352" s="225" t="inlineStr">
        <is>
          <t>L001-100121845</t>
        </is>
      </c>
      <c r="E352" s="359" t="inlineStr">
        <is>
          <t>MC/2025-0809347</t>
        </is>
      </c>
      <c r="F352" s="338" t="n">
        <v>45775</v>
      </c>
      <c r="G352" s="226" t="n"/>
      <c r="H352" s="627" t="n"/>
      <c r="I352" s="627" t="n">
        <v>720360</v>
      </c>
      <c r="J352" s="223" t="inlineStr">
        <is>
          <t>អនុញ្ញាត (បានប្រកាស)</t>
        </is>
      </c>
      <c r="K352" s="223" t="n"/>
      <c r="L352" s="626">
        <f>I352</f>
        <v/>
      </c>
      <c r="M352" s="598">
        <f>I352-L352</f>
        <v/>
      </c>
      <c r="N352" s="223" t="n"/>
      <c r="O352" s="228">
        <f>U352=E352</f>
        <v/>
      </c>
      <c r="P352" s="228">
        <f>MONTH(F352)-MONTH(T352)</f>
        <v/>
      </c>
      <c r="Q352" s="228">
        <f>$B$5=X352</f>
        <v/>
      </c>
      <c r="R352" s="228">
        <f>I352-AD352</f>
        <v/>
      </c>
      <c r="S352" s="371" t="n"/>
      <c r="T352" s="372" t="n">
        <v>45775</v>
      </c>
      <c r="U352" s="371" t="inlineStr">
        <is>
          <t>MC/2025-0809347</t>
        </is>
      </c>
      <c r="V352" s="371" t="n">
        <v>0</v>
      </c>
      <c r="W352" s="371" t="inlineStr">
        <is>
          <t>បុគ្គលជាប់អាករ</t>
        </is>
      </c>
      <c r="X352" s="371" t="inlineStr">
        <is>
          <t>L001-901640009</t>
        </is>
      </c>
      <c r="Y352" s="371" t="inlineStr">
        <is>
          <t>ហូលីដេ ឌីហ្សាញ (ខេមបូឌា) ឯ.ក</t>
        </is>
      </c>
      <c r="Z352" s="373" t="n">
        <v>7925940</v>
      </c>
      <c r="AA352" s="373" t="n">
        <v>7205400</v>
      </c>
      <c r="AB352" s="371" t="n">
        <v>0</v>
      </c>
      <c r="AC352" s="371" t="inlineStr">
        <is>
          <t>-</t>
        </is>
      </c>
      <c r="AD352" s="373" t="n">
        <v>720540</v>
      </c>
      <c r="AE352" s="371" t="n">
        <v>0</v>
      </c>
      <c r="AF352" s="625" t="n">
        <v>0</v>
      </c>
      <c r="AG352" s="205" t="n">
        <v>0</v>
      </c>
      <c r="AH352" s="205" t="n">
        <v>0</v>
      </c>
      <c r="AI352" s="205" t="n">
        <v>0</v>
      </c>
      <c r="AJ352" s="205" t="n">
        <v>0</v>
      </c>
      <c r="AK352" s="205" t="n">
        <v>0</v>
      </c>
      <c r="AL352" s="205" t="n">
        <v>0.01</v>
      </c>
      <c r="AM352" s="205" t="n">
        <v>0</v>
      </c>
      <c r="AN352" s="205" t="inlineStr">
        <is>
          <t>R009_Fixed-FTTx</t>
        </is>
      </c>
      <c r="AO352" s="205" t="inlineStr">
        <is>
          <t>បានប្រកាសនិងបង់ពន្ធ</t>
        </is>
      </c>
    </row>
    <row r="353">
      <c r="A353" s="222">
        <f>A352+1</f>
        <v/>
      </c>
      <c r="B353" s="224" t="inlineStr">
        <is>
          <t>Trucking &amp; Clearance-Im</t>
        </is>
      </c>
      <c r="C353" s="224" t="inlineStr">
        <is>
          <t>BRILLIANT TRANSPORT AND TRADING Co., Ltd.</t>
        </is>
      </c>
      <c r="D353" s="225" t="inlineStr">
        <is>
          <t>K002-100089305</t>
        </is>
      </c>
      <c r="E353" s="359" t="inlineStr">
        <is>
          <t>BTT25-0000921</t>
        </is>
      </c>
      <c r="F353" s="338" t="n">
        <v>45771</v>
      </c>
      <c r="G353" s="226" t="n"/>
      <c r="H353" s="627" t="n"/>
      <c r="I353" s="627" t="n">
        <v>1184888</v>
      </c>
      <c r="J353" s="223" t="inlineStr">
        <is>
          <t>អនុញ្ញាត (បានប្រកាស)</t>
        </is>
      </c>
      <c r="K353" s="223" t="n"/>
      <c r="L353" s="626">
        <f>I353</f>
        <v/>
      </c>
      <c r="M353" s="598">
        <f>I353-L353</f>
        <v/>
      </c>
      <c r="N353" s="223" t="n"/>
      <c r="O353" s="228">
        <f>U353=E353</f>
        <v/>
      </c>
      <c r="P353" s="228">
        <f>MONTH(F353)-MONTH(T353)</f>
        <v/>
      </c>
      <c r="Q353" s="228">
        <f>$B$5=X353</f>
        <v/>
      </c>
      <c r="R353" s="228">
        <f>I353-AD353</f>
        <v/>
      </c>
      <c r="S353" s="371" t="n"/>
      <c r="T353" s="372" t="n">
        <v>45771</v>
      </c>
      <c r="U353" s="371" t="inlineStr">
        <is>
          <t>BTT25-0000921</t>
        </is>
      </c>
      <c r="V353" s="371" t="n">
        <v>0</v>
      </c>
      <c r="W353" s="371" t="inlineStr">
        <is>
          <t>បុគ្គលជាប់អាករ</t>
        </is>
      </c>
      <c r="X353" s="371" t="inlineStr">
        <is>
          <t>L001-901640009</t>
        </is>
      </c>
      <c r="Y353" s="371" t="inlineStr">
        <is>
          <t>ហូលីដេ ឌីហ្សាញ (ខេមបូឌា) ឯ.ក</t>
        </is>
      </c>
      <c r="Z353" s="373" t="n">
        <v>13033768</v>
      </c>
      <c r="AA353" s="373" t="n">
        <v>11848880</v>
      </c>
      <c r="AB353" s="371" t="n">
        <v>0</v>
      </c>
      <c r="AC353" s="371" t="inlineStr">
        <is>
          <t>-</t>
        </is>
      </c>
      <c r="AD353" s="373" t="n">
        <v>1184888</v>
      </c>
      <c r="AE353" s="371" t="n">
        <v>0</v>
      </c>
      <c r="AF353" s="625" t="n">
        <v>0</v>
      </c>
      <c r="AG353" s="205" t="n">
        <v>0</v>
      </c>
      <c r="AH353" s="205" t="n">
        <v>0</v>
      </c>
      <c r="AI353" s="205" t="n">
        <v>0</v>
      </c>
      <c r="AJ353" s="205" t="n">
        <v>0</v>
      </c>
      <c r="AK353" s="205" t="n">
        <v>0</v>
      </c>
      <c r="AL353" s="205" t="n">
        <v>0.01</v>
      </c>
      <c r="AM353" s="205" t="n">
        <v>0</v>
      </c>
      <c r="AN353" s="205" t="inlineStr">
        <is>
          <t>Truking / Service</t>
        </is>
      </c>
    </row>
    <row r="354">
      <c r="A354" s="222">
        <f>A353+1</f>
        <v/>
      </c>
      <c r="B354" s="224" t="inlineStr">
        <is>
          <t>Storage charges-Im</t>
        </is>
      </c>
      <c r="C354" s="224" t="inlineStr">
        <is>
          <t>Port Autonome Du Sihanoukville</t>
        </is>
      </c>
      <c r="D354" s="225" t="inlineStr">
        <is>
          <t>L001-100044638</t>
        </is>
      </c>
      <c r="E354" s="359" t="n">
        <v>202500088366</v>
      </c>
      <c r="F354" s="338" t="n">
        <v>45770</v>
      </c>
      <c r="G354" s="226" t="n"/>
      <c r="H354" s="627" t="n"/>
      <c r="I354" s="627" t="n">
        <v>2402</v>
      </c>
      <c r="J354" s="223" t="inlineStr">
        <is>
          <t>អនុញ្ញាត (បានប្រកាស)</t>
        </is>
      </c>
      <c r="K354" s="223" t="n"/>
      <c r="L354" s="626">
        <f>I354</f>
        <v/>
      </c>
      <c r="M354" s="598">
        <f>I354-L354</f>
        <v/>
      </c>
      <c r="N354" s="223" t="n"/>
      <c r="O354" s="228">
        <f>U354=E354</f>
        <v/>
      </c>
      <c r="P354" s="228">
        <f>MONTH(F354)-MONTH(T354)</f>
        <v/>
      </c>
      <c r="Q354" s="228">
        <f>$B$5=X354</f>
        <v/>
      </c>
      <c r="R354" s="228">
        <f>I354-AD354</f>
        <v/>
      </c>
      <c r="S354" s="371" t="n"/>
      <c r="T354" s="372" t="n">
        <v>45770</v>
      </c>
      <c r="U354" s="371" t="n">
        <v>202500088366</v>
      </c>
      <c r="V354" s="371" t="n">
        <v>0</v>
      </c>
      <c r="W354" s="371" t="inlineStr">
        <is>
          <t>បុគ្គលជាប់អាករ</t>
        </is>
      </c>
      <c r="X354" s="371" t="inlineStr">
        <is>
          <t>L001-901640009</t>
        </is>
      </c>
      <c r="Y354" s="371" t="inlineStr">
        <is>
          <t>ហូលីដេ ឌីហ្សាញ (ខេមបូឌា) ឯ.ក</t>
        </is>
      </c>
      <c r="Z354" s="373" t="n">
        <v>26420</v>
      </c>
      <c r="AA354" s="373" t="n">
        <v>24018</v>
      </c>
      <c r="AB354" s="371" t="n">
        <v>0</v>
      </c>
      <c r="AC354" s="371" t="inlineStr">
        <is>
          <t>-</t>
        </is>
      </c>
      <c r="AD354" s="373" t="n">
        <v>2402</v>
      </c>
      <c r="AE354" s="371" t="n">
        <v>0</v>
      </c>
      <c r="AF354" s="625" t="n">
        <v>0</v>
      </c>
      <c r="AG354" s="205" t="n">
        <v>0</v>
      </c>
      <c r="AH354" s="205" t="n">
        <v>0</v>
      </c>
      <c r="AI354" s="205" t="n">
        <v>0</v>
      </c>
      <c r="AJ354" s="205" t="n">
        <v>0</v>
      </c>
      <c r="AK354" s="205" t="n">
        <v>0</v>
      </c>
      <c r="AL354" s="205" t="n">
        <v>0.01</v>
      </c>
      <c r="AM354" s="205" t="n">
        <v>0</v>
      </c>
      <c r="AN354" s="205" t="inlineStr">
        <is>
          <t>Storage</t>
        </is>
      </c>
    </row>
    <row r="355">
      <c r="A355" s="222">
        <f>A354+1</f>
        <v/>
      </c>
      <c r="B355" s="224" t="inlineStr">
        <is>
          <t>Storage charges-Im</t>
        </is>
      </c>
      <c r="C355" s="224" t="inlineStr">
        <is>
          <t>Port Autonome Du Sihanoukville</t>
        </is>
      </c>
      <c r="D355" s="225" t="inlineStr">
        <is>
          <t>L001-100044638</t>
        </is>
      </c>
      <c r="E355" s="359" t="n">
        <v>202500087344</v>
      </c>
      <c r="F355" s="338" t="n">
        <v>45769</v>
      </c>
      <c r="G355" s="226" t="n"/>
      <c r="H355" s="627" t="n"/>
      <c r="I355" s="627" t="n">
        <v>7207</v>
      </c>
      <c r="J355" s="223" t="inlineStr">
        <is>
          <t>អនុញ្ញាត (បានប្រកាស)</t>
        </is>
      </c>
      <c r="K355" s="223" t="n"/>
      <c r="L355" s="626">
        <f>I355</f>
        <v/>
      </c>
      <c r="M355" s="598">
        <f>I355-L355</f>
        <v/>
      </c>
      <c r="N355" s="223" t="n"/>
      <c r="O355" s="228">
        <f>U355=E355</f>
        <v/>
      </c>
      <c r="P355" s="228">
        <f>MONTH(F355)-MONTH(T355)</f>
        <v/>
      </c>
      <c r="Q355" s="228">
        <f>$B$5=X355</f>
        <v/>
      </c>
      <c r="R355" s="228">
        <f>I355-AD355</f>
        <v/>
      </c>
      <c r="S355" s="371" t="n"/>
      <c r="T355" s="372" t="n">
        <v>45769</v>
      </c>
      <c r="U355" s="371" t="n">
        <v>202500087344</v>
      </c>
      <c r="V355" s="371" t="n">
        <v>0</v>
      </c>
      <c r="W355" s="371" t="inlineStr">
        <is>
          <t>បុគ្គលជាប់អាករ</t>
        </is>
      </c>
      <c r="X355" s="371" t="inlineStr">
        <is>
          <t>L001-901640009</t>
        </is>
      </c>
      <c r="Y355" s="371" t="inlineStr">
        <is>
          <t>ហូលីដេ ឌីហ្សាញ (ខេមបូឌា) ឯ.ក</t>
        </is>
      </c>
      <c r="Z355" s="373" t="n">
        <v>79279</v>
      </c>
      <c r="AA355" s="373" t="n">
        <v>72072</v>
      </c>
      <c r="AB355" s="371" t="n">
        <v>0</v>
      </c>
      <c r="AC355" s="371" t="inlineStr">
        <is>
          <t>-</t>
        </is>
      </c>
      <c r="AD355" s="373" t="n">
        <v>7207</v>
      </c>
      <c r="AE355" s="371" t="n">
        <v>0</v>
      </c>
      <c r="AF355" s="625" t="n">
        <v>0</v>
      </c>
      <c r="AG355" s="205" t="n">
        <v>0</v>
      </c>
      <c r="AH355" s="205" t="n">
        <v>0</v>
      </c>
      <c r="AI355" s="205" t="n">
        <v>0</v>
      </c>
      <c r="AJ355" s="205" t="n">
        <v>0</v>
      </c>
      <c r="AK355" s="205" t="n">
        <v>0</v>
      </c>
      <c r="AL355" s="205" t="n">
        <v>0.01</v>
      </c>
      <c r="AM355" s="205" t="n">
        <v>0</v>
      </c>
      <c r="AN355" s="205" t="inlineStr">
        <is>
          <t>Storage</t>
        </is>
      </c>
    </row>
    <row r="356">
      <c r="A356" s="222">
        <f>A355+1</f>
        <v/>
      </c>
      <c r="B356" s="224" t="inlineStr">
        <is>
          <t>Storage charges-Im</t>
        </is>
      </c>
      <c r="C356" s="224" t="inlineStr">
        <is>
          <t>Port Autonome Du Sihanoukville</t>
        </is>
      </c>
      <c r="D356" s="225" t="inlineStr">
        <is>
          <t>L001-100044638</t>
        </is>
      </c>
      <c r="E356" s="359" t="n">
        <v>202500086379</v>
      </c>
      <c r="F356" s="338" t="n">
        <v>45768</v>
      </c>
      <c r="G356" s="226" t="n"/>
      <c r="H356" s="627" t="n"/>
      <c r="I356" s="627" t="n">
        <v>7205</v>
      </c>
      <c r="J356" s="223" t="inlineStr">
        <is>
          <t>អនុញ្ញាត (បានប្រកាស)</t>
        </is>
      </c>
      <c r="K356" s="223" t="n"/>
      <c r="L356" s="626">
        <f>I356</f>
        <v/>
      </c>
      <c r="M356" s="598">
        <f>I356-L356</f>
        <v/>
      </c>
      <c r="N356" s="223" t="n"/>
      <c r="O356" s="228">
        <f>U356=E356</f>
        <v/>
      </c>
      <c r="P356" s="228">
        <f>MONTH(F356)-MONTH(T356)</f>
        <v/>
      </c>
      <c r="Q356" s="228">
        <f>$B$5=X356</f>
        <v/>
      </c>
      <c r="R356" s="228">
        <f>I356-AD356</f>
        <v/>
      </c>
      <c r="S356" s="371" t="n"/>
      <c r="T356" s="372" t="n">
        <v>45768</v>
      </c>
      <c r="U356" s="371" t="n">
        <v>202500086379</v>
      </c>
      <c r="V356" s="371" t="n">
        <v>0</v>
      </c>
      <c r="W356" s="371" t="inlineStr">
        <is>
          <t>បុគ្គលជាប់អាករ</t>
        </is>
      </c>
      <c r="X356" s="371" t="inlineStr">
        <is>
          <t>L001-901640009</t>
        </is>
      </c>
      <c r="Y356" s="371" t="inlineStr">
        <is>
          <t>ហូលីដេ ឌីហ្សាញ (ខេមបូឌា) ឯ.ក</t>
        </is>
      </c>
      <c r="Z356" s="373" t="n">
        <v>79259</v>
      </c>
      <c r="AA356" s="373" t="n">
        <v>72054</v>
      </c>
      <c r="AB356" s="371" t="n">
        <v>0</v>
      </c>
      <c r="AC356" s="371" t="inlineStr">
        <is>
          <t>-</t>
        </is>
      </c>
      <c r="AD356" s="373" t="n">
        <v>7205</v>
      </c>
      <c r="AE356" s="371" t="n">
        <v>0</v>
      </c>
      <c r="AF356" s="625" t="n">
        <v>0</v>
      </c>
      <c r="AG356" s="205" t="n">
        <v>0</v>
      </c>
      <c r="AH356" s="205" t="n">
        <v>0</v>
      </c>
      <c r="AI356" s="205" t="n">
        <v>0</v>
      </c>
      <c r="AJ356" s="205" t="n">
        <v>0</v>
      </c>
      <c r="AK356" s="205" t="n">
        <v>0</v>
      </c>
      <c r="AL356" s="205" t="n">
        <v>0.01</v>
      </c>
      <c r="AM356" s="205" t="n">
        <v>0</v>
      </c>
      <c r="AN356" s="205" t="inlineStr">
        <is>
          <t>Storage</t>
        </is>
      </c>
    </row>
    <row r="357">
      <c r="A357" s="222">
        <f>A356+1</f>
        <v/>
      </c>
      <c r="B357" s="224" t="inlineStr">
        <is>
          <t>Storage charges-Im</t>
        </is>
      </c>
      <c r="C357" s="224" t="inlineStr">
        <is>
          <t>Port Autonome Du Sihanoukville</t>
        </is>
      </c>
      <c r="D357" s="225" t="inlineStr">
        <is>
          <t>L001-100044638</t>
        </is>
      </c>
      <c r="E357" s="359" t="n">
        <v>202500084523</v>
      </c>
      <c r="F357" s="338" t="n">
        <v>45766</v>
      </c>
      <c r="G357" s="226" t="n"/>
      <c r="H357" s="627" t="n"/>
      <c r="I357" s="627" t="n">
        <v>64881</v>
      </c>
      <c r="J357" s="223" t="inlineStr">
        <is>
          <t>អនុញ្ញាត (បានប្រកាស)</t>
        </is>
      </c>
      <c r="K357" s="223" t="n"/>
      <c r="L357" s="626">
        <f>I357</f>
        <v/>
      </c>
      <c r="M357" s="598">
        <f>I357-L357</f>
        <v/>
      </c>
      <c r="N357" s="223" t="n"/>
      <c r="O357" s="228">
        <f>U357=E357</f>
        <v/>
      </c>
      <c r="P357" s="228">
        <f>MONTH(F357)-MONTH(T357)</f>
        <v/>
      </c>
      <c r="Q357" s="228">
        <f>$B$5=X357</f>
        <v/>
      </c>
      <c r="R357" s="228">
        <f>I357-AD357</f>
        <v/>
      </c>
      <c r="S357" s="371" t="n"/>
      <c r="T357" s="372" t="n">
        <v>45766</v>
      </c>
      <c r="U357" s="371" t="n">
        <v>202500084523</v>
      </c>
      <c r="V357" s="371" t="n">
        <v>0</v>
      </c>
      <c r="W357" s="371" t="inlineStr">
        <is>
          <t>បុគ្គលជាប់អាករ</t>
        </is>
      </c>
      <c r="X357" s="371" t="inlineStr">
        <is>
          <t>L001-901640009</t>
        </is>
      </c>
      <c r="Y357" s="371" t="inlineStr">
        <is>
          <t>ហូលីដេ ឌីហ្សាញ (ខេមបូឌា) ឯ.ក</t>
        </is>
      </c>
      <c r="Z357" s="373" t="n">
        <v>713691</v>
      </c>
      <c r="AA357" s="373" t="n">
        <v>648810</v>
      </c>
      <c r="AB357" s="371" t="n">
        <v>0</v>
      </c>
      <c r="AC357" s="371" t="inlineStr">
        <is>
          <t>-</t>
        </is>
      </c>
      <c r="AD357" s="373" t="n">
        <v>64881</v>
      </c>
      <c r="AE357" s="371" t="n">
        <v>0</v>
      </c>
      <c r="AF357" s="625" t="n">
        <v>0</v>
      </c>
      <c r="AG357" s="205" t="n">
        <v>0</v>
      </c>
      <c r="AH357" s="205" t="n">
        <v>0</v>
      </c>
      <c r="AI357" s="205" t="n">
        <v>0</v>
      </c>
      <c r="AJ357" s="205" t="n">
        <v>0</v>
      </c>
      <c r="AK357" s="205" t="n">
        <v>0</v>
      </c>
      <c r="AL357" s="205" t="n">
        <v>0.01</v>
      </c>
      <c r="AM357" s="205" t="n">
        <v>0</v>
      </c>
      <c r="AN357" s="205" t="inlineStr">
        <is>
          <t>Storage</t>
        </is>
      </c>
    </row>
    <row r="358">
      <c r="A358" s="222">
        <f>A357+1</f>
        <v/>
      </c>
      <c r="B358" s="224" t="inlineStr">
        <is>
          <t>Storage charges-Im</t>
        </is>
      </c>
      <c r="C358" s="224" t="inlineStr">
        <is>
          <t>Port Autonome Du Sihanoukville</t>
        </is>
      </c>
      <c r="D358" s="225" t="inlineStr">
        <is>
          <t>L001-100044638</t>
        </is>
      </c>
      <c r="E358" s="359" t="n">
        <v>202500085102</v>
      </c>
      <c r="F358" s="338" t="n">
        <v>45767</v>
      </c>
      <c r="G358" s="226" t="n"/>
      <c r="H358" s="627" t="n"/>
      <c r="I358" s="627" t="n">
        <v>8411</v>
      </c>
      <c r="J358" s="223" t="inlineStr">
        <is>
          <t>អនុញ្ញាត (បានប្រកាស)</t>
        </is>
      </c>
      <c r="K358" s="223" t="n"/>
      <c r="L358" s="626">
        <f>I358</f>
        <v/>
      </c>
      <c r="M358" s="598">
        <f>I358-L358</f>
        <v/>
      </c>
      <c r="N358" s="223" t="n"/>
      <c r="O358" s="228">
        <f>U358=E358</f>
        <v/>
      </c>
      <c r="P358" s="228">
        <f>MONTH(F358)-MONTH(T358)</f>
        <v/>
      </c>
      <c r="Q358" s="228">
        <f>$B$5=X358</f>
        <v/>
      </c>
      <c r="R358" s="228">
        <f>I358-AD358</f>
        <v/>
      </c>
      <c r="S358" s="371" t="n"/>
      <c r="T358" s="372" t="n">
        <v>45767</v>
      </c>
      <c r="U358" s="371" t="n">
        <v>202500085102</v>
      </c>
      <c r="V358" s="371" t="n">
        <v>0</v>
      </c>
      <c r="W358" s="371" t="inlineStr">
        <is>
          <t>បុគ្គលជាប់អាករ</t>
        </is>
      </c>
      <c r="X358" s="371" t="inlineStr">
        <is>
          <t>L001-901640009</t>
        </is>
      </c>
      <c r="Y358" s="371" t="inlineStr">
        <is>
          <t>ហូលីដេ ឌីហ្សាញ (ខេមបូឌា) ឯ.ក</t>
        </is>
      </c>
      <c r="Z358" s="373" t="n">
        <v>92516</v>
      </c>
      <c r="AA358" s="373" t="n">
        <v>84105</v>
      </c>
      <c r="AB358" s="371" t="n">
        <v>0</v>
      </c>
      <c r="AC358" s="371" t="inlineStr">
        <is>
          <t>-</t>
        </is>
      </c>
      <c r="AD358" s="373" t="n">
        <v>8411</v>
      </c>
      <c r="AE358" s="371" t="n">
        <v>0</v>
      </c>
      <c r="AF358" s="625" t="n">
        <v>0</v>
      </c>
      <c r="AG358" s="205" t="n">
        <v>0</v>
      </c>
      <c r="AH358" s="205" t="n">
        <v>0</v>
      </c>
      <c r="AI358" s="205" t="n">
        <v>0</v>
      </c>
      <c r="AJ358" s="205" t="n">
        <v>0</v>
      </c>
      <c r="AK358" s="205" t="n">
        <v>0</v>
      </c>
      <c r="AL358" s="205" t="n">
        <v>0.01</v>
      </c>
      <c r="AM358" s="205" t="n">
        <v>0</v>
      </c>
      <c r="AN358" s="205" t="inlineStr">
        <is>
          <t>Storage</t>
        </is>
      </c>
    </row>
    <row r="359">
      <c r="A359" s="222">
        <f>A358+1</f>
        <v/>
      </c>
      <c r="B359" s="224" t="inlineStr">
        <is>
          <t>Lift-On &amp; Lift-On-Im</t>
        </is>
      </c>
      <c r="C359" s="224" t="inlineStr">
        <is>
          <t>Port Autonome Du Sihanoukville</t>
        </is>
      </c>
      <c r="D359" s="225" t="inlineStr">
        <is>
          <t>L001-100044638</t>
        </is>
      </c>
      <c r="E359" s="359" t="n">
        <v>202500083063</v>
      </c>
      <c r="F359" s="338" t="n">
        <v>45765</v>
      </c>
      <c r="G359" s="226" t="n"/>
      <c r="H359" s="627" t="n"/>
      <c r="I359" s="627" t="n">
        <v>205457</v>
      </c>
      <c r="J359" s="223" t="inlineStr">
        <is>
          <t>អនុញ្ញាត (បានប្រកាស)</t>
        </is>
      </c>
      <c r="K359" s="223" t="n"/>
      <c r="L359" s="626">
        <f>I359</f>
        <v/>
      </c>
      <c r="M359" s="598">
        <f>I359-L359</f>
        <v/>
      </c>
      <c r="N359" s="223" t="n"/>
      <c r="O359" s="228">
        <f>U359=E359</f>
        <v/>
      </c>
      <c r="P359" s="228">
        <f>MONTH(F359)-MONTH(T359)</f>
        <v/>
      </c>
      <c r="Q359" s="228">
        <f>$B$5=X359</f>
        <v/>
      </c>
      <c r="R359" s="228">
        <f>I359-AD359</f>
        <v/>
      </c>
      <c r="S359" s="371" t="n"/>
      <c r="T359" s="372" t="n">
        <v>45765</v>
      </c>
      <c r="U359" s="371" t="n">
        <v>202500083063</v>
      </c>
      <c r="V359" s="371" t="n">
        <v>0</v>
      </c>
      <c r="W359" s="371" t="inlineStr">
        <is>
          <t>បុគ្គលជាប់អាករ</t>
        </is>
      </c>
      <c r="X359" s="371" t="inlineStr">
        <is>
          <t>L001-901640009</t>
        </is>
      </c>
      <c r="Y359" s="371" t="inlineStr">
        <is>
          <t>ហូលីដេ ឌីហ្សាញ (ខេមបូឌា) ឯ.ក</t>
        </is>
      </c>
      <c r="Z359" s="373" t="n">
        <v>2260022</v>
      </c>
      <c r="AA359" s="373" t="n">
        <v>2054565</v>
      </c>
      <c r="AB359" s="371" t="n">
        <v>0</v>
      </c>
      <c r="AC359" s="371" t="inlineStr">
        <is>
          <t>-</t>
        </is>
      </c>
      <c r="AD359" s="373" t="n">
        <v>205457</v>
      </c>
      <c r="AE359" s="371" t="n">
        <v>0</v>
      </c>
      <c r="AF359" s="625" t="n">
        <v>0</v>
      </c>
      <c r="AG359" s="205" t="n">
        <v>0</v>
      </c>
      <c r="AH359" s="205" t="n">
        <v>0</v>
      </c>
      <c r="AI359" s="205" t="n">
        <v>0</v>
      </c>
      <c r="AJ359" s="205" t="n">
        <v>0</v>
      </c>
      <c r="AK359" s="205" t="n">
        <v>0</v>
      </c>
      <c r="AL359" s="205" t="n">
        <v>0.01</v>
      </c>
      <c r="AM359" s="205" t="n">
        <v>0</v>
      </c>
      <c r="AN359" s="205" t="inlineStr">
        <is>
          <t>LOLO</t>
        </is>
      </c>
    </row>
    <row r="360">
      <c r="A360" s="222">
        <f>A359+1</f>
        <v/>
      </c>
      <c r="B360" s="224" t="inlineStr">
        <is>
          <t>Terminal Handling Charge</t>
        </is>
      </c>
      <c r="C360" s="224" t="inlineStr">
        <is>
          <t>SITC CONTAINER LINES (CAMBODIA) Co., Ltd.</t>
        </is>
      </c>
      <c r="D360" s="225" t="inlineStr">
        <is>
          <t>L001-107035863</t>
        </is>
      </c>
      <c r="E360" s="359" t="inlineStr">
        <is>
          <t>SITC2025-011858</t>
        </is>
      </c>
      <c r="F360" s="338" t="n">
        <v>45756</v>
      </c>
      <c r="G360" s="226" t="n"/>
      <c r="H360" s="627" t="n"/>
      <c r="I360" s="627" t="n">
        <v>1105380</v>
      </c>
      <c r="J360" s="223" t="inlineStr">
        <is>
          <t>អនុញ្ញាត (បានប្រកាស)</t>
        </is>
      </c>
      <c r="K360" s="223" t="n"/>
      <c r="L360" s="626">
        <f>I360</f>
        <v/>
      </c>
      <c r="M360" s="598">
        <f>I360-L360</f>
        <v/>
      </c>
      <c r="N360" s="223" t="n"/>
      <c r="O360" s="228">
        <f>U360=E360</f>
        <v/>
      </c>
      <c r="P360" s="228">
        <f>MONTH(F360)-MONTH(T360)</f>
        <v/>
      </c>
      <c r="Q360" s="228">
        <f>$B$5=X360</f>
        <v/>
      </c>
      <c r="R360" s="228">
        <f>I360-AD360</f>
        <v/>
      </c>
      <c r="S360" s="371" t="n"/>
      <c r="T360" s="372" t="n">
        <v>45756</v>
      </c>
      <c r="U360" s="371" t="inlineStr">
        <is>
          <t>SITC2025-011858</t>
        </is>
      </c>
      <c r="V360" s="371" t="n">
        <v>0</v>
      </c>
      <c r="W360" s="371" t="inlineStr">
        <is>
          <t>បុគ្គលជាប់អាករ</t>
        </is>
      </c>
      <c r="X360" s="371" t="inlineStr">
        <is>
          <t>L001-901640009</t>
        </is>
      </c>
      <c r="Y360" s="371" t="inlineStr">
        <is>
          <t>ហូលីដេ ឌីហ្សាញ (ខេមបូឌា) ឯ.ក</t>
        </is>
      </c>
      <c r="Z360" s="373" t="n">
        <v>12159180</v>
      </c>
      <c r="AA360" s="373" t="n">
        <v>11053800</v>
      </c>
      <c r="AB360" s="371" t="n">
        <v>0</v>
      </c>
      <c r="AC360" s="371" t="inlineStr">
        <is>
          <t>-</t>
        </is>
      </c>
      <c r="AD360" s="373" t="n">
        <v>1105380</v>
      </c>
      <c r="AE360" s="371" t="n">
        <v>0</v>
      </c>
      <c r="AF360" s="625" t="n">
        <v>0</v>
      </c>
      <c r="AG360" s="205" t="n">
        <v>0</v>
      </c>
      <c r="AH360" s="205" t="n">
        <v>0</v>
      </c>
      <c r="AI360" s="205" t="n">
        <v>0</v>
      </c>
      <c r="AJ360" s="205" t="n">
        <v>0</v>
      </c>
      <c r="AK360" s="205" t="n">
        <v>0</v>
      </c>
      <c r="AL360" s="205" t="n">
        <v>0.01</v>
      </c>
      <c r="AM360" s="205" t="n">
        <v>0</v>
      </c>
      <c r="AN360" s="205" t="inlineStr">
        <is>
          <t>EIB,KHDOC,KHTHC,EMF,KHCIC</t>
        </is>
      </c>
    </row>
    <row r="361">
      <c r="A361" s="222">
        <f>A360+1</f>
        <v/>
      </c>
      <c r="B361" s="224" t="inlineStr">
        <is>
          <t>Trucking &amp; Clearance-Im</t>
        </is>
      </c>
      <c r="C361" s="224" t="inlineStr">
        <is>
          <t>BRILLIANT TRANSPORT AND TRADING Co., Ltd.</t>
        </is>
      </c>
      <c r="D361" s="225" t="inlineStr">
        <is>
          <t>K002-100089305</t>
        </is>
      </c>
      <c r="E361" s="359" t="inlineStr">
        <is>
          <t>BTT25-0000920</t>
        </is>
      </c>
      <c r="F361" s="338" t="n">
        <v>45764</v>
      </c>
      <c r="G361" s="226" t="n"/>
      <c r="H361" s="627" t="n"/>
      <c r="I361" s="627" t="n">
        <v>2222775</v>
      </c>
      <c r="J361" s="223" t="inlineStr">
        <is>
          <t>អនុញ្ញាត (បានប្រកាស)</t>
        </is>
      </c>
      <c r="K361" s="223" t="n"/>
      <c r="L361" s="626">
        <f>I361</f>
        <v/>
      </c>
      <c r="M361" s="598">
        <f>I361-L361</f>
        <v/>
      </c>
      <c r="N361" s="223" t="n"/>
      <c r="O361" s="228">
        <f>U361=E361</f>
        <v/>
      </c>
      <c r="P361" s="228">
        <f>MONTH(F361)-MONTH(T361)</f>
        <v/>
      </c>
      <c r="Q361" s="228">
        <f>$B$5=X361</f>
        <v/>
      </c>
      <c r="R361" s="228">
        <f>I361-AD361</f>
        <v/>
      </c>
      <c r="S361" s="371" t="n"/>
      <c r="T361" s="372" t="n">
        <v>45764</v>
      </c>
      <c r="U361" s="371" t="inlineStr">
        <is>
          <t>BTT25-0000920</t>
        </is>
      </c>
      <c r="V361" s="371" t="n">
        <v>0</v>
      </c>
      <c r="W361" s="371" t="inlineStr">
        <is>
          <t>បុគ្គលជាប់អាករ</t>
        </is>
      </c>
      <c r="X361" s="371" t="inlineStr">
        <is>
          <t>L001-901640009</t>
        </is>
      </c>
      <c r="Y361" s="371" t="inlineStr">
        <is>
          <t>ហូលីដេ ឌីហ្សាញ (ខេមបូឌា) ឯ.ក</t>
        </is>
      </c>
      <c r="Z361" s="373" t="n">
        <v>24450525</v>
      </c>
      <c r="AA361" s="373" t="n">
        <v>22227750</v>
      </c>
      <c r="AB361" s="371" t="n">
        <v>0</v>
      </c>
      <c r="AC361" s="371" t="inlineStr">
        <is>
          <t>-</t>
        </is>
      </c>
      <c r="AD361" s="373" t="n">
        <v>2222775</v>
      </c>
      <c r="AE361" s="371" t="n">
        <v>0</v>
      </c>
      <c r="AF361" s="625" t="n">
        <v>0</v>
      </c>
      <c r="AG361" s="205" t="n">
        <v>0</v>
      </c>
      <c r="AH361" s="205" t="n">
        <v>0</v>
      </c>
      <c r="AI361" s="205" t="n">
        <v>0</v>
      </c>
      <c r="AJ361" s="205" t="n">
        <v>0</v>
      </c>
      <c r="AK361" s="205" t="n">
        <v>0</v>
      </c>
      <c r="AL361" s="205" t="n">
        <v>0.01</v>
      </c>
      <c r="AM361" s="205" t="n">
        <v>0</v>
      </c>
      <c r="AN361" s="205" t="inlineStr">
        <is>
          <t>Truking / Service</t>
        </is>
      </c>
    </row>
    <row r="362">
      <c r="A362" s="222">
        <f>A361+1</f>
        <v/>
      </c>
      <c r="B362" s="224" t="inlineStr">
        <is>
          <t>Storage charges-Im</t>
        </is>
      </c>
      <c r="C362" s="224" t="inlineStr">
        <is>
          <t>Port Autonome Du Sihanoukville</t>
        </is>
      </c>
      <c r="D362" s="225" t="inlineStr">
        <is>
          <t>L001-100044638</t>
        </is>
      </c>
      <c r="E362" s="359" t="n">
        <v>202500086730</v>
      </c>
      <c r="F362" s="338" t="n">
        <v>45768</v>
      </c>
      <c r="G362" s="226" t="n"/>
      <c r="H362" s="627" t="n"/>
      <c r="I362" s="627" t="n">
        <v>4804</v>
      </c>
      <c r="J362" s="223" t="inlineStr">
        <is>
          <t>អនុញ្ញាត (បានប្រកាស)</t>
        </is>
      </c>
      <c r="K362" s="223" t="n"/>
      <c r="L362" s="626">
        <f>I362</f>
        <v/>
      </c>
      <c r="M362" s="598">
        <f>I362-L362</f>
        <v/>
      </c>
      <c r="N362" s="223" t="n"/>
      <c r="O362" s="228">
        <f>U362=E362</f>
        <v/>
      </c>
      <c r="P362" s="228">
        <f>MONTH(F362)-MONTH(T362)</f>
        <v/>
      </c>
      <c r="Q362" s="228">
        <f>$B$5=X362</f>
        <v/>
      </c>
      <c r="R362" s="228">
        <f>I362-AD362</f>
        <v/>
      </c>
      <c r="S362" s="371" t="n"/>
      <c r="T362" s="372" t="n">
        <v>45768</v>
      </c>
      <c r="U362" s="371" t="n">
        <v>202500086730</v>
      </c>
      <c r="V362" s="371" t="n">
        <v>0</v>
      </c>
      <c r="W362" s="371" t="inlineStr">
        <is>
          <t>បុគ្គលជាប់អាករ</t>
        </is>
      </c>
      <c r="X362" s="371" t="inlineStr">
        <is>
          <t>L001-901640009</t>
        </is>
      </c>
      <c r="Y362" s="371" t="inlineStr">
        <is>
          <t>ហូលីដេ ឌីហ្សាញ (ខេមបូឌា) ឯ.ក</t>
        </is>
      </c>
      <c r="Z362" s="373" t="n">
        <v>52840</v>
      </c>
      <c r="AA362" s="373" t="n">
        <v>48036</v>
      </c>
      <c r="AB362" s="371" t="n">
        <v>0</v>
      </c>
      <c r="AC362" s="371" t="inlineStr">
        <is>
          <t>-</t>
        </is>
      </c>
      <c r="AD362" s="373" t="n">
        <v>4804</v>
      </c>
      <c r="AE362" s="371" t="n">
        <v>0</v>
      </c>
      <c r="AF362" s="625" t="n">
        <v>0</v>
      </c>
      <c r="AG362" s="205" t="n">
        <v>0</v>
      </c>
      <c r="AH362" s="205" t="n">
        <v>0</v>
      </c>
      <c r="AI362" s="205" t="n">
        <v>0</v>
      </c>
      <c r="AJ362" s="205" t="n">
        <v>0</v>
      </c>
      <c r="AK362" s="205" t="n">
        <v>0</v>
      </c>
      <c r="AL362" s="205" t="n">
        <v>0.01</v>
      </c>
      <c r="AM362" s="205" t="n">
        <v>0</v>
      </c>
      <c r="AN362" s="205" t="inlineStr">
        <is>
          <t>Storage</t>
        </is>
      </c>
    </row>
    <row r="363">
      <c r="A363" s="222">
        <f>A362+1</f>
        <v/>
      </c>
      <c r="B363" s="224" t="inlineStr">
        <is>
          <t>Storage charges-Im</t>
        </is>
      </c>
      <c r="C363" s="224" t="inlineStr">
        <is>
          <t>Port Autonome Du Sihanoukville</t>
        </is>
      </c>
      <c r="D363" s="225" t="inlineStr">
        <is>
          <t>L001-100044638</t>
        </is>
      </c>
      <c r="E363" s="359" t="n">
        <v>202500085103</v>
      </c>
      <c r="F363" s="338" t="n">
        <v>45767</v>
      </c>
      <c r="G363" s="226" t="n"/>
      <c r="H363" s="627" t="n"/>
      <c r="I363" s="627" t="n">
        <v>4806</v>
      </c>
      <c r="J363" s="223" t="inlineStr">
        <is>
          <t>អនុញ្ញាត (បានប្រកាស)</t>
        </is>
      </c>
      <c r="K363" s="223" t="n"/>
      <c r="L363" s="626">
        <f>I363</f>
        <v/>
      </c>
      <c r="M363" s="598">
        <f>I363-L363</f>
        <v/>
      </c>
      <c r="N363" s="223" t="n"/>
      <c r="O363" s="228">
        <f>U363=E363</f>
        <v/>
      </c>
      <c r="P363" s="228">
        <f>MONTH(F363)-MONTH(T363)</f>
        <v/>
      </c>
      <c r="Q363" s="228">
        <f>$B$5=X363</f>
        <v/>
      </c>
      <c r="R363" s="228">
        <f>I363-AD363</f>
        <v/>
      </c>
      <c r="S363" s="371" t="n"/>
      <c r="T363" s="372" t="n">
        <v>45767</v>
      </c>
      <c r="U363" s="371" t="n">
        <v>202500085103</v>
      </c>
      <c r="V363" s="371" t="n">
        <v>0</v>
      </c>
      <c r="W363" s="371" t="inlineStr">
        <is>
          <t>បុគ្គលជាប់អាករ</t>
        </is>
      </c>
      <c r="X363" s="371" t="inlineStr">
        <is>
          <t>L001-901640009</t>
        </is>
      </c>
      <c r="Y363" s="371" t="inlineStr">
        <is>
          <t>ហូលីដេ ឌីហ្សាញ (ខេមបូឌា) ឯ.ក</t>
        </is>
      </c>
      <c r="Z363" s="373" t="n">
        <v>52866</v>
      </c>
      <c r="AA363" s="373" t="n">
        <v>48060</v>
      </c>
      <c r="AB363" s="371" t="n">
        <v>0</v>
      </c>
      <c r="AC363" s="371" t="inlineStr">
        <is>
          <t>-</t>
        </is>
      </c>
      <c r="AD363" s="373" t="n">
        <v>4806</v>
      </c>
      <c r="AE363" s="371" t="n">
        <v>0</v>
      </c>
      <c r="AF363" s="625" t="n">
        <v>0</v>
      </c>
      <c r="AG363" s="205" t="n">
        <v>0</v>
      </c>
      <c r="AH363" s="205" t="n">
        <v>0</v>
      </c>
      <c r="AI363" s="205" t="n">
        <v>0</v>
      </c>
      <c r="AJ363" s="205" t="n">
        <v>0</v>
      </c>
      <c r="AK363" s="205" t="n">
        <v>0</v>
      </c>
      <c r="AL363" s="205" t="n">
        <v>0.01</v>
      </c>
      <c r="AM363" s="205" t="n">
        <v>0</v>
      </c>
      <c r="AN363" s="205" t="inlineStr">
        <is>
          <t>Storage</t>
        </is>
      </c>
    </row>
    <row r="364">
      <c r="A364" s="222">
        <f>A363+1</f>
        <v/>
      </c>
      <c r="B364" s="224" t="inlineStr">
        <is>
          <t>Storage charges-Im</t>
        </is>
      </c>
      <c r="C364" s="224" t="inlineStr">
        <is>
          <t>Port Autonome Du Sihanoukville</t>
        </is>
      </c>
      <c r="D364" s="225" t="inlineStr">
        <is>
          <t>L001-100044638</t>
        </is>
      </c>
      <c r="E364" s="359" t="n">
        <v>202500083072</v>
      </c>
      <c r="F364" s="338" t="n">
        <v>45765</v>
      </c>
      <c r="G364" s="226" t="n"/>
      <c r="H364" s="627" t="n"/>
      <c r="I364" s="627" t="n">
        <v>12015</v>
      </c>
      <c r="J364" s="223" t="inlineStr">
        <is>
          <t>អនុញ្ញាត (បានប្រកាស)</t>
        </is>
      </c>
      <c r="K364" s="223" t="n"/>
      <c r="L364" s="626">
        <f>I364</f>
        <v/>
      </c>
      <c r="M364" s="598">
        <f>I364-L364</f>
        <v/>
      </c>
      <c r="N364" s="223" t="n"/>
      <c r="O364" s="228">
        <f>U364=E364</f>
        <v/>
      </c>
      <c r="P364" s="228">
        <f>MONTH(F364)-MONTH(T364)</f>
        <v/>
      </c>
      <c r="Q364" s="228">
        <f>$B$5=X364</f>
        <v/>
      </c>
      <c r="R364" s="228">
        <f>I364-AD364</f>
        <v/>
      </c>
      <c r="S364" s="371" t="n"/>
      <c r="T364" s="372" t="n">
        <v>45765</v>
      </c>
      <c r="U364" s="371" t="n">
        <v>202500083072</v>
      </c>
      <c r="V364" s="371" t="n">
        <v>0</v>
      </c>
      <c r="W364" s="371" t="inlineStr">
        <is>
          <t>បុគ្គលជាប់អាករ</t>
        </is>
      </c>
      <c r="X364" s="371" t="inlineStr">
        <is>
          <t>L001-901640009</t>
        </is>
      </c>
      <c r="Y364" s="371" t="inlineStr">
        <is>
          <t>ហូលីដេ ឌីហ្សាញ (ខេមបូឌា) ឯ.ក</t>
        </is>
      </c>
      <c r="Z364" s="373" t="n">
        <v>132165</v>
      </c>
      <c r="AA364" s="373" t="n">
        <v>120150</v>
      </c>
      <c r="AB364" s="371" t="n">
        <v>0</v>
      </c>
      <c r="AC364" s="371" t="inlineStr">
        <is>
          <t>-</t>
        </is>
      </c>
      <c r="AD364" s="373" t="n">
        <v>12015</v>
      </c>
      <c r="AE364" s="371" t="n">
        <v>0</v>
      </c>
      <c r="AF364" s="625" t="n">
        <v>0</v>
      </c>
      <c r="AG364" s="205" t="n">
        <v>0</v>
      </c>
      <c r="AH364" s="205" t="n">
        <v>0</v>
      </c>
      <c r="AI364" s="205" t="n">
        <v>0</v>
      </c>
      <c r="AJ364" s="205" t="n">
        <v>0</v>
      </c>
      <c r="AK364" s="205" t="n">
        <v>0</v>
      </c>
      <c r="AL364" s="205" t="n">
        <v>0.01</v>
      </c>
      <c r="AM364" s="205" t="n">
        <v>0</v>
      </c>
      <c r="AN364" s="205" t="inlineStr">
        <is>
          <t>Storage</t>
        </is>
      </c>
    </row>
    <row r="365">
      <c r="A365" s="222">
        <f>A364+1</f>
        <v/>
      </c>
      <c r="B365" s="224" t="inlineStr">
        <is>
          <t>Storage charges-Im</t>
        </is>
      </c>
      <c r="C365" s="224" t="inlineStr">
        <is>
          <t>Port Autonome Du Sihanoukville</t>
        </is>
      </c>
      <c r="D365" s="225" t="inlineStr">
        <is>
          <t>L001-100044638</t>
        </is>
      </c>
      <c r="E365" s="359" t="n">
        <v>202500084493</v>
      </c>
      <c r="F365" s="338" t="n">
        <v>45766</v>
      </c>
      <c r="G365" s="226" t="n"/>
      <c r="H365" s="627" t="n"/>
      <c r="I365" s="627" t="n">
        <v>12015</v>
      </c>
      <c r="J365" s="223" t="inlineStr">
        <is>
          <t>អនុញ្ញាត (បានប្រកាស)</t>
        </is>
      </c>
      <c r="K365" s="223" t="n"/>
      <c r="L365" s="626">
        <f>I365</f>
        <v/>
      </c>
      <c r="M365" s="598">
        <f>I365-L365</f>
        <v/>
      </c>
      <c r="N365" s="223" t="n"/>
      <c r="O365" s="228">
        <f>U365=E365</f>
        <v/>
      </c>
      <c r="P365" s="228">
        <f>MONTH(F365)-MONTH(T365)</f>
        <v/>
      </c>
      <c r="Q365" s="228">
        <f>$B$5=X365</f>
        <v/>
      </c>
      <c r="R365" s="228">
        <f>I365-AD365</f>
        <v/>
      </c>
      <c r="S365" s="371" t="n"/>
      <c r="T365" s="372" t="n">
        <v>45766</v>
      </c>
      <c r="U365" s="371" t="n">
        <v>202500084493</v>
      </c>
      <c r="V365" s="371" t="n">
        <v>0</v>
      </c>
      <c r="W365" s="371" t="inlineStr">
        <is>
          <t>បុគ្គលជាប់អាករ</t>
        </is>
      </c>
      <c r="X365" s="371" t="inlineStr">
        <is>
          <t>L001-901640009</t>
        </is>
      </c>
      <c r="Y365" s="371" t="inlineStr">
        <is>
          <t>ហូលីដេ ឌីហ្សាញ (ខេមបូឌា) ឯ.ក</t>
        </is>
      </c>
      <c r="Z365" s="373" t="n">
        <v>132165</v>
      </c>
      <c r="AA365" s="373" t="n">
        <v>120150</v>
      </c>
      <c r="AB365" s="371" t="n">
        <v>0</v>
      </c>
      <c r="AC365" s="371" t="inlineStr">
        <is>
          <t>-</t>
        </is>
      </c>
      <c r="AD365" s="373" t="n">
        <v>12015</v>
      </c>
      <c r="AE365" s="371" t="n">
        <v>0</v>
      </c>
      <c r="AF365" s="625" t="n">
        <v>0</v>
      </c>
      <c r="AG365" s="205" t="n">
        <v>0</v>
      </c>
      <c r="AH365" s="205" t="n">
        <v>0</v>
      </c>
      <c r="AI365" s="205" t="n">
        <v>0</v>
      </c>
      <c r="AJ365" s="205" t="n">
        <v>0</v>
      </c>
      <c r="AK365" s="205" t="n">
        <v>0</v>
      </c>
      <c r="AL365" s="205" t="n">
        <v>0.01</v>
      </c>
      <c r="AM365" s="205" t="n">
        <v>0</v>
      </c>
      <c r="AN365" s="205" t="inlineStr">
        <is>
          <t>Storage</t>
        </is>
      </c>
    </row>
    <row r="366">
      <c r="A366" s="222">
        <f>A365+1</f>
        <v/>
      </c>
      <c r="B366" s="224" t="inlineStr">
        <is>
          <t>Storage charges-Im</t>
        </is>
      </c>
      <c r="C366" s="224" t="inlineStr">
        <is>
          <t>Port Autonome Du Sihanoukville</t>
        </is>
      </c>
      <c r="D366" s="225" t="inlineStr">
        <is>
          <t>L001-100044638</t>
        </is>
      </c>
      <c r="E366" s="359" t="n">
        <v>202500082027</v>
      </c>
      <c r="F366" s="338" t="n">
        <v>45764</v>
      </c>
      <c r="G366" s="226" t="n"/>
      <c r="H366" s="627" t="n"/>
      <c r="I366" s="627" t="n">
        <v>115344</v>
      </c>
      <c r="J366" s="223" t="inlineStr">
        <is>
          <t>អនុញ្ញាត (បានប្រកាស)</t>
        </is>
      </c>
      <c r="K366" s="223" t="n"/>
      <c r="L366" s="626">
        <f>I366</f>
        <v/>
      </c>
      <c r="M366" s="598">
        <f>I366-L366</f>
        <v/>
      </c>
      <c r="N366" s="223" t="n"/>
      <c r="O366" s="228">
        <f>U366=E366</f>
        <v/>
      </c>
      <c r="P366" s="228">
        <f>MONTH(F366)-MONTH(T366)</f>
        <v/>
      </c>
      <c r="Q366" s="228">
        <f>$B$5=X366</f>
        <v/>
      </c>
      <c r="R366" s="228">
        <f>I366-AD366</f>
        <v/>
      </c>
      <c r="S366" s="371" t="n"/>
      <c r="T366" s="372" t="n">
        <v>45764</v>
      </c>
      <c r="U366" s="371" t="n">
        <v>202500082027</v>
      </c>
      <c r="V366" s="371" t="n">
        <v>0</v>
      </c>
      <c r="W366" s="371" t="inlineStr">
        <is>
          <t>បុគ្គលជាប់អាករ</t>
        </is>
      </c>
      <c r="X366" s="371" t="inlineStr">
        <is>
          <t>L001-901640009</t>
        </is>
      </c>
      <c r="Y366" s="371" t="inlineStr">
        <is>
          <t>ហូលីដេ ឌីហ្សាញ (ខេមបូឌា) ឯ.ក</t>
        </is>
      </c>
      <c r="Z366" s="373" t="n">
        <v>1268784</v>
      </c>
      <c r="AA366" s="373" t="n">
        <v>1153440</v>
      </c>
      <c r="AB366" s="371" t="n">
        <v>0</v>
      </c>
      <c r="AC366" s="371" t="inlineStr">
        <is>
          <t>-</t>
        </is>
      </c>
      <c r="AD366" s="373" t="n">
        <v>115344</v>
      </c>
      <c r="AE366" s="371" t="n">
        <v>0</v>
      </c>
      <c r="AF366" s="625" t="n">
        <v>0</v>
      </c>
      <c r="AG366" s="205" t="n">
        <v>0</v>
      </c>
      <c r="AH366" s="205" t="n">
        <v>0</v>
      </c>
      <c r="AI366" s="205" t="n">
        <v>0</v>
      </c>
      <c r="AJ366" s="205" t="n">
        <v>0</v>
      </c>
      <c r="AK366" s="205" t="n">
        <v>0</v>
      </c>
      <c r="AL366" s="205" t="n">
        <v>0.01</v>
      </c>
      <c r="AM366" s="205" t="n">
        <v>0</v>
      </c>
      <c r="AN366" s="205" t="inlineStr">
        <is>
          <t>Storage</t>
        </is>
      </c>
    </row>
    <row r="367">
      <c r="A367" s="222">
        <f>A366+1</f>
        <v/>
      </c>
      <c r="B367" s="224" t="inlineStr">
        <is>
          <t>THC, Doc, EMF, FRT Fee-Im</t>
        </is>
      </c>
      <c r="C367" s="224" t="inlineStr">
        <is>
          <t>INCHCAPE SHIPPING SERVICES (CAMBODIA) LTD</t>
        </is>
      </c>
      <c r="D367" s="225" t="inlineStr">
        <is>
          <t>L001-103000127</t>
        </is>
      </c>
      <c r="E367" s="359" t="inlineStr">
        <is>
          <t>IN250971</t>
        </is>
      </c>
      <c r="F367" s="338" t="n">
        <v>45733</v>
      </c>
      <c r="G367" s="226" t="n"/>
      <c r="H367" s="627" t="n"/>
      <c r="I367" s="627" t="n">
        <v>845477</v>
      </c>
      <c r="J367" s="223" t="inlineStr">
        <is>
          <t>អនុញ្ញាត (បានប្រកាស)</t>
        </is>
      </c>
      <c r="K367" s="223" t="n"/>
      <c r="L367" s="626">
        <f>I367</f>
        <v/>
      </c>
      <c r="M367" s="598">
        <f>I367-L367</f>
        <v/>
      </c>
      <c r="N367" s="223" t="n"/>
      <c r="O367" s="228">
        <f>U367=E367</f>
        <v/>
      </c>
      <c r="P367" s="228">
        <f>MONTH(F367)-MONTH(T367)</f>
        <v/>
      </c>
      <c r="Q367" s="228">
        <f>$B$5=X367</f>
        <v/>
      </c>
      <c r="R367" s="228">
        <f>I367-AD367</f>
        <v/>
      </c>
      <c r="S367" s="371" t="n"/>
      <c r="T367" s="372" t="n">
        <v>45733</v>
      </c>
      <c r="U367" s="371" t="inlineStr">
        <is>
          <t>IN250971</t>
        </is>
      </c>
      <c r="V367" s="371" t="n">
        <v>0</v>
      </c>
      <c r="W367" s="371" t="inlineStr">
        <is>
          <t>បុគ្គលជាប់អាករ</t>
        </is>
      </c>
      <c r="X367" s="371" t="inlineStr">
        <is>
          <t>L001-901640009</t>
        </is>
      </c>
      <c r="Y367" s="371" t="inlineStr">
        <is>
          <t>ហូលីដេ ឌីហ្សាញ (ខេមបូឌា) ឯ.ក</t>
        </is>
      </c>
      <c r="Z367" s="373" t="n">
        <v>9300247</v>
      </c>
      <c r="AA367" s="373" t="n">
        <v>8454770</v>
      </c>
      <c r="AB367" s="371" t="n">
        <v>0</v>
      </c>
      <c r="AC367" s="371" t="inlineStr">
        <is>
          <t>-</t>
        </is>
      </c>
      <c r="AD367" s="373" t="n">
        <v>845477</v>
      </c>
      <c r="AE367" s="371" t="n">
        <v>0</v>
      </c>
      <c r="AF367" s="625" t="n">
        <v>0</v>
      </c>
      <c r="AG367" s="205" t="n">
        <v>0</v>
      </c>
      <c r="AH367" s="205" t="n">
        <v>0</v>
      </c>
      <c r="AI367" s="205" t="n">
        <v>0</v>
      </c>
      <c r="AJ367" s="205" t="n">
        <v>0</v>
      </c>
      <c r="AK367" s="205" t="n">
        <v>0</v>
      </c>
      <c r="AL367" s="205" t="n">
        <v>0.01</v>
      </c>
      <c r="AM367" s="205" t="n">
        <v>0</v>
      </c>
      <c r="AN367" s="205" t="inlineStr">
        <is>
          <t>THC,DOC,EMF AND FRT FEE</t>
        </is>
      </c>
      <c r="AO367" s="205" t="inlineStr">
        <is>
          <t>បានប្រកាសនិងបង់ពន្ធ</t>
        </is>
      </c>
    </row>
    <row r="368">
      <c r="A368" s="222">
        <f>A367+1</f>
        <v/>
      </c>
      <c r="B368" s="224" t="inlineStr">
        <is>
          <t>THC Fee-Ex</t>
        </is>
      </c>
      <c r="C368" s="224" t="inlineStr">
        <is>
          <t>APL LOGISTICS (CAMBODIA) PTE LTD.</t>
        </is>
      </c>
      <c r="D368" s="225" t="inlineStr">
        <is>
          <t>L001-100046460</t>
        </is>
      </c>
      <c r="E368" s="359" t="inlineStr">
        <is>
          <t>APLL25003168</t>
        </is>
      </c>
      <c r="F368" s="338" t="n">
        <v>45798</v>
      </c>
      <c r="G368" s="226" t="n"/>
      <c r="H368" s="627" t="n"/>
      <c r="I368" s="627" t="n">
        <v>320240</v>
      </c>
      <c r="J368" s="223" t="inlineStr">
        <is>
          <t>អនុញ្ញាត (បានប្រកាស)</t>
        </is>
      </c>
      <c r="K368" s="223" t="n"/>
      <c r="L368" s="626">
        <f>I368</f>
        <v/>
      </c>
      <c r="M368" s="598">
        <f>I368-L368</f>
        <v/>
      </c>
      <c r="N368" s="223" t="n"/>
      <c r="O368" s="228">
        <f>U368=E368</f>
        <v/>
      </c>
      <c r="P368" s="228">
        <f>MONTH(F368)-MONTH(T368)</f>
        <v/>
      </c>
      <c r="Q368" s="228">
        <f>$B$5=X368</f>
        <v/>
      </c>
      <c r="R368" s="228">
        <f>I368-AD368</f>
        <v/>
      </c>
      <c r="S368" s="371" t="n"/>
      <c r="T368" s="372" t="n">
        <v>45798</v>
      </c>
      <c r="U368" s="371" t="inlineStr">
        <is>
          <t>APLL25003168</t>
        </is>
      </c>
      <c r="V368" s="371" t="n"/>
      <c r="W368" s="371" t="n"/>
      <c r="X368" s="371" t="n"/>
      <c r="Y368" s="371" t="inlineStr">
        <is>
          <t>ហូលីដេ ឌីហ្សាញ (ខេមបូឌា) ឯ.ក</t>
        </is>
      </c>
      <c r="Z368" s="373" t="n"/>
      <c r="AA368" s="373" t="n"/>
      <c r="AB368" s="371" t="n"/>
      <c r="AC368" s="371" t="n"/>
      <c r="AD368" s="373" t="n">
        <v>320240</v>
      </c>
      <c r="AE368" s="371" t="n"/>
      <c r="AF368" s="625" t="n"/>
    </row>
    <row r="369">
      <c r="A369" s="222">
        <f>A368+1</f>
        <v/>
      </c>
      <c r="B369" s="224" t="inlineStr">
        <is>
          <t>THC Fee-Ex</t>
        </is>
      </c>
      <c r="C369" s="224" t="inlineStr">
        <is>
          <t>APL LOGISTICS (CAMBODIA) PTE LTD.</t>
        </is>
      </c>
      <c r="D369" s="225" t="inlineStr">
        <is>
          <t>L001-100046460</t>
        </is>
      </c>
      <c r="E369" s="359" t="inlineStr">
        <is>
          <t>APLL25003269</t>
        </is>
      </c>
      <c r="F369" s="338" t="n">
        <v>45799</v>
      </c>
      <c r="G369" s="226" t="n"/>
      <c r="H369" s="627" t="n"/>
      <c r="I369" s="627" t="n">
        <v>115286</v>
      </c>
      <c r="J369" s="223" t="inlineStr">
        <is>
          <t>អនុញ្ញាត (បានប្រកាស)</t>
        </is>
      </c>
      <c r="K369" s="223" t="n"/>
      <c r="L369" s="626">
        <f>I369</f>
        <v/>
      </c>
      <c r="M369" s="598">
        <f>I369-L369</f>
        <v/>
      </c>
      <c r="N369" s="223" t="n"/>
      <c r="O369" s="228">
        <f>U369=E369</f>
        <v/>
      </c>
      <c r="P369" s="228">
        <f>MONTH(F369)-MONTH(T369)</f>
        <v/>
      </c>
      <c r="Q369" s="228">
        <f>$B$5=X369</f>
        <v/>
      </c>
      <c r="R369" s="228">
        <f>I369-AD369</f>
        <v/>
      </c>
      <c r="S369" s="371" t="n"/>
      <c r="T369" s="372" t="n">
        <v>45799</v>
      </c>
      <c r="U369" s="371" t="inlineStr">
        <is>
          <t>APLL25003269</t>
        </is>
      </c>
      <c r="V369" s="371" t="n"/>
      <c r="W369" s="371" t="n"/>
      <c r="X369" s="371" t="n"/>
      <c r="Y369" s="371" t="inlineStr">
        <is>
          <t>ហូលីដេ ឌីហ្សាញ (ខេមបូឌា) ឯ.ក</t>
        </is>
      </c>
      <c r="Z369" s="373" t="n"/>
      <c r="AA369" s="373" t="n"/>
      <c r="AB369" s="371" t="n"/>
      <c r="AC369" s="371" t="n"/>
      <c r="AD369" s="373" t="n">
        <v>115286</v>
      </c>
      <c r="AE369" s="371" t="n"/>
      <c r="AF369" s="625" t="n"/>
    </row>
    <row r="370">
      <c r="A370" s="222">
        <f>A369+1</f>
        <v/>
      </c>
      <c r="B370" s="224" t="inlineStr">
        <is>
          <t>THC Fee-Ex</t>
        </is>
      </c>
      <c r="C370" s="224" t="inlineStr">
        <is>
          <t>APL LOGISTICS (CAMBODIA) PTE LTD.</t>
        </is>
      </c>
      <c r="D370" s="225" t="inlineStr">
        <is>
          <t>L001-100046460</t>
        </is>
      </c>
      <c r="E370" s="359" t="inlineStr">
        <is>
          <t>APLL25003266</t>
        </is>
      </c>
      <c r="F370" s="338" t="n">
        <v>45799</v>
      </c>
      <c r="G370" s="226" t="n"/>
      <c r="H370" s="627" t="n"/>
      <c r="I370" s="627" t="n">
        <v>85264</v>
      </c>
      <c r="J370" s="223" t="inlineStr">
        <is>
          <t>អនុញ្ញាត (បានប្រកាស)</t>
        </is>
      </c>
      <c r="K370" s="223" t="n"/>
      <c r="L370" s="626">
        <f>I370</f>
        <v/>
      </c>
      <c r="M370" s="598">
        <f>I370-L370</f>
        <v/>
      </c>
      <c r="N370" s="223" t="n"/>
      <c r="O370" s="228">
        <f>U370=E370</f>
        <v/>
      </c>
      <c r="P370" s="228">
        <f>MONTH(F370)-MONTH(T370)</f>
        <v/>
      </c>
      <c r="Q370" s="228">
        <f>$B$5=X370</f>
        <v/>
      </c>
      <c r="R370" s="228">
        <f>I370-AD370</f>
        <v/>
      </c>
      <c r="S370" s="371" t="n"/>
      <c r="T370" s="372" t="n">
        <v>45799</v>
      </c>
      <c r="U370" s="371" t="inlineStr">
        <is>
          <t>APLL25003266</t>
        </is>
      </c>
      <c r="V370" s="371" t="n"/>
      <c r="W370" s="371" t="n"/>
      <c r="X370" s="371" t="n"/>
      <c r="Y370" s="371" t="inlineStr">
        <is>
          <t>ហូលីដេ ឌីហ្សាញ (ខេមបូឌា) ឯ.ក</t>
        </is>
      </c>
      <c r="Z370" s="373" t="n"/>
      <c r="AA370" s="373" t="n"/>
      <c r="AB370" s="371" t="n"/>
      <c r="AC370" s="371" t="n"/>
      <c r="AD370" s="373" t="n">
        <v>85264</v>
      </c>
      <c r="AE370" s="371" t="n"/>
      <c r="AF370" s="625" t="n"/>
    </row>
    <row r="371">
      <c r="A371" s="222">
        <f>A370+1</f>
        <v/>
      </c>
      <c r="B371" s="224" t="inlineStr">
        <is>
          <t>THC Fee-Ex</t>
        </is>
      </c>
      <c r="C371" s="224" t="inlineStr">
        <is>
          <t>APL LOGISTICS (CAMBODIA) PTE LTD.</t>
        </is>
      </c>
      <c r="D371" s="225" t="inlineStr">
        <is>
          <t>L001-100046460</t>
        </is>
      </c>
      <c r="E371" s="359" t="inlineStr">
        <is>
          <t>APLL25003267</t>
        </is>
      </c>
      <c r="F371" s="338" t="n">
        <v>45799</v>
      </c>
      <c r="G371" s="226" t="n"/>
      <c r="H371" s="627" t="n"/>
      <c r="I371" s="627" t="n">
        <v>85264</v>
      </c>
      <c r="J371" s="223" t="inlineStr">
        <is>
          <t>អនុញ្ញាត (បានប្រកាស)</t>
        </is>
      </c>
      <c r="K371" s="223" t="n"/>
      <c r="L371" s="626">
        <f>I371</f>
        <v/>
      </c>
      <c r="M371" s="598">
        <f>I371-L371</f>
        <v/>
      </c>
      <c r="N371" s="223" t="n"/>
      <c r="O371" s="228">
        <f>U371=E371</f>
        <v/>
      </c>
      <c r="P371" s="228">
        <f>MONTH(F371)-MONTH(T371)</f>
        <v/>
      </c>
      <c r="Q371" s="228">
        <f>$B$5=X371</f>
        <v/>
      </c>
      <c r="R371" s="228">
        <f>I371-AD371</f>
        <v/>
      </c>
      <c r="S371" s="371" t="n"/>
      <c r="T371" s="372" t="n">
        <v>45799</v>
      </c>
      <c r="U371" s="371" t="inlineStr">
        <is>
          <t>APLL25003267</t>
        </is>
      </c>
      <c r="V371" s="371" t="n"/>
      <c r="W371" s="371" t="n"/>
      <c r="X371" s="371" t="n"/>
      <c r="Y371" s="371" t="inlineStr">
        <is>
          <t>ហូលីដេ ឌីហ្សាញ (ខេមបូឌា) ឯ.ក</t>
        </is>
      </c>
      <c r="Z371" s="373" t="n"/>
      <c r="AA371" s="373" t="n"/>
      <c r="AB371" s="371" t="n"/>
      <c r="AC371" s="371" t="n"/>
      <c r="AD371" s="373" t="n">
        <v>85264</v>
      </c>
      <c r="AE371" s="371" t="n"/>
      <c r="AF371" s="625" t="n"/>
    </row>
    <row r="372">
      <c r="A372" s="222">
        <f>A371+1</f>
        <v/>
      </c>
      <c r="B372" s="224" t="inlineStr">
        <is>
          <t>THC Fee-Ex</t>
        </is>
      </c>
      <c r="C372" s="224" t="inlineStr">
        <is>
          <t>APL LOGISTICS (CAMBODIA) PTE LTD.</t>
        </is>
      </c>
      <c r="D372" s="225" t="inlineStr">
        <is>
          <t>L001-100046460</t>
        </is>
      </c>
      <c r="E372" s="359" t="inlineStr">
        <is>
          <t>APLL25003372</t>
        </is>
      </c>
      <c r="F372" s="338" t="n">
        <v>45804</v>
      </c>
      <c r="G372" s="226" t="n"/>
      <c r="H372" s="627" t="n"/>
      <c r="I372" s="627" t="n">
        <v>445534</v>
      </c>
      <c r="J372" s="223" t="inlineStr">
        <is>
          <t>អនុញ្ញាត (បានប្រកាស)</t>
        </is>
      </c>
      <c r="K372" s="223" t="n"/>
      <c r="L372" s="626">
        <f>I372</f>
        <v/>
      </c>
      <c r="M372" s="598">
        <f>I372-L372</f>
        <v/>
      </c>
      <c r="N372" s="223" t="n"/>
      <c r="O372" s="228">
        <f>U372=E372</f>
        <v/>
      </c>
      <c r="P372" s="228">
        <f>MONTH(F372)-MONTH(T372)</f>
        <v/>
      </c>
      <c r="Q372" s="228">
        <f>$B$5=X372</f>
        <v/>
      </c>
      <c r="R372" s="228">
        <f>I372-AD372</f>
        <v/>
      </c>
      <c r="S372" s="371" t="n"/>
      <c r="T372" s="372" t="n">
        <v>45804</v>
      </c>
      <c r="U372" s="371" t="inlineStr">
        <is>
          <t>APLL25003372</t>
        </is>
      </c>
      <c r="V372" s="371" t="n"/>
      <c r="W372" s="371" t="n"/>
      <c r="X372" s="371" t="n"/>
      <c r="Y372" s="371" t="inlineStr">
        <is>
          <t>ហូលីដេ ឌីហ្សាញ (ខេមបូឌា) ឯ.ក</t>
        </is>
      </c>
      <c r="Z372" s="373" t="n"/>
      <c r="AA372" s="373" t="n"/>
      <c r="AB372" s="371" t="n"/>
      <c r="AC372" s="371" t="n"/>
      <c r="AD372" s="373" t="n">
        <v>445534</v>
      </c>
      <c r="AE372" s="371" t="n"/>
      <c r="AF372" s="625" t="n"/>
    </row>
    <row r="373">
      <c r="A373" s="222">
        <f>A372+1</f>
        <v/>
      </c>
      <c r="B373" s="224" t="inlineStr">
        <is>
          <t>THC Fee-Ex</t>
        </is>
      </c>
      <c r="C373" s="224" t="inlineStr">
        <is>
          <t>APL LOGISTICS (CAMBODIA) PTE LTD.</t>
        </is>
      </c>
      <c r="D373" s="225" t="inlineStr">
        <is>
          <t>L001-100046460</t>
        </is>
      </c>
      <c r="E373" s="359" t="inlineStr">
        <is>
          <t>APLL25003371</t>
        </is>
      </c>
      <c r="F373" s="338" t="n">
        <v>45803</v>
      </c>
      <c r="G373" s="226" t="n"/>
      <c r="H373" s="627" t="n"/>
      <c r="I373" s="627" t="n">
        <v>132066</v>
      </c>
      <c r="J373" s="223" t="inlineStr">
        <is>
          <t>អនុញ្ញាត (បានប្រកាស)</t>
        </is>
      </c>
      <c r="K373" s="223" t="n"/>
      <c r="L373" s="626">
        <f>I373</f>
        <v/>
      </c>
      <c r="M373" s="598">
        <f>I373-L373</f>
        <v/>
      </c>
      <c r="N373" s="223" t="n"/>
      <c r="O373" s="228">
        <f>U373=E373</f>
        <v/>
      </c>
      <c r="P373" s="228">
        <f>MONTH(F373)-MONTH(T373)</f>
        <v/>
      </c>
      <c r="Q373" s="228">
        <f>$B$5=X373</f>
        <v/>
      </c>
      <c r="R373" s="228">
        <f>I373-AD373</f>
        <v/>
      </c>
      <c r="S373" s="371" t="n"/>
      <c r="T373" s="372" t="n">
        <v>45803</v>
      </c>
      <c r="U373" s="371" t="inlineStr">
        <is>
          <t>APLL25003371</t>
        </is>
      </c>
      <c r="V373" s="371" t="n"/>
      <c r="W373" s="371" t="n"/>
      <c r="X373" s="371" t="n"/>
      <c r="Y373" s="371" t="inlineStr">
        <is>
          <t>ហូលីដេ ឌីហ្សាញ (ខេមបូឌា) ឯ.ក</t>
        </is>
      </c>
      <c r="Z373" s="373" t="n"/>
      <c r="AA373" s="373" t="n"/>
      <c r="AB373" s="371" t="n"/>
      <c r="AC373" s="371" t="n"/>
      <c r="AD373" s="373" t="n">
        <v>132066</v>
      </c>
      <c r="AE373" s="371" t="n"/>
      <c r="AF373" s="625" t="n"/>
    </row>
    <row r="374">
      <c r="A374" s="222">
        <f>A373+1</f>
        <v/>
      </c>
      <c r="B374" s="224" t="inlineStr">
        <is>
          <t>THC Fee-Ex</t>
        </is>
      </c>
      <c r="C374" s="224" t="inlineStr">
        <is>
          <t>APL LOGISTICS (CAMBODIA) PTE LTD.</t>
        </is>
      </c>
      <c r="D374" s="225" t="inlineStr">
        <is>
          <t>L001-100046460</t>
        </is>
      </c>
      <c r="E374" s="359" t="inlineStr">
        <is>
          <t>APLL25003369</t>
        </is>
      </c>
      <c r="F374" s="338" t="n">
        <v>45800</v>
      </c>
      <c r="G374" s="226" t="n"/>
      <c r="H374" s="627" t="n"/>
      <c r="I374" s="627" t="n">
        <v>132099</v>
      </c>
      <c r="J374" s="223" t="inlineStr">
        <is>
          <t>អនុញ្ញាត (បានប្រកាស)</t>
        </is>
      </c>
      <c r="K374" s="223" t="n"/>
      <c r="L374" s="626">
        <f>I374</f>
        <v/>
      </c>
      <c r="M374" s="598">
        <f>I374-L374</f>
        <v/>
      </c>
      <c r="N374" s="223" t="n"/>
      <c r="O374" s="228">
        <f>U374=E374</f>
        <v/>
      </c>
      <c r="P374" s="228">
        <f>MONTH(F374)-MONTH(T374)</f>
        <v/>
      </c>
      <c r="Q374" s="228">
        <f>$B$5=X374</f>
        <v/>
      </c>
      <c r="R374" s="228">
        <f>I374-AD374</f>
        <v/>
      </c>
      <c r="S374" s="371" t="n"/>
      <c r="T374" s="372" t="n">
        <v>45800</v>
      </c>
      <c r="U374" s="371" t="inlineStr">
        <is>
          <t>APLL25003369</t>
        </is>
      </c>
      <c r="V374" s="371" t="n"/>
      <c r="W374" s="371" t="n"/>
      <c r="X374" s="371" t="n"/>
      <c r="Y374" s="371" t="inlineStr">
        <is>
          <t>ហូលីដេ ឌីហ្សាញ (ខេមបូឌា) ឯ.ក</t>
        </is>
      </c>
      <c r="Z374" s="373" t="n"/>
      <c r="AA374" s="373" t="n"/>
      <c r="AB374" s="371" t="n"/>
      <c r="AC374" s="371" t="n"/>
      <c r="AD374" s="373" t="n">
        <v>132099</v>
      </c>
      <c r="AE374" s="371" t="n"/>
      <c r="AF374" s="625" t="n"/>
    </row>
    <row r="375">
      <c r="A375" s="222">
        <f>A374+1</f>
        <v/>
      </c>
      <c r="B375" s="224" t="inlineStr">
        <is>
          <t>THC Fee-Ex</t>
        </is>
      </c>
      <c r="C375" s="224" t="inlineStr">
        <is>
          <t>APL LOGISTICS (CAMBODIA) PTE LTD.</t>
        </is>
      </c>
      <c r="D375" s="225" t="inlineStr">
        <is>
          <t>L001-100046460</t>
        </is>
      </c>
      <c r="E375" s="359" t="inlineStr">
        <is>
          <t>APLL25003244</t>
        </is>
      </c>
      <c r="F375" s="338" t="n">
        <v>45798</v>
      </c>
      <c r="G375" s="226" t="n"/>
      <c r="H375" s="627" t="n"/>
      <c r="I375" s="627" t="n">
        <v>562422</v>
      </c>
      <c r="J375" s="223" t="inlineStr">
        <is>
          <t>អនុញ្ញាត (បានប្រកាស)</t>
        </is>
      </c>
      <c r="K375" s="223" t="n"/>
      <c r="L375" s="626">
        <f>I375</f>
        <v/>
      </c>
      <c r="M375" s="598">
        <f>I375-L375</f>
        <v/>
      </c>
      <c r="N375" s="223" t="n"/>
      <c r="O375" s="228">
        <f>U375=E375</f>
        <v/>
      </c>
      <c r="P375" s="228">
        <f>MONTH(F375)-MONTH(T375)</f>
        <v/>
      </c>
      <c r="Q375" s="228">
        <f>$B$5=X375</f>
        <v/>
      </c>
      <c r="R375" s="228">
        <f>I375-AD375</f>
        <v/>
      </c>
      <c r="S375" s="371" t="n"/>
      <c r="T375" s="372" t="n">
        <v>45798</v>
      </c>
      <c r="U375" s="371" t="inlineStr">
        <is>
          <t>APLL25003244</t>
        </is>
      </c>
      <c r="V375" s="371" t="n"/>
      <c r="W375" s="371" t="n"/>
      <c r="X375" s="371" t="n"/>
      <c r="Y375" s="371" t="inlineStr">
        <is>
          <t>ហូលីដេ ឌីហ្សាញ (ខេមបូឌា) ឯ.ក</t>
        </is>
      </c>
      <c r="Z375" s="373" t="n"/>
      <c r="AA375" s="373" t="n"/>
      <c r="AB375" s="371" t="n"/>
      <c r="AC375" s="371" t="n"/>
      <c r="AD375" s="373" t="n">
        <v>562422</v>
      </c>
      <c r="AE375" s="371" t="n"/>
      <c r="AF375" s="625" t="n"/>
    </row>
    <row r="376">
      <c r="A376" s="222">
        <f>A375+1</f>
        <v/>
      </c>
      <c r="B376" s="224" t="inlineStr">
        <is>
          <t>THC Fee-Ex</t>
        </is>
      </c>
      <c r="C376" s="224" t="inlineStr">
        <is>
          <t>APL LOGISTICS (CAMBODIA) PTE LTD.</t>
        </is>
      </c>
      <c r="D376" s="225" t="inlineStr">
        <is>
          <t>L001-100046460</t>
        </is>
      </c>
      <c r="E376" s="359" t="inlineStr">
        <is>
          <t>APLL25003370</t>
        </is>
      </c>
      <c r="F376" s="338" t="n">
        <v>45803</v>
      </c>
      <c r="G376" s="226" t="n"/>
      <c r="H376" s="627" t="n"/>
      <c r="I376" s="627" t="n">
        <v>456228</v>
      </c>
      <c r="J376" s="223" t="inlineStr">
        <is>
          <t>អនុញ្ញាត (បានប្រកាស)</t>
        </is>
      </c>
      <c r="K376" s="223" t="n"/>
      <c r="L376" s="626">
        <f>I376</f>
        <v/>
      </c>
      <c r="M376" s="598">
        <f>I376-L376</f>
        <v/>
      </c>
      <c r="N376" s="223" t="n"/>
      <c r="O376" s="228">
        <f>U376=E376</f>
        <v/>
      </c>
      <c r="P376" s="228">
        <f>MONTH(F376)-MONTH(T376)</f>
        <v/>
      </c>
      <c r="Q376" s="228">
        <f>$B$5=X376</f>
        <v/>
      </c>
      <c r="R376" s="228">
        <f>I376-AD376</f>
        <v/>
      </c>
      <c r="S376" s="371" t="n"/>
      <c r="T376" s="372" t="n">
        <v>45803</v>
      </c>
      <c r="U376" s="371" t="inlineStr">
        <is>
          <t>APLL25003370</t>
        </is>
      </c>
      <c r="V376" s="371" t="n"/>
      <c r="W376" s="371" t="n"/>
      <c r="X376" s="371" t="n"/>
      <c r="Y376" s="371" t="inlineStr">
        <is>
          <t>ហូលីដេ ឌីហ្សាញ (ខេមបូឌា) ឯ.ក</t>
        </is>
      </c>
      <c r="Z376" s="373" t="n"/>
      <c r="AA376" s="373" t="n"/>
      <c r="AB376" s="371" t="n"/>
      <c r="AC376" s="371" t="n"/>
      <c r="AD376" s="373" t="n">
        <v>456228</v>
      </c>
      <c r="AE376" s="371" t="n"/>
      <c r="AF376" s="625" t="n"/>
    </row>
    <row r="377">
      <c r="A377" s="222">
        <f>A376+1</f>
        <v/>
      </c>
      <c r="B377" s="224" t="inlineStr">
        <is>
          <t>THC Fee-Ex</t>
        </is>
      </c>
      <c r="C377" s="224" t="inlineStr">
        <is>
          <t>APL LOGISTICS (CAMBODIA) PTE LTD.</t>
        </is>
      </c>
      <c r="D377" s="225" t="inlineStr">
        <is>
          <t>L001-100046460</t>
        </is>
      </c>
      <c r="E377" s="359" t="inlineStr">
        <is>
          <t>APLL25003377</t>
        </is>
      </c>
      <c r="F377" s="338" t="n">
        <v>45804</v>
      </c>
      <c r="G377" s="226" t="n"/>
      <c r="H377" s="627" t="n"/>
      <c r="I377" s="627" t="n">
        <v>195346</v>
      </c>
      <c r="J377" s="223" t="inlineStr">
        <is>
          <t>អនុញ្ញាត (បានប្រកាស)</t>
        </is>
      </c>
      <c r="K377" s="223" t="n"/>
      <c r="L377" s="626">
        <f>I377</f>
        <v/>
      </c>
      <c r="M377" s="598">
        <f>I377-L377</f>
        <v/>
      </c>
      <c r="N377" s="223" t="n"/>
      <c r="O377" s="228">
        <f>U377=E377</f>
        <v/>
      </c>
      <c r="P377" s="228">
        <f>MONTH(F377)-MONTH(T377)</f>
        <v/>
      </c>
      <c r="Q377" s="228">
        <f>$B$5=X377</f>
        <v/>
      </c>
      <c r="R377" s="228">
        <f>I377-AD377</f>
        <v/>
      </c>
      <c r="S377" s="371" t="n"/>
      <c r="T377" s="372" t="n">
        <v>45804</v>
      </c>
      <c r="U377" s="371" t="inlineStr">
        <is>
          <t>APLL25003377</t>
        </is>
      </c>
      <c r="V377" s="371" t="n"/>
      <c r="W377" s="371" t="n"/>
      <c r="X377" s="371" t="n"/>
      <c r="Y377" s="371" t="inlineStr">
        <is>
          <t>ហូលីដេ ឌីហ្សាញ (ខេមបូឌា) ឯ.ក</t>
        </is>
      </c>
      <c r="Z377" s="373" t="n"/>
      <c r="AA377" s="373" t="n"/>
      <c r="AB377" s="371" t="n"/>
      <c r="AC377" s="371" t="n"/>
      <c r="AD377" s="373" t="n">
        <v>195346</v>
      </c>
      <c r="AE377" s="371" t="n"/>
      <c r="AF377" s="625" t="n"/>
    </row>
    <row r="378">
      <c r="A378" s="222">
        <f>A377+1</f>
        <v/>
      </c>
      <c r="B378" s="224" t="inlineStr">
        <is>
          <t>THC Fee-Ex</t>
        </is>
      </c>
      <c r="C378" s="224" t="inlineStr">
        <is>
          <t>APL LOGISTICS (CAMBODIA) PTE LTD.</t>
        </is>
      </c>
      <c r="D378" s="225" t="inlineStr">
        <is>
          <t>L001-100046460</t>
        </is>
      </c>
      <c r="E378" s="359" t="inlineStr">
        <is>
          <t>APLL25003381</t>
        </is>
      </c>
      <c r="F378" s="338" t="n">
        <v>45804</v>
      </c>
      <c r="G378" s="226" t="n"/>
      <c r="H378" s="627" t="n"/>
      <c r="I378" s="627" t="n">
        <v>115286</v>
      </c>
      <c r="J378" s="223" t="inlineStr">
        <is>
          <t>អនុញ្ញាត (បានប្រកាស)</t>
        </is>
      </c>
      <c r="K378" s="223" t="n"/>
      <c r="L378" s="626">
        <f>I378</f>
        <v/>
      </c>
      <c r="M378" s="598">
        <f>I378-L378</f>
        <v/>
      </c>
      <c r="N378" s="223" t="n"/>
      <c r="O378" s="228">
        <f>U378=E378</f>
        <v/>
      </c>
      <c r="P378" s="228">
        <f>MONTH(F378)-MONTH(T378)</f>
        <v/>
      </c>
      <c r="Q378" s="228">
        <f>$B$5=X378</f>
        <v/>
      </c>
      <c r="R378" s="228">
        <f>I378-AD378</f>
        <v/>
      </c>
      <c r="S378" s="371" t="n"/>
      <c r="T378" s="372" t="n">
        <v>45804</v>
      </c>
      <c r="U378" s="371" t="inlineStr">
        <is>
          <t>APLL25003381</t>
        </is>
      </c>
      <c r="V378" s="371" t="n"/>
      <c r="W378" s="371" t="n"/>
      <c r="X378" s="371" t="n"/>
      <c r="Y378" s="371" t="inlineStr">
        <is>
          <t>ហូលីដេ ឌីហ្សាញ (ខេមបូឌា) ឯ.ក</t>
        </is>
      </c>
      <c r="Z378" s="373" t="n"/>
      <c r="AA378" s="373" t="n"/>
      <c r="AB378" s="371" t="n"/>
      <c r="AC378" s="371" t="n"/>
      <c r="AD378" s="373" t="n">
        <v>115286</v>
      </c>
      <c r="AE378" s="371" t="n"/>
      <c r="AF378" s="625" t="n"/>
    </row>
    <row r="379">
      <c r="A379" s="222">
        <f>A378+1</f>
        <v/>
      </c>
      <c r="B379" s="224" t="inlineStr">
        <is>
          <t>THC Fee-Ex</t>
        </is>
      </c>
      <c r="C379" s="224" t="inlineStr">
        <is>
          <t>APL LOGISTICS (CAMBODIA) PTE LTD.</t>
        </is>
      </c>
      <c r="D379" s="225" t="inlineStr">
        <is>
          <t>L001-100046460</t>
        </is>
      </c>
      <c r="E379" s="359" t="inlineStr">
        <is>
          <t>APLL25003271</t>
        </is>
      </c>
      <c r="F379" s="338" t="n">
        <v>45799</v>
      </c>
      <c r="G379" s="226" t="n"/>
      <c r="H379" s="627" t="n"/>
      <c r="I379" s="627" t="n">
        <v>132099</v>
      </c>
      <c r="J379" s="223" t="inlineStr">
        <is>
          <t>អនុញ្ញាត (បានប្រកាស)</t>
        </is>
      </c>
      <c r="K379" s="223" t="n"/>
      <c r="L379" s="626">
        <f>I379</f>
        <v/>
      </c>
      <c r="M379" s="598">
        <f>I379-L379</f>
        <v/>
      </c>
      <c r="N379" s="223" t="n"/>
      <c r="O379" s="228">
        <f>U379=E379</f>
        <v/>
      </c>
      <c r="P379" s="228">
        <f>MONTH(F379)-MONTH(T379)</f>
        <v/>
      </c>
      <c r="Q379" s="228">
        <f>$B$5=X379</f>
        <v/>
      </c>
      <c r="R379" s="228">
        <f>I379-AD379</f>
        <v/>
      </c>
      <c r="S379" s="371" t="n"/>
      <c r="T379" s="372" t="n">
        <v>45799</v>
      </c>
      <c r="U379" s="371" t="inlineStr">
        <is>
          <t>APLL25003271</t>
        </is>
      </c>
      <c r="V379" s="371" t="n"/>
      <c r="W379" s="371" t="n"/>
      <c r="X379" s="371" t="n"/>
      <c r="Y379" s="371" t="inlineStr">
        <is>
          <t>ហូលីដេ ឌីហ្សាញ (ខេមបូឌា) ឯ.ក</t>
        </is>
      </c>
      <c r="Z379" s="373" t="n"/>
      <c r="AA379" s="373" t="n"/>
      <c r="AB379" s="371" t="n"/>
      <c r="AC379" s="371" t="n"/>
      <c r="AD379" s="373" t="n">
        <v>132099</v>
      </c>
      <c r="AE379" s="371" t="n"/>
      <c r="AF379" s="625" t="n"/>
    </row>
    <row r="380">
      <c r="A380" s="222">
        <f>A379+1</f>
        <v/>
      </c>
      <c r="B380" s="224" t="inlineStr">
        <is>
          <t>THC Fee-Ex</t>
        </is>
      </c>
      <c r="C380" s="224" t="inlineStr">
        <is>
          <t>APL LOGISTICS (CAMBODIA) PTE LTD.</t>
        </is>
      </c>
      <c r="D380" s="225" t="inlineStr">
        <is>
          <t>L001-100046460</t>
        </is>
      </c>
      <c r="E380" s="359" t="inlineStr">
        <is>
          <t>APLL25003374</t>
        </is>
      </c>
      <c r="F380" s="338" t="n">
        <v>45804</v>
      </c>
      <c r="G380" s="226" t="n"/>
      <c r="H380" s="627" t="n"/>
      <c r="I380" s="627" t="n">
        <v>348261</v>
      </c>
      <c r="J380" s="223" t="inlineStr">
        <is>
          <t>អនុញ្ញាត (បានប្រកាស)</t>
        </is>
      </c>
      <c r="K380" s="223" t="n"/>
      <c r="L380" s="626">
        <f>I380</f>
        <v/>
      </c>
      <c r="M380" s="598">
        <f>I380-L380</f>
        <v/>
      </c>
      <c r="N380" s="223" t="n"/>
      <c r="O380" s="228">
        <f>U380=E380</f>
        <v/>
      </c>
      <c r="P380" s="228">
        <f>MONTH(F380)-MONTH(T380)</f>
        <v/>
      </c>
      <c r="Q380" s="228">
        <f>$B$5=X380</f>
        <v/>
      </c>
      <c r="R380" s="228">
        <f>I380-AD380</f>
        <v/>
      </c>
      <c r="S380" s="371" t="n"/>
      <c r="T380" s="372" t="n">
        <v>45804</v>
      </c>
      <c r="U380" s="371" t="inlineStr">
        <is>
          <t>APLL25003374</t>
        </is>
      </c>
      <c r="V380" s="371" t="n"/>
      <c r="W380" s="371" t="n"/>
      <c r="X380" s="371" t="n"/>
      <c r="Y380" s="371" t="inlineStr">
        <is>
          <t>ហូលីដេ ឌីហ្សាញ (ខេមបូឌា) ឯ.ក</t>
        </is>
      </c>
      <c r="Z380" s="373" t="n"/>
      <c r="AA380" s="373" t="n"/>
      <c r="AB380" s="371" t="n"/>
      <c r="AC380" s="371" t="n"/>
      <c r="AD380" s="373" t="n">
        <v>348261</v>
      </c>
      <c r="AE380" s="371" t="n"/>
      <c r="AF380" s="625" t="n"/>
    </row>
    <row r="381">
      <c r="A381" s="222">
        <f>A380+1</f>
        <v/>
      </c>
      <c r="B381" s="224" t="inlineStr">
        <is>
          <t>THC Fee-Ex</t>
        </is>
      </c>
      <c r="C381" s="224" t="inlineStr">
        <is>
          <t>APL LOGISTICS (CAMBODIA) PTE LTD.</t>
        </is>
      </c>
      <c r="D381" s="225" t="inlineStr">
        <is>
          <t>L001-100046460</t>
        </is>
      </c>
      <c r="E381" s="359" t="inlineStr">
        <is>
          <t>APLL25003375</t>
        </is>
      </c>
      <c r="F381" s="338" t="n">
        <v>45804</v>
      </c>
      <c r="G381" s="226" t="n"/>
      <c r="H381" s="627" t="n"/>
      <c r="I381" s="627" t="n">
        <v>284213</v>
      </c>
      <c r="J381" s="223" t="inlineStr">
        <is>
          <t>អនុញ្ញាត (បានប្រកាស)</t>
        </is>
      </c>
      <c r="K381" s="223" t="n"/>
      <c r="L381" s="626">
        <f>I381</f>
        <v/>
      </c>
      <c r="M381" s="598">
        <f>I381-L381</f>
        <v/>
      </c>
      <c r="N381" s="223" t="n"/>
      <c r="O381" s="228">
        <f>U381=E381</f>
        <v/>
      </c>
      <c r="P381" s="228">
        <f>MONTH(F381)-MONTH(T381)</f>
        <v/>
      </c>
      <c r="Q381" s="228">
        <f>$B$5=X381</f>
        <v/>
      </c>
      <c r="R381" s="228">
        <f>I381-AD381</f>
        <v/>
      </c>
      <c r="S381" s="371" t="n"/>
      <c r="T381" s="372" t="n">
        <v>45804</v>
      </c>
      <c r="U381" s="371" t="inlineStr">
        <is>
          <t>APLL25003375</t>
        </is>
      </c>
      <c r="V381" s="371" t="n"/>
      <c r="W381" s="371" t="n"/>
      <c r="X381" s="371" t="n"/>
      <c r="Y381" s="371" t="inlineStr">
        <is>
          <t>ហូលីដេ ឌីហ្សាញ (ខេមបូឌា) ឯ.ក</t>
        </is>
      </c>
      <c r="Z381" s="373" t="n"/>
      <c r="AA381" s="373" t="n"/>
      <c r="AB381" s="371" t="n"/>
      <c r="AC381" s="371" t="n"/>
      <c r="AD381" s="373" t="n">
        <v>284213</v>
      </c>
      <c r="AE381" s="371" t="n"/>
      <c r="AF381" s="625" t="n"/>
    </row>
    <row r="382">
      <c r="A382" s="222">
        <f>A381+1</f>
        <v/>
      </c>
      <c r="B382" s="224" t="inlineStr">
        <is>
          <t>THC Fee-Ex</t>
        </is>
      </c>
      <c r="C382" s="224" t="inlineStr">
        <is>
          <t>APL LOGISTICS (CAMBODIA) PTE LTD.</t>
        </is>
      </c>
      <c r="D382" s="225" t="inlineStr">
        <is>
          <t>L001-100046460</t>
        </is>
      </c>
      <c r="E382" s="359" t="inlineStr">
        <is>
          <t>APLL25003176</t>
        </is>
      </c>
      <c r="F382" s="338" t="n">
        <v>45798</v>
      </c>
      <c r="G382" s="226" t="n"/>
      <c r="H382" s="627" t="n"/>
      <c r="I382" s="627" t="n">
        <v>132099</v>
      </c>
      <c r="J382" s="223" t="inlineStr">
        <is>
          <t>អនុញ្ញាត (បានប្រកាស)</t>
        </is>
      </c>
      <c r="K382" s="223" t="n"/>
      <c r="L382" s="626">
        <f>I382</f>
        <v/>
      </c>
      <c r="M382" s="598">
        <f>I382-L382</f>
        <v/>
      </c>
      <c r="N382" s="223" t="n"/>
      <c r="O382" s="228">
        <f>U382=E382</f>
        <v/>
      </c>
      <c r="P382" s="228">
        <f>MONTH(F382)-MONTH(T382)</f>
        <v/>
      </c>
      <c r="Q382" s="228">
        <f>$B$5=X382</f>
        <v/>
      </c>
      <c r="R382" s="228">
        <f>I382-AD382</f>
        <v/>
      </c>
      <c r="S382" s="371" t="n"/>
      <c r="T382" s="372" t="n">
        <v>45798</v>
      </c>
      <c r="U382" s="371" t="inlineStr">
        <is>
          <t>APLL25003176</t>
        </is>
      </c>
      <c r="V382" s="371" t="n"/>
      <c r="W382" s="371" t="n"/>
      <c r="X382" s="371" t="n"/>
      <c r="Y382" s="371" t="inlineStr">
        <is>
          <t>ហូលីដេ ឌីហ្សាញ (ខេមបូឌា) ឯ.ក</t>
        </is>
      </c>
      <c r="Z382" s="373" t="n"/>
      <c r="AA382" s="373" t="n"/>
      <c r="AB382" s="371" t="n"/>
      <c r="AC382" s="371" t="n"/>
      <c r="AD382" s="373" t="n">
        <v>132099</v>
      </c>
      <c r="AE382" s="371" t="n"/>
      <c r="AF382" s="625" t="n"/>
    </row>
    <row r="383">
      <c r="A383" s="222">
        <f>A382+1</f>
        <v/>
      </c>
      <c r="B383" s="224" t="inlineStr">
        <is>
          <t>THC Fee-Ex</t>
        </is>
      </c>
      <c r="C383" s="224" t="inlineStr">
        <is>
          <t>APL LOGISTICS (CAMBODIA) PTE LTD.</t>
        </is>
      </c>
      <c r="D383" s="225" t="inlineStr">
        <is>
          <t>L001-100046460</t>
        </is>
      </c>
      <c r="E383" s="359" t="inlineStr">
        <is>
          <t>APLL25003173</t>
        </is>
      </c>
      <c r="F383" s="338" t="n">
        <v>45798</v>
      </c>
      <c r="G383" s="226" t="n"/>
      <c r="H383" s="627" t="n"/>
      <c r="I383" s="627" t="n">
        <v>240180</v>
      </c>
      <c r="J383" s="223" t="inlineStr">
        <is>
          <t>អនុញ្ញាត (បានប្រកាស)</t>
        </is>
      </c>
      <c r="K383" s="223" t="n"/>
      <c r="L383" s="626">
        <f>I383</f>
        <v/>
      </c>
      <c r="M383" s="598">
        <f>I383-L383</f>
        <v/>
      </c>
      <c r="N383" s="223" t="n"/>
      <c r="O383" s="228">
        <f>U383=E383</f>
        <v/>
      </c>
      <c r="P383" s="228">
        <f>MONTH(F383)-MONTH(T383)</f>
        <v/>
      </c>
      <c r="Q383" s="228">
        <f>$B$5=X383</f>
        <v/>
      </c>
      <c r="R383" s="228">
        <f>I383-AD383</f>
        <v/>
      </c>
      <c r="S383" s="371" t="n"/>
      <c r="T383" s="372" t="n">
        <v>45798</v>
      </c>
      <c r="U383" s="371" t="inlineStr">
        <is>
          <t>APLL25003173</t>
        </is>
      </c>
      <c r="V383" s="371" t="n"/>
      <c r="W383" s="371" t="n"/>
      <c r="X383" s="371" t="n"/>
      <c r="Y383" s="371" t="inlineStr">
        <is>
          <t>ហូលីដេ ឌីហ្សាញ (ខេមបូឌា) ឯ.ក</t>
        </is>
      </c>
      <c r="Z383" s="373" t="n"/>
      <c r="AA383" s="373" t="n"/>
      <c r="AB383" s="371" t="n"/>
      <c r="AC383" s="371" t="n"/>
      <c r="AD383" s="373" t="n">
        <v>240180</v>
      </c>
      <c r="AE383" s="371" t="n"/>
      <c r="AF383" s="625" t="n"/>
    </row>
    <row r="384">
      <c r="A384" s="222">
        <f>A383+1</f>
        <v/>
      </c>
      <c r="B384" s="224" t="inlineStr">
        <is>
          <t>THC Fee-Ex</t>
        </is>
      </c>
      <c r="C384" s="224" t="inlineStr">
        <is>
          <t>APL LOGISTICS (CAMBODIA) PTE LTD.</t>
        </is>
      </c>
      <c r="D384" s="225" t="inlineStr">
        <is>
          <t>L001-100046460</t>
        </is>
      </c>
      <c r="E384" s="359" t="inlineStr">
        <is>
          <t>APLL25003181</t>
        </is>
      </c>
      <c r="F384" s="338" t="n">
        <v>45798</v>
      </c>
      <c r="G384" s="226" t="n"/>
      <c r="H384" s="627" t="n"/>
      <c r="I384" s="627" t="n">
        <v>132099</v>
      </c>
      <c r="J384" s="223" t="inlineStr">
        <is>
          <t>អនុញ្ញាត (បានប្រកាស)</t>
        </is>
      </c>
      <c r="K384" s="223" t="n"/>
      <c r="L384" s="626">
        <f>I384</f>
        <v/>
      </c>
      <c r="M384" s="598">
        <f>I384-L384</f>
        <v/>
      </c>
      <c r="N384" s="223" t="n"/>
      <c r="O384" s="228">
        <f>U384=E384</f>
        <v/>
      </c>
      <c r="P384" s="228">
        <f>MONTH(F384)-MONTH(T384)</f>
        <v/>
      </c>
      <c r="Q384" s="228">
        <f>$B$5=X384</f>
        <v/>
      </c>
      <c r="R384" s="228">
        <f>I384-AD384</f>
        <v/>
      </c>
      <c r="S384" s="371" t="inlineStr">
        <is>
          <t>មិនបានប្រកាស</t>
        </is>
      </c>
      <c r="T384" s="372" t="n">
        <v>45798</v>
      </c>
      <c r="U384" s="371" t="inlineStr">
        <is>
          <t>APLL25003181</t>
        </is>
      </c>
      <c r="V384" s="371" t="n"/>
      <c r="W384" s="371" t="n"/>
      <c r="X384" s="371" t="n"/>
      <c r="Y384" s="371" t="inlineStr">
        <is>
          <t>ហូលីដេ ឌីហ្សាញ (ខេមបូឌា) ឯ.ក</t>
        </is>
      </c>
      <c r="Z384" s="373" t="n"/>
      <c r="AA384" s="373" t="n"/>
      <c r="AB384" s="371" t="n"/>
      <c r="AC384" s="371" t="n"/>
      <c r="AD384" s="373" t="n">
        <v>132099</v>
      </c>
      <c r="AE384" s="371" t="n"/>
      <c r="AF384" s="625" t="n"/>
    </row>
    <row r="385">
      <c r="A385" s="222">
        <f>A384+1</f>
        <v/>
      </c>
      <c r="B385" s="224" t="inlineStr">
        <is>
          <t>THC Fee-Ex</t>
        </is>
      </c>
      <c r="C385" s="224" t="inlineStr">
        <is>
          <t>APL LOGISTICS (CAMBODIA) PTE LTD.</t>
        </is>
      </c>
      <c r="D385" s="225" t="inlineStr">
        <is>
          <t>L001-100046460</t>
        </is>
      </c>
      <c r="E385" s="359" t="inlineStr">
        <is>
          <t>APLL25003172</t>
        </is>
      </c>
      <c r="F385" s="338" t="n">
        <v>45798</v>
      </c>
      <c r="G385" s="226" t="n"/>
      <c r="H385" s="627" t="n"/>
      <c r="I385" s="627" t="n">
        <v>132099</v>
      </c>
      <c r="J385" s="223" t="inlineStr">
        <is>
          <t>អនុញ្ញាត (បានប្រកាស)</t>
        </is>
      </c>
      <c r="K385" s="223" t="n"/>
      <c r="L385" s="626">
        <f>I385</f>
        <v/>
      </c>
      <c r="M385" s="598">
        <f>I385-L385</f>
        <v/>
      </c>
      <c r="N385" s="223" t="n"/>
      <c r="O385" s="228">
        <f>U385=E385</f>
        <v/>
      </c>
      <c r="P385" s="228">
        <f>MONTH(F385)-MONTH(T385)</f>
        <v/>
      </c>
      <c r="Q385" s="228">
        <f>$B$5=X385</f>
        <v/>
      </c>
      <c r="R385" s="228">
        <f>I385-AD385</f>
        <v/>
      </c>
      <c r="S385" s="371" t="n"/>
      <c r="T385" s="372" t="n">
        <v>45798</v>
      </c>
      <c r="U385" s="371" t="inlineStr">
        <is>
          <t>APLL25003172</t>
        </is>
      </c>
      <c r="V385" s="371" t="n"/>
      <c r="W385" s="371" t="n"/>
      <c r="X385" s="371" t="n"/>
      <c r="Y385" s="371" t="inlineStr">
        <is>
          <t>ហូលីដេ ឌីហ្សាញ (ខេមបូឌា) ឯ.ក</t>
        </is>
      </c>
      <c r="Z385" s="373" t="n"/>
      <c r="AA385" s="373" t="n"/>
      <c r="AB385" s="371" t="n"/>
      <c r="AC385" s="371" t="n"/>
      <c r="AD385" s="373" t="n">
        <v>132099</v>
      </c>
      <c r="AE385" s="371" t="n"/>
      <c r="AF385" s="625" t="n"/>
    </row>
    <row r="386">
      <c r="A386" s="222">
        <f>A385+1</f>
        <v/>
      </c>
      <c r="B386" s="224" t="inlineStr">
        <is>
          <t>THC Fee-Ex</t>
        </is>
      </c>
      <c r="C386" s="224" t="inlineStr">
        <is>
          <t>APL LOGISTICS (CAMBODIA) PTE LTD.</t>
        </is>
      </c>
      <c r="D386" s="225" t="inlineStr">
        <is>
          <t>L001-100046460</t>
        </is>
      </c>
      <c r="E386" s="359" t="inlineStr">
        <is>
          <t>APLL25003175</t>
        </is>
      </c>
      <c r="F386" s="338" t="n">
        <v>45798</v>
      </c>
      <c r="G386" s="226" t="n"/>
      <c r="H386" s="627" t="n"/>
      <c r="I386" s="627" t="n">
        <v>212159</v>
      </c>
      <c r="J386" s="223" t="inlineStr">
        <is>
          <t>អនុញ្ញាត (បានប្រកាស)</t>
        </is>
      </c>
      <c r="K386" s="223" t="n"/>
      <c r="L386" s="626">
        <f>I386</f>
        <v/>
      </c>
      <c r="M386" s="598">
        <f>I386-L386</f>
        <v/>
      </c>
      <c r="N386" s="223" t="n"/>
      <c r="O386" s="228">
        <f>U386=E386</f>
        <v/>
      </c>
      <c r="P386" s="228">
        <f>MONTH(F386)-MONTH(T386)</f>
        <v/>
      </c>
      <c r="Q386" s="228">
        <f>$B$5=X386</f>
        <v/>
      </c>
      <c r="R386" s="228">
        <f>I386-AD386</f>
        <v/>
      </c>
      <c r="S386" s="371" t="n"/>
      <c r="T386" s="372" t="n">
        <v>45798</v>
      </c>
      <c r="U386" s="371" t="inlineStr">
        <is>
          <t>APLL25003175</t>
        </is>
      </c>
      <c r="V386" s="371" t="n"/>
      <c r="W386" s="371" t="n"/>
      <c r="X386" s="371" t="n"/>
      <c r="Y386" s="371" t="inlineStr">
        <is>
          <t>ហូលីដេ ឌីហ្សាញ (ខេមបូឌា) ឯ.ក</t>
        </is>
      </c>
      <c r="Z386" s="373" t="n"/>
      <c r="AA386" s="373" t="n"/>
      <c r="AB386" s="371" t="n"/>
      <c r="AC386" s="371" t="n"/>
      <c r="AD386" s="373" t="n">
        <v>212159</v>
      </c>
      <c r="AE386" s="371" t="n"/>
      <c r="AF386" s="625" t="n"/>
    </row>
    <row r="387">
      <c r="A387" s="222">
        <f>A386+1</f>
        <v/>
      </c>
      <c r="B387" s="224" t="inlineStr">
        <is>
          <t>THC Fee-Ex</t>
        </is>
      </c>
      <c r="C387" s="224" t="inlineStr">
        <is>
          <t>APL LOGISTICS (CAMBODIA) PTE LTD.</t>
        </is>
      </c>
      <c r="D387" s="225" t="inlineStr">
        <is>
          <t>L001-100046460</t>
        </is>
      </c>
      <c r="E387" s="359" t="inlineStr">
        <is>
          <t>APLL25003180</t>
        </is>
      </c>
      <c r="F387" s="338" t="n">
        <v>45798</v>
      </c>
      <c r="G387" s="226" t="n"/>
      <c r="H387" s="627" t="n"/>
      <c r="I387" s="627" t="n">
        <v>132099</v>
      </c>
      <c r="J387" s="223" t="inlineStr">
        <is>
          <t>អនុញ្ញាត (បានប្រកាស)</t>
        </is>
      </c>
      <c r="K387" s="223" t="n"/>
      <c r="L387" s="626">
        <f>I387</f>
        <v/>
      </c>
      <c r="M387" s="598">
        <f>I387-L387</f>
        <v/>
      </c>
      <c r="N387" s="223" t="n"/>
      <c r="O387" s="228">
        <f>U387=E387</f>
        <v/>
      </c>
      <c r="P387" s="228">
        <f>MONTH(F387)-MONTH(T387)</f>
        <v/>
      </c>
      <c r="Q387" s="228">
        <f>$B$5=X387</f>
        <v/>
      </c>
      <c r="R387" s="228">
        <f>I387-AD387</f>
        <v/>
      </c>
      <c r="S387" s="371" t="n"/>
      <c r="T387" s="372" t="n">
        <v>45798</v>
      </c>
      <c r="U387" s="371" t="inlineStr">
        <is>
          <t>APLL25003180</t>
        </is>
      </c>
      <c r="V387" s="371" t="n"/>
      <c r="W387" s="371" t="n"/>
      <c r="X387" s="371" t="n"/>
      <c r="Y387" s="371" t="inlineStr">
        <is>
          <t>ហូលីដេ ឌីហ្សាញ (ខេមបូឌា) ឯ.ក</t>
        </is>
      </c>
      <c r="Z387" s="373" t="n"/>
      <c r="AA387" s="373" t="n"/>
      <c r="AB387" s="371" t="n"/>
      <c r="AC387" s="371" t="n"/>
      <c r="AD387" s="373" t="n">
        <v>132099</v>
      </c>
      <c r="AE387" s="371" t="n"/>
      <c r="AF387" s="625" t="n"/>
    </row>
    <row r="388">
      <c r="A388" s="222">
        <f>A387+1</f>
        <v/>
      </c>
      <c r="B388" s="224" t="inlineStr">
        <is>
          <t>THC Fee-Ex</t>
        </is>
      </c>
      <c r="C388" s="224" t="inlineStr">
        <is>
          <t>APL LOGISTICS (CAMBODIA) PTE LTD.</t>
        </is>
      </c>
      <c r="D388" s="225" t="inlineStr">
        <is>
          <t>L001-100046460</t>
        </is>
      </c>
      <c r="E388" s="359" t="inlineStr">
        <is>
          <t>APLL25003378</t>
        </is>
      </c>
      <c r="F388" s="338" t="n">
        <v>45804</v>
      </c>
      <c r="G388" s="226" t="n"/>
      <c r="H388" s="627" t="n"/>
      <c r="I388" s="627" t="n">
        <v>115286</v>
      </c>
      <c r="J388" s="223" t="inlineStr">
        <is>
          <t>អនុញ្ញាត (បានប្រកាស)</t>
        </is>
      </c>
      <c r="K388" s="223" t="n"/>
      <c r="L388" s="626">
        <f>I388</f>
        <v/>
      </c>
      <c r="M388" s="598">
        <f>I388-L388</f>
        <v/>
      </c>
      <c r="N388" s="223" t="n"/>
      <c r="O388" s="228">
        <f>U388=E388</f>
        <v/>
      </c>
      <c r="P388" s="228">
        <f>MONTH(F388)-MONTH(T388)</f>
        <v/>
      </c>
      <c r="Q388" s="228">
        <f>$B$5=X388</f>
        <v/>
      </c>
      <c r="R388" s="228">
        <f>I388-AD388</f>
        <v/>
      </c>
      <c r="S388" s="371" t="n"/>
      <c r="T388" s="372" t="n">
        <v>45804</v>
      </c>
      <c r="U388" s="371" t="inlineStr">
        <is>
          <t>APLL25003378</t>
        </is>
      </c>
      <c r="V388" s="371" t="n"/>
      <c r="W388" s="371" t="n"/>
      <c r="X388" s="371" t="n"/>
      <c r="Y388" s="371" t="inlineStr">
        <is>
          <t>ហូលីដេ ឌីហ្សាញ (ខេមបូឌា) ឯ.ក</t>
        </is>
      </c>
      <c r="Z388" s="373" t="n"/>
      <c r="AA388" s="373" t="n"/>
      <c r="AB388" s="371" t="n"/>
      <c r="AC388" s="371" t="n"/>
      <c r="AD388" s="373" t="n">
        <v>115286</v>
      </c>
      <c r="AE388" s="371" t="n"/>
      <c r="AF388" s="625" t="n"/>
    </row>
    <row r="389">
      <c r="A389" s="222">
        <f>A388+1</f>
        <v/>
      </c>
      <c r="B389" s="224" t="inlineStr">
        <is>
          <t>THC Fee-Ex</t>
        </is>
      </c>
      <c r="C389" s="224" t="inlineStr">
        <is>
          <t>APL LOGISTICS (CAMBODIA) PTE LTD.</t>
        </is>
      </c>
      <c r="D389" s="225" t="inlineStr">
        <is>
          <t>L001-100046460</t>
        </is>
      </c>
      <c r="E389" s="359" t="inlineStr">
        <is>
          <t>APLL25003268</t>
        </is>
      </c>
      <c r="F389" s="338" t="n">
        <v>45799</v>
      </c>
      <c r="G389" s="226" t="n"/>
      <c r="H389" s="627" t="n"/>
      <c r="I389" s="627" t="n">
        <v>115286</v>
      </c>
      <c r="J389" s="223" t="inlineStr">
        <is>
          <t>អនុញ្ញាត (បានប្រកាស)</t>
        </is>
      </c>
      <c r="K389" s="223" t="n"/>
      <c r="L389" s="626">
        <f>I389</f>
        <v/>
      </c>
      <c r="M389" s="598">
        <f>I389-L389</f>
        <v/>
      </c>
      <c r="N389" s="223" t="n"/>
      <c r="O389" s="228">
        <f>U389=E389</f>
        <v/>
      </c>
      <c r="P389" s="228">
        <f>MONTH(F389)-MONTH(T389)</f>
        <v/>
      </c>
      <c r="Q389" s="228">
        <f>$B$5=X389</f>
        <v/>
      </c>
      <c r="R389" s="228">
        <f>I389-AD389</f>
        <v/>
      </c>
      <c r="S389" s="371" t="n"/>
      <c r="T389" s="372" t="n">
        <v>45799</v>
      </c>
      <c r="U389" s="371" t="inlineStr">
        <is>
          <t>APLL25003268</t>
        </is>
      </c>
      <c r="V389" s="371" t="n"/>
      <c r="W389" s="371" t="n"/>
      <c r="X389" s="371" t="n"/>
      <c r="Y389" s="371" t="inlineStr">
        <is>
          <t>ហូលីដេ ឌីហ្សាញ (ខេមបូឌា) ឯ.ក</t>
        </is>
      </c>
      <c r="Z389" s="373" t="n"/>
      <c r="AA389" s="373" t="n"/>
      <c r="AB389" s="371" t="n"/>
      <c r="AC389" s="371" t="n"/>
      <c r="AD389" s="373" t="n">
        <v>115286</v>
      </c>
      <c r="AE389" s="371" t="n"/>
      <c r="AF389" s="625" t="n"/>
    </row>
    <row r="390">
      <c r="A390" s="222">
        <f>A389+1</f>
        <v/>
      </c>
      <c r="B390" s="224" t="inlineStr">
        <is>
          <t>THC Fee-Ex</t>
        </is>
      </c>
      <c r="C390" s="224" t="inlineStr">
        <is>
          <t>APL LOGISTICS (CAMBODIA) PTE LTD.</t>
        </is>
      </c>
      <c r="D390" s="225" t="inlineStr">
        <is>
          <t>L001-100046460</t>
        </is>
      </c>
      <c r="E390" s="359" t="inlineStr">
        <is>
          <t>APLL25003382</t>
        </is>
      </c>
      <c r="F390" s="338" t="n">
        <v>45804</v>
      </c>
      <c r="G390" s="226" t="n"/>
      <c r="H390" s="627" t="n"/>
      <c r="I390" s="627" t="n">
        <v>115286</v>
      </c>
      <c r="J390" s="223" t="inlineStr">
        <is>
          <t>អនុញ្ញាត (បានប្រកាស)</t>
        </is>
      </c>
      <c r="K390" s="223" t="n"/>
      <c r="L390" s="626">
        <f>I390</f>
        <v/>
      </c>
      <c r="M390" s="598">
        <f>I390-L390</f>
        <v/>
      </c>
      <c r="N390" s="223" t="n"/>
      <c r="O390" s="228">
        <f>U390=E390</f>
        <v/>
      </c>
      <c r="P390" s="228">
        <f>MONTH(F390)-MONTH(T390)</f>
        <v/>
      </c>
      <c r="Q390" s="228">
        <f>$B$5=X390</f>
        <v/>
      </c>
      <c r="R390" s="228">
        <f>I390-AD390</f>
        <v/>
      </c>
      <c r="S390" s="371" t="n"/>
      <c r="T390" s="372" t="n">
        <v>45804</v>
      </c>
      <c r="U390" s="371" t="inlineStr">
        <is>
          <t>APLL25003382</t>
        </is>
      </c>
      <c r="V390" s="371" t="n"/>
      <c r="W390" s="371" t="n"/>
      <c r="X390" s="371" t="n"/>
      <c r="Y390" s="371" t="inlineStr">
        <is>
          <t>ហូលីដេ ឌីហ្សាញ (ខេមបូឌា) ឯ.ក</t>
        </is>
      </c>
      <c r="Z390" s="373" t="n"/>
      <c r="AA390" s="373" t="n"/>
      <c r="AB390" s="371" t="n"/>
      <c r="AC390" s="371" t="n"/>
      <c r="AD390" s="373" t="n">
        <v>115286</v>
      </c>
      <c r="AE390" s="371" t="n"/>
      <c r="AF390" s="625" t="n"/>
    </row>
    <row r="391">
      <c r="A391" s="222">
        <f>A390+1</f>
        <v/>
      </c>
      <c r="B391" s="224" t="inlineStr">
        <is>
          <t>THC Fee-Ex</t>
        </is>
      </c>
      <c r="C391" s="224" t="inlineStr">
        <is>
          <t>APL LOGISTICS (CAMBODIA) PTE LTD.</t>
        </is>
      </c>
      <c r="D391" s="225" t="inlineStr">
        <is>
          <t>L001-100046460</t>
        </is>
      </c>
      <c r="E391" s="359" t="inlineStr">
        <is>
          <t>APLL25003416</t>
        </is>
      </c>
      <c r="F391" s="338" t="n">
        <v>45805</v>
      </c>
      <c r="G391" s="226" t="n"/>
      <c r="H391" s="627" t="n"/>
      <c r="I391" s="627" t="n">
        <v>222167</v>
      </c>
      <c r="J391" s="223" t="inlineStr">
        <is>
          <t>អនុញ្ញាត (បានប្រកាស)</t>
        </is>
      </c>
      <c r="K391" s="223" t="n"/>
      <c r="L391" s="626">
        <f>I391</f>
        <v/>
      </c>
      <c r="M391" s="598">
        <f>I391-L391</f>
        <v/>
      </c>
      <c r="N391" s="223" t="n"/>
      <c r="O391" s="228">
        <f>U391=E391</f>
        <v/>
      </c>
      <c r="P391" s="228">
        <f>MONTH(F391)-MONTH(T391)</f>
        <v/>
      </c>
      <c r="Q391" s="228">
        <f>$B$5=X391</f>
        <v/>
      </c>
      <c r="R391" s="228">
        <f>I391-AD391</f>
        <v/>
      </c>
      <c r="S391" s="371" t="n"/>
      <c r="T391" s="372" t="n">
        <v>45805</v>
      </c>
      <c r="U391" s="371" t="inlineStr">
        <is>
          <t>APLL25003416</t>
        </is>
      </c>
      <c r="V391" s="371" t="n"/>
      <c r="W391" s="371" t="n"/>
      <c r="X391" s="371" t="n"/>
      <c r="Y391" s="371" t="inlineStr">
        <is>
          <t>ហូលីដេ ឌីហ្សាញ (ខេមបូឌា) ឯ.ក</t>
        </is>
      </c>
      <c r="Z391" s="373" t="n"/>
      <c r="AA391" s="373" t="n"/>
      <c r="AB391" s="371" t="n"/>
      <c r="AC391" s="371" t="n"/>
      <c r="AD391" s="373" t="n">
        <v>222167</v>
      </c>
      <c r="AE391" s="371" t="n"/>
      <c r="AF391" s="625" t="n"/>
    </row>
    <row r="392">
      <c r="A392" s="222">
        <f>A391+1</f>
        <v/>
      </c>
      <c r="B392" s="224" t="inlineStr">
        <is>
          <t>THC Fee-Ex</t>
        </is>
      </c>
      <c r="C392" s="224" t="inlineStr">
        <is>
          <t>APL LOGISTICS (CAMBODIA) PTE LTD.</t>
        </is>
      </c>
      <c r="D392" s="225" t="inlineStr">
        <is>
          <t>L001-100046460</t>
        </is>
      </c>
      <c r="E392" s="359" t="inlineStr">
        <is>
          <t>APLL25003478</t>
        </is>
      </c>
      <c r="F392" s="338" t="n">
        <v>45804</v>
      </c>
      <c r="G392" s="226" t="n"/>
      <c r="H392" s="627" t="n"/>
      <c r="I392" s="627" t="n">
        <v>132132</v>
      </c>
      <c r="J392" s="223" t="inlineStr">
        <is>
          <t>អនុញ្ញាត (បានប្រកាស)</t>
        </is>
      </c>
      <c r="K392" s="223" t="n"/>
      <c r="L392" s="626">
        <f>I392</f>
        <v/>
      </c>
      <c r="M392" s="598">
        <f>I392-L392</f>
        <v/>
      </c>
      <c r="N392" s="223" t="n"/>
      <c r="O392" s="228">
        <f>U392=E392</f>
        <v/>
      </c>
      <c r="P392" s="228">
        <f>MONTH(F392)-MONTH(T392)</f>
        <v/>
      </c>
      <c r="Q392" s="228">
        <f>$B$5=X392</f>
        <v/>
      </c>
      <c r="R392" s="228">
        <f>I392-AD392</f>
        <v/>
      </c>
      <c r="S392" s="371" t="n"/>
      <c r="T392" s="372" t="n">
        <v>45806</v>
      </c>
      <c r="U392" s="371" t="inlineStr">
        <is>
          <t>APLL25003478</t>
        </is>
      </c>
      <c r="V392" s="371" t="n"/>
      <c r="W392" s="371" t="n"/>
      <c r="X392" s="371" t="n"/>
      <c r="Y392" s="371" t="inlineStr">
        <is>
          <t>ហូលីដេ ឌីហ្សាញ (ខេមបូឌា) ឯ.ក</t>
        </is>
      </c>
      <c r="Z392" s="373" t="n"/>
      <c r="AA392" s="373" t="n"/>
      <c r="AB392" s="371" t="n"/>
      <c r="AC392" s="371" t="n"/>
      <c r="AD392" s="373" t="n">
        <v>132132</v>
      </c>
      <c r="AE392" s="371" t="n"/>
      <c r="AF392" s="625" t="n"/>
    </row>
    <row r="393">
      <c r="A393" s="222">
        <f>A392+1</f>
        <v/>
      </c>
      <c r="B393" s="224" t="inlineStr">
        <is>
          <t>THC Fee-Ex</t>
        </is>
      </c>
      <c r="C393" s="224" t="inlineStr">
        <is>
          <t>APL LOGISTICS (CAMBODIA) PTE LTD.</t>
        </is>
      </c>
      <c r="D393" s="225" t="inlineStr">
        <is>
          <t>L001-100046460</t>
        </is>
      </c>
      <c r="E393" s="359" t="inlineStr">
        <is>
          <t>APLL25003477</t>
        </is>
      </c>
      <c r="F393" s="338" t="n">
        <v>45806</v>
      </c>
      <c r="G393" s="226" t="n"/>
      <c r="H393" s="627" t="n"/>
      <c r="I393" s="627" t="n">
        <v>240240</v>
      </c>
      <c r="J393" s="223" t="inlineStr">
        <is>
          <t>អនុញ្ញាត (បានប្រកាស)</t>
        </is>
      </c>
      <c r="K393" s="223" t="n"/>
      <c r="L393" s="626">
        <f>I393</f>
        <v/>
      </c>
      <c r="M393" s="598">
        <f>I393-L393</f>
        <v/>
      </c>
      <c r="N393" s="223" t="n"/>
      <c r="O393" s="228">
        <f>U393=E393</f>
        <v/>
      </c>
      <c r="P393" s="228">
        <f>MONTH(F393)-MONTH(T393)</f>
        <v/>
      </c>
      <c r="Q393" s="228">
        <f>$B$5=X393</f>
        <v/>
      </c>
      <c r="R393" s="228">
        <f>I393-AD393</f>
        <v/>
      </c>
      <c r="S393" s="371" t="n"/>
      <c r="T393" s="372" t="n">
        <v>45806</v>
      </c>
      <c r="U393" s="371" t="inlineStr">
        <is>
          <t>APLL25003477</t>
        </is>
      </c>
      <c r="V393" s="371" t="n"/>
      <c r="W393" s="371" t="n"/>
      <c r="X393" s="371" t="n"/>
      <c r="Y393" s="371" t="inlineStr">
        <is>
          <t>ហូលីដេ ឌីហ្សាញ (ខេមបូឌា) ឯ.ក</t>
        </is>
      </c>
      <c r="Z393" s="373" t="n"/>
      <c r="AA393" s="373" t="n"/>
      <c r="AB393" s="371" t="n"/>
      <c r="AC393" s="371" t="n"/>
      <c r="AD393" s="373" t="n">
        <v>240240</v>
      </c>
      <c r="AE393" s="371" t="n"/>
      <c r="AF393" s="625" t="n"/>
    </row>
    <row r="394">
      <c r="A394" s="222">
        <f>A393+1</f>
        <v/>
      </c>
      <c r="B394" s="224" t="inlineStr">
        <is>
          <t>THC Fee-Ex</t>
        </is>
      </c>
      <c r="C394" s="224" t="inlineStr">
        <is>
          <t>APL LOGISTICS (CAMBODIA) PTE LTD.</t>
        </is>
      </c>
      <c r="D394" s="225" t="inlineStr">
        <is>
          <t>L001-100046460</t>
        </is>
      </c>
      <c r="E394" s="359" t="inlineStr">
        <is>
          <t>APLL25003476</t>
        </is>
      </c>
      <c r="F394" s="338" t="n">
        <v>45806</v>
      </c>
      <c r="G394" s="226" t="n"/>
      <c r="H394" s="627" t="n"/>
      <c r="I394" s="627" t="n">
        <v>132132</v>
      </c>
      <c r="J394" s="223" t="inlineStr">
        <is>
          <t>អនុញ្ញាត (បានប្រកាស)</t>
        </is>
      </c>
      <c r="K394" s="223" t="n"/>
      <c r="L394" s="626">
        <f>I394</f>
        <v/>
      </c>
      <c r="M394" s="598">
        <f>I394-L394</f>
        <v/>
      </c>
      <c r="N394" s="223" t="n"/>
      <c r="O394" s="228">
        <f>U394=E394</f>
        <v/>
      </c>
      <c r="P394" s="228">
        <f>MONTH(F394)-MONTH(T394)</f>
        <v/>
      </c>
      <c r="Q394" s="228">
        <f>$B$5=X394</f>
        <v/>
      </c>
      <c r="R394" s="228">
        <f>I394-AD394</f>
        <v/>
      </c>
      <c r="S394" s="371" t="n"/>
      <c r="T394" s="372" t="n">
        <v>45806</v>
      </c>
      <c r="U394" s="371" t="inlineStr">
        <is>
          <t>APLL25003476</t>
        </is>
      </c>
      <c r="V394" s="371" t="n"/>
      <c r="W394" s="371" t="n"/>
      <c r="X394" s="371" t="n"/>
      <c r="Y394" s="371" t="inlineStr">
        <is>
          <t>ហូលីដេ ឌីហ្សាញ (ខេមបូឌា) ឯ.ក</t>
        </is>
      </c>
      <c r="Z394" s="373" t="n"/>
      <c r="AA394" s="373" t="n"/>
      <c r="AB394" s="371" t="n"/>
      <c r="AC394" s="371" t="n"/>
      <c r="AD394" s="373" t="n">
        <v>132132</v>
      </c>
      <c r="AE394" s="371" t="n"/>
      <c r="AF394" s="625" t="n"/>
    </row>
    <row r="395">
      <c r="A395" s="222">
        <f>A394+1</f>
        <v/>
      </c>
      <c r="B395" s="224" t="inlineStr">
        <is>
          <t>THC Fee-Ex</t>
        </is>
      </c>
      <c r="C395" s="224" t="inlineStr">
        <is>
          <t>APL LOGISTICS (CAMBODIA) PTE LTD.</t>
        </is>
      </c>
      <c r="D395" s="225" t="inlineStr">
        <is>
          <t>L001-100046460</t>
        </is>
      </c>
      <c r="E395" s="359" t="inlineStr">
        <is>
          <t>APLL25003475</t>
        </is>
      </c>
      <c r="F395" s="338" t="n">
        <v>45806</v>
      </c>
      <c r="G395" s="226" t="n"/>
      <c r="H395" s="627" t="n"/>
      <c r="I395" s="627" t="n">
        <v>132132</v>
      </c>
      <c r="J395" s="223" t="inlineStr">
        <is>
          <t>អនុញ្ញាត (បានប្រកាស)</t>
        </is>
      </c>
      <c r="K395" s="223" t="n"/>
      <c r="L395" s="626">
        <f>I395</f>
        <v/>
      </c>
      <c r="M395" s="598">
        <f>I395-L395</f>
        <v/>
      </c>
      <c r="N395" s="223" t="n"/>
      <c r="O395" s="228">
        <f>U395=E395</f>
        <v/>
      </c>
      <c r="P395" s="228">
        <f>MONTH(F395)-MONTH(T395)</f>
        <v/>
      </c>
      <c r="Q395" s="228">
        <f>$B$5=X395</f>
        <v/>
      </c>
      <c r="R395" s="228">
        <f>I395-AD395</f>
        <v/>
      </c>
      <c r="S395" s="371" t="n"/>
      <c r="T395" s="372" t="n">
        <v>45806</v>
      </c>
      <c r="U395" s="371" t="inlineStr">
        <is>
          <t>APLL25003475</t>
        </is>
      </c>
      <c r="V395" s="371" t="n"/>
      <c r="W395" s="371" t="n"/>
      <c r="X395" s="371" t="n"/>
      <c r="Y395" s="371" t="inlineStr">
        <is>
          <t>ហូលីដេ ឌីហ្សាញ (ខេមបូឌា) ឯ.ក</t>
        </is>
      </c>
      <c r="Z395" s="373" t="n"/>
      <c r="AA395" s="373" t="n"/>
      <c r="AB395" s="371" t="n"/>
      <c r="AC395" s="371" t="n"/>
      <c r="AD395" s="373" t="n">
        <v>132132</v>
      </c>
      <c r="AE395" s="371" t="n"/>
      <c r="AF395" s="625" t="n"/>
    </row>
    <row r="396">
      <c r="A396" s="222">
        <f>A395+1</f>
        <v/>
      </c>
      <c r="B396" s="224" t="inlineStr">
        <is>
          <t>THC Fee-Ex</t>
        </is>
      </c>
      <c r="C396" s="224" t="inlineStr">
        <is>
          <t>APL LOGISTICS (CAMBODIA) PTE LTD.</t>
        </is>
      </c>
      <c r="D396" s="225" t="inlineStr">
        <is>
          <t>L001-100046460</t>
        </is>
      </c>
      <c r="E396" s="359" t="inlineStr">
        <is>
          <t>APLL25003456</t>
        </is>
      </c>
      <c r="F396" s="338" t="n">
        <v>45806</v>
      </c>
      <c r="G396" s="226" t="n"/>
      <c r="H396" s="627" t="n"/>
      <c r="I396" s="627" t="n">
        <v>132132</v>
      </c>
      <c r="J396" s="223" t="inlineStr">
        <is>
          <t>អនុញ្ញាត (បានប្រកាស)</t>
        </is>
      </c>
      <c r="K396" s="223" t="n"/>
      <c r="L396" s="626">
        <f>I396</f>
        <v/>
      </c>
      <c r="M396" s="598">
        <f>I396-L396</f>
        <v/>
      </c>
      <c r="N396" s="223" t="n"/>
      <c r="O396" s="228">
        <f>U396=E396</f>
        <v/>
      </c>
      <c r="P396" s="228">
        <f>MONTH(F396)-MONTH(T396)</f>
        <v/>
      </c>
      <c r="Q396" s="228">
        <f>$B$5=X396</f>
        <v/>
      </c>
      <c r="R396" s="228">
        <f>I396-AD396</f>
        <v/>
      </c>
      <c r="S396" s="371" t="n"/>
      <c r="T396" s="372" t="n">
        <v>45806</v>
      </c>
      <c r="U396" s="371" t="inlineStr">
        <is>
          <t>APLL25003456</t>
        </is>
      </c>
      <c r="V396" s="371" t="n"/>
      <c r="W396" s="371" t="n"/>
      <c r="X396" s="371" t="n"/>
      <c r="Y396" s="371" t="inlineStr">
        <is>
          <t>ហូលីដេ ឌីហ្សាញ (ខេមបូឌា) ឯ.ក</t>
        </is>
      </c>
      <c r="Z396" s="373" t="n"/>
      <c r="AA396" s="373" t="n"/>
      <c r="AB396" s="371" t="n"/>
      <c r="AC396" s="371" t="n"/>
      <c r="AD396" s="373" t="n">
        <v>132132</v>
      </c>
      <c r="AE396" s="371" t="n"/>
      <c r="AF396" s="625" t="n"/>
    </row>
    <row r="397">
      <c r="A397" s="222">
        <f>A396+1</f>
        <v/>
      </c>
      <c r="B397" s="224" t="inlineStr">
        <is>
          <t>THC Fee-Ex</t>
        </is>
      </c>
      <c r="C397" s="224" t="inlineStr">
        <is>
          <t>APL LOGISTICS (CAMBODIA) PTE LTD.</t>
        </is>
      </c>
      <c r="D397" s="225" t="inlineStr">
        <is>
          <t>L001-100046460</t>
        </is>
      </c>
      <c r="E397" s="359" t="inlineStr">
        <is>
          <t>APLL25003455</t>
        </is>
      </c>
      <c r="F397" s="338" t="n">
        <v>45806</v>
      </c>
      <c r="G397" s="226" t="n"/>
      <c r="H397" s="627" t="n"/>
      <c r="I397" s="627" t="n">
        <v>348348</v>
      </c>
      <c r="J397" s="223" t="inlineStr">
        <is>
          <t>អនុញ្ញាត (បានប្រកាស)</t>
        </is>
      </c>
      <c r="K397" s="223" t="n"/>
      <c r="L397" s="626">
        <f>I397</f>
        <v/>
      </c>
      <c r="M397" s="598">
        <f>I397-L397</f>
        <v/>
      </c>
      <c r="N397" s="223" t="n"/>
      <c r="O397" s="228">
        <f>U397=E397</f>
        <v/>
      </c>
      <c r="P397" s="228">
        <f>MONTH(F397)-MONTH(T397)</f>
        <v/>
      </c>
      <c r="Q397" s="228">
        <f>$B$5=X397</f>
        <v/>
      </c>
      <c r="R397" s="228">
        <f>I397-AD397</f>
        <v/>
      </c>
      <c r="S397" s="371" t="n"/>
      <c r="T397" s="372" t="n">
        <v>45806</v>
      </c>
      <c r="U397" s="371" t="inlineStr">
        <is>
          <t>APLL25003455</t>
        </is>
      </c>
      <c r="V397" s="371" t="n"/>
      <c r="W397" s="371" t="n"/>
      <c r="X397" s="371" t="n"/>
      <c r="Y397" s="371" t="inlineStr">
        <is>
          <t>ហូលីដេ ឌីហ្សាញ (ខេមបូឌា) ឯ.ក</t>
        </is>
      </c>
      <c r="Z397" s="373" t="n"/>
      <c r="AA397" s="373" t="n"/>
      <c r="AB397" s="371" t="n"/>
      <c r="AC397" s="371" t="n"/>
      <c r="AD397" s="373" t="n">
        <v>348348</v>
      </c>
      <c r="AE397" s="371" t="n"/>
      <c r="AF397" s="625" t="n"/>
    </row>
    <row r="398">
      <c r="A398" s="222">
        <f>A397+1</f>
        <v/>
      </c>
      <c r="B398" s="224" t="inlineStr">
        <is>
          <t>THC Fee-Ex</t>
        </is>
      </c>
      <c r="C398" s="224" t="inlineStr">
        <is>
          <t>APL LOGISTICS (CAMBODIA) PTE LTD.</t>
        </is>
      </c>
      <c r="D398" s="225" t="inlineStr">
        <is>
          <t>L001-100046460</t>
        </is>
      </c>
      <c r="E398" s="359" t="inlineStr">
        <is>
          <t>APLL25003454</t>
        </is>
      </c>
      <c r="F398" s="338" t="n">
        <v>45806</v>
      </c>
      <c r="G398" s="226" t="n"/>
      <c r="H398" s="627" t="n"/>
      <c r="I398" s="627" t="n">
        <v>1105104</v>
      </c>
      <c r="J398" s="223" t="inlineStr">
        <is>
          <t>អនុញ្ញាត (បានប្រកាស)</t>
        </is>
      </c>
      <c r="K398" s="223" t="n"/>
      <c r="L398" s="626">
        <f>I398</f>
        <v/>
      </c>
      <c r="M398" s="598">
        <f>I398-L398</f>
        <v/>
      </c>
      <c r="N398" s="223" t="n"/>
      <c r="O398" s="228">
        <f>U398=E398</f>
        <v/>
      </c>
      <c r="P398" s="228">
        <f>MONTH(F398)-MONTH(T398)</f>
        <v/>
      </c>
      <c r="Q398" s="228">
        <f>$B$5=X398</f>
        <v/>
      </c>
      <c r="R398" s="228">
        <f>I398-AD398</f>
        <v/>
      </c>
      <c r="S398" s="371" t="n"/>
      <c r="T398" s="372" t="n">
        <v>45806</v>
      </c>
      <c r="U398" s="371" t="inlineStr">
        <is>
          <t>APLL25003454</t>
        </is>
      </c>
      <c r="V398" s="371" t="n"/>
      <c r="W398" s="371" t="n"/>
      <c r="X398" s="371" t="n"/>
      <c r="Y398" s="371" t="inlineStr">
        <is>
          <t>ហូលីដេ ឌីហ្សាញ (ខេមបូឌា) ឯ.ក</t>
        </is>
      </c>
      <c r="Z398" s="373" t="n"/>
      <c r="AA398" s="373" t="n"/>
      <c r="AB398" s="371" t="n"/>
      <c r="AC398" s="371" t="n"/>
      <c r="AD398" s="373" t="n">
        <v>1105104</v>
      </c>
      <c r="AE398" s="371" t="n"/>
      <c r="AF398" s="625" t="n"/>
    </row>
    <row r="399">
      <c r="A399" s="222">
        <f>A398+1</f>
        <v/>
      </c>
      <c r="B399" s="224" t="inlineStr">
        <is>
          <t>THC Fee-Ex</t>
        </is>
      </c>
      <c r="C399" s="224" t="inlineStr">
        <is>
          <t>APL LOGISTICS (CAMBODIA) PTE LTD.</t>
        </is>
      </c>
      <c r="D399" s="225" t="inlineStr">
        <is>
          <t>L001-100046460</t>
        </is>
      </c>
      <c r="E399" s="359" t="inlineStr">
        <is>
          <t>APLL25003417</t>
        </is>
      </c>
      <c r="F399" s="338" t="n">
        <v>45805</v>
      </c>
      <c r="G399" s="226" t="n"/>
      <c r="H399" s="627" t="n"/>
      <c r="I399" s="627" t="n">
        <v>164123</v>
      </c>
      <c r="J399" s="223" t="inlineStr">
        <is>
          <t>អនុញ្ញាត (បានប្រកាស)</t>
        </is>
      </c>
      <c r="K399" s="223" t="n"/>
      <c r="L399" s="626">
        <f>I399</f>
        <v/>
      </c>
      <c r="M399" s="598">
        <f>I399-L399</f>
        <v/>
      </c>
      <c r="N399" s="223" t="n"/>
      <c r="O399" s="228">
        <f>U399=E399</f>
        <v/>
      </c>
      <c r="P399" s="228">
        <f>MONTH(F399)-MONTH(T399)</f>
        <v/>
      </c>
      <c r="Q399" s="228">
        <f>$B$5=X399</f>
        <v/>
      </c>
      <c r="R399" s="228">
        <f>I399-AD399</f>
        <v/>
      </c>
      <c r="S399" s="371" t="n"/>
      <c r="T399" s="372" t="n">
        <v>45805</v>
      </c>
      <c r="U399" s="371" t="inlineStr">
        <is>
          <t>APLL25003417</t>
        </is>
      </c>
      <c r="V399" s="371" t="n"/>
      <c r="W399" s="371" t="n"/>
      <c r="X399" s="371" t="n"/>
      <c r="Y399" s="371" t="inlineStr">
        <is>
          <t>ហូលីដេ ឌីហ្សាញ (ខេមបូឌា) ឯ.ក</t>
        </is>
      </c>
      <c r="Z399" s="373" t="n"/>
      <c r="AA399" s="373" t="n"/>
      <c r="AB399" s="371" t="n"/>
      <c r="AC399" s="371" t="n"/>
      <c r="AD399" s="373" t="n">
        <v>164123</v>
      </c>
      <c r="AE399" s="371" t="n"/>
      <c r="AF399" s="625" t="n"/>
    </row>
    <row r="400">
      <c r="A400" s="222">
        <f>A399+1</f>
        <v/>
      </c>
      <c r="B400" s="224" t="inlineStr">
        <is>
          <t>THC Fee-Ex</t>
        </is>
      </c>
      <c r="C400" s="224" t="inlineStr">
        <is>
          <t>APL LOGISTICS (CAMBODIA) PTE LTD.</t>
        </is>
      </c>
      <c r="D400" s="225" t="inlineStr">
        <is>
          <t>L001-100046460</t>
        </is>
      </c>
      <c r="E400" s="359" t="inlineStr">
        <is>
          <t>APLL25003415</t>
        </is>
      </c>
      <c r="F400" s="338" t="n">
        <v>45805</v>
      </c>
      <c r="G400" s="226" t="n"/>
      <c r="H400" s="627" t="n"/>
      <c r="I400" s="627" t="n">
        <v>222167</v>
      </c>
      <c r="J400" s="223" t="inlineStr">
        <is>
          <t>អនុញ្ញាត (បានប្រកាស)</t>
        </is>
      </c>
      <c r="K400" s="223" t="n"/>
      <c r="L400" s="626">
        <f>I400</f>
        <v/>
      </c>
      <c r="M400" s="598">
        <f>I400-L400</f>
        <v/>
      </c>
      <c r="N400" s="223" t="n"/>
      <c r="O400" s="228">
        <f>U400=E400</f>
        <v/>
      </c>
      <c r="P400" s="228">
        <f>MONTH(F400)-MONTH(T400)</f>
        <v/>
      </c>
      <c r="Q400" s="228">
        <f>$B$5=X400</f>
        <v/>
      </c>
      <c r="R400" s="228">
        <f>I400-AD400</f>
        <v/>
      </c>
      <c r="S400" s="371" t="inlineStr">
        <is>
          <t>Wrong invoice number</t>
        </is>
      </c>
      <c r="T400" s="372" t="n">
        <v>45805</v>
      </c>
      <c r="U400" s="371" t="inlineStr">
        <is>
          <t>APLL25003415</t>
        </is>
      </c>
      <c r="V400" s="371" t="n"/>
      <c r="W400" s="371" t="n"/>
      <c r="X400" s="371" t="n"/>
      <c r="Y400" s="371" t="inlineStr">
        <is>
          <t>ហូលីដេ ឌីហ្សាញ (ខេមបូឌា) ឯ.ក</t>
        </is>
      </c>
      <c r="Z400" s="373" t="n"/>
      <c r="AA400" s="373" t="n"/>
      <c r="AB400" s="371" t="n"/>
      <c r="AC400" s="371" t="n"/>
      <c r="AD400" s="373" t="n">
        <v>222167</v>
      </c>
      <c r="AE400" s="371" t="n"/>
      <c r="AF400" s="625" t="n"/>
    </row>
    <row r="401">
      <c r="A401" s="222">
        <f>A400+1</f>
        <v/>
      </c>
      <c r="B401" s="224" t="inlineStr">
        <is>
          <t>THC Fee-Ex</t>
        </is>
      </c>
      <c r="C401" s="224" t="inlineStr">
        <is>
          <t>APL LOGISTICS (CAMBODIA) PTE LTD.</t>
        </is>
      </c>
      <c r="D401" s="225" t="inlineStr">
        <is>
          <t>L001-100046460</t>
        </is>
      </c>
      <c r="E401" s="359" t="inlineStr">
        <is>
          <t>APLL25003373</t>
        </is>
      </c>
      <c r="F401" s="338" t="n">
        <v>45804</v>
      </c>
      <c r="G401" s="226" t="n"/>
      <c r="H401" s="627" t="n"/>
      <c r="I401" s="627" t="n">
        <v>115286</v>
      </c>
      <c r="J401" s="223" t="inlineStr">
        <is>
          <t>អនុញ្ញាត (បានប្រកាស)</t>
        </is>
      </c>
      <c r="K401" s="223" t="n"/>
      <c r="L401" s="626">
        <f>I401</f>
        <v/>
      </c>
      <c r="M401" s="598">
        <f>I401-L401</f>
        <v/>
      </c>
      <c r="N401" s="223" t="n"/>
      <c r="O401" s="228">
        <f>U401=E401</f>
        <v/>
      </c>
      <c r="P401" s="228">
        <f>MONTH(F401)-MONTH(T401)</f>
        <v/>
      </c>
      <c r="Q401" s="228">
        <f>$B$5=X401</f>
        <v/>
      </c>
      <c r="R401" s="228">
        <f>I401-AD401</f>
        <v/>
      </c>
      <c r="S401" s="371" t="n"/>
      <c r="T401" s="372" t="n">
        <v>45804</v>
      </c>
      <c r="U401" s="371" t="inlineStr">
        <is>
          <t>APLL25003373</t>
        </is>
      </c>
      <c r="V401" s="371" t="n"/>
      <c r="W401" s="371" t="n"/>
      <c r="X401" s="371" t="n"/>
      <c r="Y401" s="371" t="inlineStr">
        <is>
          <t>ហូលីដេ ឌីហ្សាញ (ខេមបូឌា) ឯ.ក</t>
        </is>
      </c>
      <c r="Z401" s="373" t="n"/>
      <c r="AA401" s="373" t="n"/>
      <c r="AB401" s="371" t="n"/>
      <c r="AC401" s="371" t="n"/>
      <c r="AD401" s="373" t="n">
        <v>115286</v>
      </c>
      <c r="AE401" s="371" t="n"/>
      <c r="AF401" s="625" t="n"/>
    </row>
    <row r="402">
      <c r="A402" s="222">
        <f>A401+1</f>
        <v/>
      </c>
      <c r="B402" s="224" t="inlineStr">
        <is>
          <t>THC Fee-Ex</t>
        </is>
      </c>
      <c r="C402" s="224" t="inlineStr">
        <is>
          <t>APL LOGISTICS (CAMBODIA) PTE LTD.</t>
        </is>
      </c>
      <c r="D402" s="225" t="inlineStr">
        <is>
          <t>L001-100046460</t>
        </is>
      </c>
      <c r="E402" s="359" t="inlineStr">
        <is>
          <t>APLL25003414</t>
        </is>
      </c>
      <c r="F402" s="338" t="n">
        <v>45805</v>
      </c>
      <c r="G402" s="226" t="n"/>
      <c r="H402" s="627" t="n"/>
      <c r="I402" s="627" t="n">
        <v>164123</v>
      </c>
      <c r="J402" s="223" t="inlineStr">
        <is>
          <t>អនុញ្ញាត (បានប្រកាស)</t>
        </is>
      </c>
      <c r="K402" s="223" t="n"/>
      <c r="L402" s="626">
        <f>I402</f>
        <v/>
      </c>
      <c r="M402" s="598">
        <f>I402-L402</f>
        <v/>
      </c>
      <c r="N402" s="223" t="n"/>
      <c r="O402" s="228">
        <f>U402=E402</f>
        <v/>
      </c>
      <c r="P402" s="228">
        <f>MONTH(F402)-MONTH(T402)</f>
        <v/>
      </c>
      <c r="Q402" s="228">
        <f>$B$5=X402</f>
        <v/>
      </c>
      <c r="R402" s="228">
        <f>I402-AD402</f>
        <v/>
      </c>
      <c r="S402" s="371" t="n"/>
      <c r="T402" s="372" t="n">
        <v>45805</v>
      </c>
      <c r="U402" s="371" t="inlineStr">
        <is>
          <t>APLL25003414</t>
        </is>
      </c>
      <c r="V402" s="371" t="n"/>
      <c r="W402" s="371" t="n"/>
      <c r="X402" s="371" t="n"/>
      <c r="Y402" s="371" t="inlineStr">
        <is>
          <t>ហូលីដេ ឌីហ្សាញ (ខេមបូឌា) ឯ.ក</t>
        </is>
      </c>
      <c r="Z402" s="373" t="n"/>
      <c r="AA402" s="373" t="n"/>
      <c r="AB402" s="371" t="n"/>
      <c r="AC402" s="371" t="n"/>
      <c r="AD402" s="373" t="n">
        <v>164123</v>
      </c>
      <c r="AE402" s="371" t="n"/>
      <c r="AF402" s="625" t="n"/>
    </row>
    <row r="403">
      <c r="A403" s="222">
        <f>A402+1</f>
        <v/>
      </c>
      <c r="B403" s="224" t="inlineStr">
        <is>
          <t>THC Fee-Ex</t>
        </is>
      </c>
      <c r="C403" s="224" t="inlineStr">
        <is>
          <t>APL LOGISTICS (CAMBODIA) PTE LTD.</t>
        </is>
      </c>
      <c r="D403" s="225" t="inlineStr">
        <is>
          <t>L001-100046460</t>
        </is>
      </c>
      <c r="E403" s="359" t="inlineStr">
        <is>
          <t>APLL25003413</t>
        </is>
      </c>
      <c r="F403" s="338" t="n">
        <v>45805</v>
      </c>
      <c r="G403" s="226" t="n"/>
      <c r="H403" s="627" t="n"/>
      <c r="I403" s="627" t="n">
        <v>225369</v>
      </c>
      <c r="J403" s="223" t="inlineStr">
        <is>
          <t>អនុញ្ញាត (បានប្រកាស)</t>
        </is>
      </c>
      <c r="K403" s="223" t="n"/>
      <c r="L403" s="626">
        <f>I403</f>
        <v/>
      </c>
      <c r="M403" s="598">
        <f>I403-L403</f>
        <v/>
      </c>
      <c r="N403" s="223" t="n"/>
      <c r="O403" s="228">
        <f>U403=E403</f>
        <v/>
      </c>
      <c r="P403" s="228">
        <f>MONTH(F403)-MONTH(T403)</f>
        <v/>
      </c>
      <c r="Q403" s="228">
        <f>$B$5=X403</f>
        <v/>
      </c>
      <c r="R403" s="228">
        <f>I403-AD403</f>
        <v/>
      </c>
      <c r="S403" s="371" t="n"/>
      <c r="T403" s="372" t="n">
        <v>45805</v>
      </c>
      <c r="U403" s="371" t="inlineStr">
        <is>
          <t>APLL25003413</t>
        </is>
      </c>
      <c r="V403" s="371" t="n"/>
      <c r="W403" s="371" t="n"/>
      <c r="X403" s="371" t="n"/>
      <c r="Y403" s="371" t="inlineStr">
        <is>
          <t>ហូលីដេ ឌីហ្សាញ (ខេមបូឌា) ឯ.ក</t>
        </is>
      </c>
      <c r="Z403" s="373" t="n"/>
      <c r="AA403" s="373" t="n"/>
      <c r="AB403" s="371" t="n"/>
      <c r="AC403" s="371" t="n"/>
      <c r="AD403" s="373" t="n">
        <v>225369</v>
      </c>
      <c r="AE403" s="371" t="n"/>
      <c r="AF403" s="625" t="n"/>
    </row>
    <row r="404">
      <c r="A404" s="222">
        <f>A403+1</f>
        <v/>
      </c>
      <c r="B404" s="224" t="inlineStr">
        <is>
          <t>THC Fee-Ex</t>
        </is>
      </c>
      <c r="C404" s="224" t="inlineStr">
        <is>
          <t>APL LOGISTICS (CAMBODIA) PTE LTD.</t>
        </is>
      </c>
      <c r="D404" s="225" t="inlineStr">
        <is>
          <t>L001-100046460</t>
        </is>
      </c>
      <c r="E404" s="359" t="inlineStr">
        <is>
          <t>APLL25003412</t>
        </is>
      </c>
      <c r="F404" s="338" t="n">
        <v>45805</v>
      </c>
      <c r="G404" s="226" t="n"/>
      <c r="H404" s="627" t="n"/>
      <c r="I404" s="627" t="n">
        <v>132099</v>
      </c>
      <c r="J404" s="223" t="inlineStr">
        <is>
          <t>អនុញ្ញាត (បានប្រកាស)</t>
        </is>
      </c>
      <c r="K404" s="223" t="n"/>
      <c r="L404" s="626">
        <f>I404</f>
        <v/>
      </c>
      <c r="M404" s="598">
        <f>I404-L404</f>
        <v/>
      </c>
      <c r="N404" s="223" t="n"/>
      <c r="O404" s="228">
        <f>U404=E404</f>
        <v/>
      </c>
      <c r="P404" s="228">
        <f>MONTH(F404)-MONTH(T404)</f>
        <v/>
      </c>
      <c r="Q404" s="228">
        <f>$B$5=X404</f>
        <v/>
      </c>
      <c r="R404" s="228">
        <f>I404-AD404</f>
        <v/>
      </c>
      <c r="S404" s="371" t="n"/>
      <c r="T404" s="372" t="n">
        <v>45805</v>
      </c>
      <c r="U404" s="371" t="inlineStr">
        <is>
          <t>APLL25003412</t>
        </is>
      </c>
      <c r="V404" s="371" t="n"/>
      <c r="W404" s="371" t="n"/>
      <c r="X404" s="371" t="n"/>
      <c r="Y404" s="371" t="inlineStr">
        <is>
          <t>ហូលីដេ ឌីហ្សាញ (ខេមបូឌា) ឯ.ក</t>
        </is>
      </c>
      <c r="Z404" s="373" t="n"/>
      <c r="AA404" s="373" t="n"/>
      <c r="AB404" s="371" t="n"/>
      <c r="AC404" s="371" t="n"/>
      <c r="AD404" s="373" t="n">
        <v>132099</v>
      </c>
      <c r="AE404" s="371" t="n"/>
      <c r="AF404" s="625" t="n"/>
    </row>
    <row r="405">
      <c r="A405" s="222">
        <f>A404+1</f>
        <v/>
      </c>
      <c r="B405" s="224" t="inlineStr">
        <is>
          <t>THC, Doc, EMF, CIC Fee-Im</t>
        </is>
      </c>
      <c r="C405" s="224" t="inlineStr">
        <is>
          <t>INCHCAPE SHIPPING SERVICES (CAMBODIA) LTD</t>
        </is>
      </c>
      <c r="D405" s="225" t="inlineStr">
        <is>
          <t>L001-103000127</t>
        </is>
      </c>
      <c r="E405" s="359" t="inlineStr">
        <is>
          <t>IN252100</t>
        </is>
      </c>
      <c r="F405" s="338" t="n">
        <v>45771</v>
      </c>
      <c r="G405" s="226" t="n"/>
      <c r="H405" s="627" t="n"/>
      <c r="I405" s="627" t="n">
        <v>844633</v>
      </c>
      <c r="J405" s="223" t="inlineStr">
        <is>
          <t>អនុញ្ញាត (បានប្រកាស)</t>
        </is>
      </c>
      <c r="K405" s="223" t="n"/>
      <c r="L405" s="626">
        <f>I405</f>
        <v/>
      </c>
      <c r="M405" s="598">
        <f>I405-L405</f>
        <v/>
      </c>
      <c r="N405" s="223" t="n"/>
      <c r="O405" s="228">
        <f>U405=E405</f>
        <v/>
      </c>
      <c r="P405" s="228">
        <f>MONTH(F405)-MONTH(T405)</f>
        <v/>
      </c>
      <c r="Q405" s="228">
        <f>$B$5=X405</f>
        <v/>
      </c>
      <c r="R405" s="228">
        <f>I405-AD405</f>
        <v/>
      </c>
      <c r="S405" s="371" t="n"/>
      <c r="T405" s="372" t="n">
        <v>45771</v>
      </c>
      <c r="U405" s="371" t="inlineStr">
        <is>
          <t>IN252100</t>
        </is>
      </c>
      <c r="V405" s="371" t="n">
        <v>0</v>
      </c>
      <c r="W405" s="371" t="inlineStr">
        <is>
          <t>បុគ្គលជាប់អាករ</t>
        </is>
      </c>
      <c r="X405" s="371" t="inlineStr">
        <is>
          <t>L001-901640009</t>
        </is>
      </c>
      <c r="Y405" s="371" t="inlineStr">
        <is>
          <t>ហូលីដេ ឌីហ្សាញ (ខេមបូឌា) ឯ.ក</t>
        </is>
      </c>
      <c r="Z405" s="373" t="n">
        <v>9290963</v>
      </c>
      <c r="AA405" s="373" t="n">
        <v>8446330</v>
      </c>
      <c r="AB405" s="371" t="n">
        <v>0</v>
      </c>
      <c r="AC405" s="371" t="inlineStr">
        <is>
          <t>-</t>
        </is>
      </c>
      <c r="AD405" s="373" t="n">
        <v>844633</v>
      </c>
      <c r="AE405" s="371" t="n">
        <v>0</v>
      </c>
      <c r="AF405" s="625" t="n">
        <v>0</v>
      </c>
      <c r="AG405" s="205" t="n">
        <v>0</v>
      </c>
      <c r="AH405" s="205" t="n">
        <v>0</v>
      </c>
      <c r="AI405" s="205" t="n">
        <v>0</v>
      </c>
      <c r="AJ405" s="205" t="n">
        <v>0</v>
      </c>
      <c r="AK405" s="205" t="n">
        <v>0</v>
      </c>
      <c r="AL405" s="205" t="n">
        <v>0.01</v>
      </c>
      <c r="AM405" s="205" t="n">
        <v>0</v>
      </c>
      <c r="AN405" s="205" t="inlineStr">
        <is>
          <t>THC,DOC,EMF AND FRT (CIC) FEE</t>
        </is>
      </c>
      <c r="AO405" s="205" t="inlineStr">
        <is>
          <t>បានប្រកាសនិងបង់ពន្ធ</t>
        </is>
      </c>
    </row>
    <row r="406">
      <c r="A406" s="222">
        <f>A405+1</f>
        <v/>
      </c>
      <c r="B406" s="224" t="inlineStr">
        <is>
          <t>Import Documentation fee</t>
        </is>
      </c>
      <c r="C406" s="224" t="inlineStr">
        <is>
          <t>CMA CGM (CAMBODIA) CO., LTD.</t>
        </is>
      </c>
      <c r="D406" s="225" t="inlineStr">
        <is>
          <t>L001-105016225</t>
        </is>
      </c>
      <c r="E406" s="359" t="inlineStr">
        <is>
          <t>KH25I00006870</t>
        </is>
      </c>
      <c r="F406" s="338" t="n">
        <v>45709</v>
      </c>
      <c r="G406" s="226" t="n"/>
      <c r="H406" s="627" t="n"/>
      <c r="I406" s="627" t="n">
        <v>420859</v>
      </c>
      <c r="J406" s="223" t="inlineStr">
        <is>
          <t>ព្យួរទុក (មិនមានទិន្នន័យ)</t>
        </is>
      </c>
      <c r="K406" s="223" t="n"/>
      <c r="L406" s="626" t="n"/>
      <c r="M406" s="598">
        <f>I406-L406</f>
        <v/>
      </c>
      <c r="N406" s="223" t="n"/>
      <c r="O406" s="228">
        <f>U406=E406</f>
        <v/>
      </c>
      <c r="P406" s="228">
        <f>MONTH(F406)-MONTH(T406)</f>
        <v/>
      </c>
      <c r="Q406" s="228">
        <f>$B$5=X406</f>
        <v/>
      </c>
      <c r="R406" s="228">
        <f>I406-AD406</f>
        <v/>
      </c>
      <c r="S406" s="371" t="n"/>
      <c r="T406" s="372" t="n">
        <v>0</v>
      </c>
      <c r="U406" s="371" t="n">
        <v>0</v>
      </c>
      <c r="V406" s="371" t="n">
        <v>0</v>
      </c>
      <c r="W406" s="371" t="n">
        <v>0</v>
      </c>
      <c r="X406" s="371" t="n">
        <v>0</v>
      </c>
      <c r="Y406" s="371" t="n">
        <v>0</v>
      </c>
      <c r="Z406" s="373" t="n">
        <v>0</v>
      </c>
      <c r="AA406" s="373" t="n">
        <v>0</v>
      </c>
      <c r="AB406" s="371" t="n">
        <v>0</v>
      </c>
      <c r="AC406" s="371" t="n">
        <v>0</v>
      </c>
      <c r="AD406" s="373" t="n">
        <v>0</v>
      </c>
      <c r="AE406" s="371" t="n">
        <v>0</v>
      </c>
      <c r="AF406" s="625" t="n">
        <v>0</v>
      </c>
      <c r="AG406" s="205" t="n">
        <v>0</v>
      </c>
      <c r="AH406" s="205" t="n">
        <v>0</v>
      </c>
      <c r="AI406" s="205" t="n">
        <v>0</v>
      </c>
      <c r="AJ406" s="205" t="n">
        <v>0</v>
      </c>
      <c r="AK406" s="205" t="n">
        <v>0</v>
      </c>
      <c r="AL406" s="205" t="n">
        <v>0</v>
      </c>
      <c r="AM406" s="205" t="n">
        <v>0</v>
      </c>
      <c r="AN406" s="205" t="n">
        <v>0</v>
      </c>
      <c r="AO406" s="205" t="n">
        <v>0</v>
      </c>
    </row>
    <row r="407">
      <c r="A407" s="222">
        <f>A406+1</f>
        <v/>
      </c>
      <c r="B407" s="224" t="inlineStr">
        <is>
          <t>THC Fee-Ex</t>
        </is>
      </c>
      <c r="C407" s="224" t="inlineStr">
        <is>
          <t>APL LOGISTICS (CAMBODIA) PTE LTD.</t>
        </is>
      </c>
      <c r="D407" s="225" t="inlineStr">
        <is>
          <t>L001-100046460</t>
        </is>
      </c>
      <c r="E407" s="359" t="inlineStr">
        <is>
          <t>APLL25003264</t>
        </is>
      </c>
      <c r="F407" s="338" t="n">
        <v>45799</v>
      </c>
      <c r="G407" s="226" t="n"/>
      <c r="H407" s="627" t="n"/>
      <c r="I407" s="627" t="n">
        <v>115286</v>
      </c>
      <c r="J407" s="223" t="inlineStr">
        <is>
          <t>អនុញ្ញាត (បានប្រកាស)</t>
        </is>
      </c>
      <c r="K407" s="223" t="n"/>
      <c r="L407" s="626">
        <f>I407</f>
        <v/>
      </c>
      <c r="M407" s="598">
        <f>I407-L407</f>
        <v/>
      </c>
      <c r="N407" s="223" t="n"/>
      <c r="O407" s="228">
        <f>U407=E407</f>
        <v/>
      </c>
      <c r="P407" s="228">
        <f>MONTH(F407)-MONTH(T407)</f>
        <v/>
      </c>
      <c r="Q407" s="228">
        <f>$B$5=X407</f>
        <v/>
      </c>
      <c r="R407" s="228">
        <f>I407-AD407</f>
        <v/>
      </c>
      <c r="S407" s="371" t="n"/>
      <c r="T407" s="372" t="n">
        <v>45799</v>
      </c>
      <c r="U407" s="371" t="inlineStr">
        <is>
          <t>APLL25003264</t>
        </is>
      </c>
      <c r="V407" s="371" t="n"/>
      <c r="W407" s="371" t="n"/>
      <c r="X407" s="371" t="n"/>
      <c r="Y407" s="371" t="inlineStr">
        <is>
          <t>ហូលីដេ ឌីហ្សាញ (ខេមបូឌា) ឯ.ក</t>
        </is>
      </c>
      <c r="Z407" s="373" t="n"/>
      <c r="AA407" s="373" t="n"/>
      <c r="AB407" s="371" t="n"/>
      <c r="AC407" s="371" t="n"/>
      <c r="AD407" s="373" t="n">
        <v>115286</v>
      </c>
      <c r="AE407" s="371" t="n"/>
      <c r="AF407" s="625" t="n"/>
    </row>
    <row r="408">
      <c r="A408" s="222">
        <f>A407+1</f>
        <v/>
      </c>
      <c r="B408" s="224" t="inlineStr">
        <is>
          <t>THC Fee-Ex</t>
        </is>
      </c>
      <c r="C408" s="224" t="inlineStr">
        <is>
          <t>APL LOGISTICS (CAMBODIA) PTE LTD.</t>
        </is>
      </c>
      <c r="D408" s="225" t="inlineStr">
        <is>
          <t>L001-100046460</t>
        </is>
      </c>
      <c r="E408" s="359" t="inlineStr">
        <is>
          <t>APLL25003380</t>
        </is>
      </c>
      <c r="F408" s="338" t="n">
        <v>45804</v>
      </c>
      <c r="G408" s="226" t="n"/>
      <c r="H408" s="627" t="n"/>
      <c r="I408" s="627" t="n">
        <v>115286</v>
      </c>
      <c r="J408" s="223" t="inlineStr">
        <is>
          <t>អនុញ្ញាត (បានប្រកាស)</t>
        </is>
      </c>
      <c r="K408" s="223" t="n"/>
      <c r="L408" s="626">
        <f>I408</f>
        <v/>
      </c>
      <c r="M408" s="598">
        <f>I408-L408</f>
        <v/>
      </c>
      <c r="N408" s="223" t="n"/>
      <c r="O408" s="228">
        <f>U408=E408</f>
        <v/>
      </c>
      <c r="P408" s="228">
        <f>MONTH(F408)-MONTH(T408)</f>
        <v/>
      </c>
      <c r="Q408" s="228">
        <f>$B$5=X408</f>
        <v/>
      </c>
      <c r="R408" s="228">
        <f>I408-AD408</f>
        <v/>
      </c>
      <c r="S408" s="371" t="n"/>
      <c r="T408" s="372" t="n">
        <v>45804</v>
      </c>
      <c r="U408" s="371" t="inlineStr">
        <is>
          <t>APLL25003380</t>
        </is>
      </c>
      <c r="V408" s="371" t="n"/>
      <c r="W408" s="371" t="n"/>
      <c r="X408" s="371" t="n"/>
      <c r="Y408" s="371" t="inlineStr">
        <is>
          <t>ហូលីដេ ឌីហ្សាញ (ខេមបូឌា) ឯ.ក</t>
        </is>
      </c>
      <c r="Z408" s="373" t="n"/>
      <c r="AA408" s="373" t="n"/>
      <c r="AB408" s="371" t="n"/>
      <c r="AC408" s="371" t="n"/>
      <c r="AD408" s="373" t="n">
        <v>115286</v>
      </c>
      <c r="AE408" s="371" t="n"/>
      <c r="AF408" s="625" t="n"/>
    </row>
    <row r="409">
      <c r="A409" s="222">
        <f>A408+1</f>
        <v/>
      </c>
      <c r="B409" s="224" t="inlineStr">
        <is>
          <t>THC Fee-Ex</t>
        </is>
      </c>
      <c r="C409" s="224" t="inlineStr">
        <is>
          <t>APL LOGISTICS (CAMBODIA) PTE LTD.</t>
        </is>
      </c>
      <c r="D409" s="225" t="inlineStr">
        <is>
          <t>L001-100046460</t>
        </is>
      </c>
      <c r="E409" s="359" t="inlineStr">
        <is>
          <t>APLL25003379</t>
        </is>
      </c>
      <c r="F409" s="338" t="n">
        <v>45804</v>
      </c>
      <c r="G409" s="226" t="n"/>
      <c r="H409" s="627" t="n"/>
      <c r="I409" s="627" t="n">
        <v>85264</v>
      </c>
      <c r="J409" s="223" t="inlineStr">
        <is>
          <t>អនុញ្ញាត (បានប្រកាស)</t>
        </is>
      </c>
      <c r="K409" s="223" t="n"/>
      <c r="L409" s="626">
        <f>I409</f>
        <v/>
      </c>
      <c r="M409" s="598">
        <f>I409-L409</f>
        <v/>
      </c>
      <c r="N409" s="223" t="n"/>
      <c r="O409" s="228">
        <f>U409=E409</f>
        <v/>
      </c>
      <c r="P409" s="228">
        <f>MONTH(F409)-MONTH(T409)</f>
        <v/>
      </c>
      <c r="Q409" s="228">
        <f>$B$5=X409</f>
        <v/>
      </c>
      <c r="R409" s="228">
        <f>I409-AD409</f>
        <v/>
      </c>
      <c r="S409" s="371" t="n"/>
      <c r="T409" s="372" t="n">
        <v>45804</v>
      </c>
      <c r="U409" s="371" t="inlineStr">
        <is>
          <t>APLL25003379</t>
        </is>
      </c>
      <c r="V409" s="371" t="n"/>
      <c r="W409" s="371" t="n"/>
      <c r="X409" s="371" t="n"/>
      <c r="Y409" s="371" t="inlineStr">
        <is>
          <t>ហូលីដេ ឌីហ្សាញ (ខេមបូឌា) ឯ.ក</t>
        </is>
      </c>
      <c r="Z409" s="373" t="n"/>
      <c r="AA409" s="373" t="n"/>
      <c r="AB409" s="371" t="n"/>
      <c r="AC409" s="371" t="n"/>
      <c r="AD409" s="373" t="n">
        <v>85264</v>
      </c>
      <c r="AE409" s="371" t="n"/>
      <c r="AF409" s="625" t="n"/>
    </row>
    <row r="410">
      <c r="A410" s="222">
        <f>A409+1</f>
        <v/>
      </c>
      <c r="B410" s="224" t="inlineStr">
        <is>
          <t>THC Fee-Ex</t>
        </is>
      </c>
      <c r="C410" s="224" t="inlineStr">
        <is>
          <t>APL LOGISTICS (CAMBODIA) PTE LTD.</t>
        </is>
      </c>
      <c r="D410" s="225" t="inlineStr">
        <is>
          <t>L001-100046460</t>
        </is>
      </c>
      <c r="E410" s="359" t="inlineStr">
        <is>
          <t>APLL25003178</t>
        </is>
      </c>
      <c r="F410" s="338" t="n">
        <v>45798</v>
      </c>
      <c r="G410" s="226" t="n"/>
      <c r="H410" s="627" t="n"/>
      <c r="I410" s="627" t="n">
        <v>240180</v>
      </c>
      <c r="J410" s="223" t="inlineStr">
        <is>
          <t>អនុញ្ញាត (បានប្រកាស)</t>
        </is>
      </c>
      <c r="K410" s="223" t="n"/>
      <c r="L410" s="626">
        <f>I410</f>
        <v/>
      </c>
      <c r="M410" s="598">
        <f>I410-L410</f>
        <v/>
      </c>
      <c r="N410" s="223" t="n"/>
      <c r="O410" s="228">
        <f>U410=E410</f>
        <v/>
      </c>
      <c r="P410" s="228">
        <f>MONTH(F410)-MONTH(T410)</f>
        <v/>
      </c>
      <c r="Q410" s="228">
        <f>$B$5=X410</f>
        <v/>
      </c>
      <c r="R410" s="228">
        <f>I410-AD410</f>
        <v/>
      </c>
      <c r="S410" s="371" t="n"/>
      <c r="T410" s="372" t="n">
        <v>45798</v>
      </c>
      <c r="U410" s="371" t="inlineStr">
        <is>
          <t>APLL25003178</t>
        </is>
      </c>
      <c r="V410" s="371" t="n"/>
      <c r="W410" s="371" t="n"/>
      <c r="X410" s="371" t="n"/>
      <c r="Y410" s="371" t="inlineStr">
        <is>
          <t>ហូលីដេ ឌីហ្សាញ (ខេមបូឌា) ឯ.ក</t>
        </is>
      </c>
      <c r="Z410" s="373" t="n"/>
      <c r="AA410" s="373" t="n"/>
      <c r="AB410" s="371" t="n"/>
      <c r="AC410" s="371" t="n"/>
      <c r="AD410" s="373" t="n">
        <v>240180</v>
      </c>
      <c r="AE410" s="371" t="n"/>
      <c r="AF410" s="625" t="n"/>
    </row>
    <row r="411">
      <c r="A411" s="222">
        <f>A410+1</f>
        <v/>
      </c>
      <c r="B411" s="224" t="inlineStr">
        <is>
          <t>THC Fee-Ex</t>
        </is>
      </c>
      <c r="C411" s="224" t="inlineStr">
        <is>
          <t>APL LOGISTICS (CAMBODIA) PTE LTD.</t>
        </is>
      </c>
      <c r="D411" s="225" t="inlineStr">
        <is>
          <t>L001-100046460</t>
        </is>
      </c>
      <c r="E411" s="359" t="inlineStr">
        <is>
          <t>APLL25003183</t>
        </is>
      </c>
      <c r="F411" s="338" t="n">
        <v>45798</v>
      </c>
      <c r="G411" s="226" t="n"/>
      <c r="H411" s="627" t="n"/>
      <c r="I411" s="627" t="n">
        <v>132099</v>
      </c>
      <c r="J411" s="223" t="inlineStr">
        <is>
          <t>អនុញ្ញាត (បានប្រកាស)</t>
        </is>
      </c>
      <c r="K411" s="223" t="n"/>
      <c r="L411" s="626">
        <f>I411</f>
        <v/>
      </c>
      <c r="M411" s="598">
        <f>I411-L411</f>
        <v/>
      </c>
      <c r="N411" s="223" t="n"/>
      <c r="O411" s="228">
        <f>U411=E411</f>
        <v/>
      </c>
      <c r="P411" s="228">
        <f>MONTH(F411)-MONTH(T411)</f>
        <v/>
      </c>
      <c r="Q411" s="228">
        <f>$B$5=X411</f>
        <v/>
      </c>
      <c r="R411" s="228">
        <f>I411-AD411</f>
        <v/>
      </c>
      <c r="S411" s="371" t="n"/>
      <c r="T411" s="372" t="n">
        <v>45798</v>
      </c>
      <c r="U411" s="371" t="inlineStr">
        <is>
          <t>APLL25003183</t>
        </is>
      </c>
      <c r="V411" s="371" t="n"/>
      <c r="W411" s="371" t="n"/>
      <c r="X411" s="371" t="n"/>
      <c r="Y411" s="371" t="inlineStr">
        <is>
          <t>ហូលីដេ ឌីហ្សាញ (ខេមបូឌា) ឯ.ក</t>
        </is>
      </c>
      <c r="Z411" s="373" t="n"/>
      <c r="AA411" s="373" t="n"/>
      <c r="AB411" s="371" t="n"/>
      <c r="AC411" s="371" t="n"/>
      <c r="AD411" s="373" t="n">
        <v>132099</v>
      </c>
      <c r="AE411" s="371" t="n"/>
      <c r="AF411" s="625" t="n"/>
    </row>
    <row r="412">
      <c r="A412" s="222">
        <f>A411+1</f>
        <v/>
      </c>
      <c r="B412" s="224" t="inlineStr">
        <is>
          <t>THC Fee-Ex</t>
        </is>
      </c>
      <c r="C412" s="224" t="inlineStr">
        <is>
          <t>APL LOGISTICS (CAMBODIA) PTE LTD.</t>
        </is>
      </c>
      <c r="D412" s="225" t="inlineStr">
        <is>
          <t>L001-100046460</t>
        </is>
      </c>
      <c r="E412" s="359" t="inlineStr">
        <is>
          <t>APLL25003481</t>
        </is>
      </c>
      <c r="F412" s="338" t="n">
        <v>45806</v>
      </c>
      <c r="G412" s="226" t="n"/>
      <c r="H412" s="627" t="n"/>
      <c r="I412" s="627" t="n">
        <v>240240</v>
      </c>
      <c r="J412" s="223" t="inlineStr">
        <is>
          <t>អនុញ្ញាត (បានប្រកាស)</t>
        </is>
      </c>
      <c r="K412" s="223" t="n"/>
      <c r="L412" s="626">
        <f>I412</f>
        <v/>
      </c>
      <c r="M412" s="598">
        <f>I412-L412</f>
        <v/>
      </c>
      <c r="N412" s="223" t="n"/>
      <c r="O412" s="228">
        <f>U412=E412</f>
        <v/>
      </c>
      <c r="P412" s="228">
        <f>MONTH(F412)-MONTH(T412)</f>
        <v/>
      </c>
      <c r="Q412" s="228">
        <f>$B$5=X412</f>
        <v/>
      </c>
      <c r="R412" s="228">
        <f>I412-AD412</f>
        <v/>
      </c>
      <c r="S412" s="371" t="n"/>
      <c r="T412" s="372" t="n">
        <v>45806</v>
      </c>
      <c r="U412" s="371" t="inlineStr">
        <is>
          <t>APLL25003481</t>
        </is>
      </c>
      <c r="V412" s="371" t="n"/>
      <c r="W412" s="371" t="n"/>
      <c r="X412" s="371" t="n"/>
      <c r="Y412" s="371" t="inlineStr">
        <is>
          <t>ហូលីដេ ឌីហ្សាញ (ខេមបូឌា) ឯ.ក</t>
        </is>
      </c>
      <c r="Z412" s="373" t="n"/>
      <c r="AA412" s="373" t="n"/>
      <c r="AB412" s="371" t="n"/>
      <c r="AC412" s="371" t="n"/>
      <c r="AD412" s="373" t="n">
        <v>240240</v>
      </c>
      <c r="AE412" s="371" t="n"/>
      <c r="AF412" s="625" t="n"/>
    </row>
    <row r="413">
      <c r="A413" s="222">
        <f>A412+1</f>
        <v/>
      </c>
      <c r="B413" s="224" t="inlineStr">
        <is>
          <t>THC Fee-Ex</t>
        </is>
      </c>
      <c r="C413" s="224" t="inlineStr">
        <is>
          <t>APL LOGISTICS (CAMBODIA) PTE LTD.</t>
        </is>
      </c>
      <c r="D413" s="225" t="inlineStr">
        <is>
          <t>L001-100046460</t>
        </is>
      </c>
      <c r="E413" s="359" t="inlineStr">
        <is>
          <t>APLL25003186</t>
        </is>
      </c>
      <c r="F413" s="338" t="n">
        <v>45798</v>
      </c>
      <c r="G413" s="226" t="n"/>
      <c r="H413" s="627" t="n"/>
      <c r="I413" s="627" t="n">
        <v>454341</v>
      </c>
      <c r="J413" s="223" t="inlineStr">
        <is>
          <t>អនុញ្ញាត (បានប្រកាស)</t>
        </is>
      </c>
      <c r="K413" s="223" t="n"/>
      <c r="L413" s="626">
        <f>I413</f>
        <v/>
      </c>
      <c r="M413" s="598">
        <f>I413-L413</f>
        <v/>
      </c>
      <c r="N413" s="223" t="n"/>
      <c r="O413" s="228">
        <f>U413=E413</f>
        <v/>
      </c>
      <c r="P413" s="228">
        <f>MONTH(F413)-MONTH(T413)</f>
        <v/>
      </c>
      <c r="Q413" s="228">
        <f>$B$5=X413</f>
        <v/>
      </c>
      <c r="R413" s="228">
        <f>I413-AD413</f>
        <v/>
      </c>
      <c r="S413" s="371" t="n"/>
      <c r="T413" s="372" t="n">
        <v>45798</v>
      </c>
      <c r="U413" s="371" t="inlineStr">
        <is>
          <t>APLL25003186</t>
        </is>
      </c>
      <c r="V413" s="371" t="n"/>
      <c r="W413" s="371" t="n"/>
      <c r="X413" s="371" t="n"/>
      <c r="Y413" s="371" t="inlineStr">
        <is>
          <t>ហូលីដេ ឌីហ្សាញ (ខេមបូឌា) ឯ.ក</t>
        </is>
      </c>
      <c r="Z413" s="373" t="n"/>
      <c r="AA413" s="373" t="n"/>
      <c r="AB413" s="371" t="n"/>
      <c r="AC413" s="371" t="n"/>
      <c r="AD413" s="373" t="n">
        <v>454341</v>
      </c>
      <c r="AE413" s="371" t="n"/>
      <c r="AF413" s="625" t="n"/>
    </row>
    <row r="414">
      <c r="A414" s="222">
        <f>A413+1</f>
        <v/>
      </c>
      <c r="B414" s="224" t="inlineStr">
        <is>
          <t>THC Fee-Ex</t>
        </is>
      </c>
      <c r="C414" s="224" t="inlineStr">
        <is>
          <t>APL LOGISTICS (CAMBODIA) PTE LTD.</t>
        </is>
      </c>
      <c r="D414" s="225" t="inlineStr">
        <is>
          <t>L001-100046460</t>
        </is>
      </c>
      <c r="E414" s="359" t="inlineStr">
        <is>
          <t>APLL25003094</t>
        </is>
      </c>
      <c r="F414" s="338" t="n">
        <v>45796</v>
      </c>
      <c r="G414" s="226" t="n"/>
      <c r="H414" s="627" t="n"/>
      <c r="I414" s="627" t="n">
        <v>132066</v>
      </c>
      <c r="J414" s="223" t="inlineStr">
        <is>
          <t>អនុញ្ញាត (បានប្រកាស)</t>
        </is>
      </c>
      <c r="K414" s="223" t="n"/>
      <c r="L414" s="626">
        <f>I414</f>
        <v/>
      </c>
      <c r="M414" s="598">
        <f>I414-L414</f>
        <v/>
      </c>
      <c r="N414" s="223" t="n"/>
      <c r="O414" s="228">
        <f>U414=E414</f>
        <v/>
      </c>
      <c r="P414" s="228">
        <f>MONTH(F414)-MONTH(T414)</f>
        <v/>
      </c>
      <c r="Q414" s="228">
        <f>$B$5=X414</f>
        <v/>
      </c>
      <c r="R414" s="228">
        <f>I414-AD414</f>
        <v/>
      </c>
      <c r="S414" s="371" t="n"/>
      <c r="T414" s="372" t="n">
        <v>45796</v>
      </c>
      <c r="U414" s="371" t="inlineStr">
        <is>
          <t>APLL25003094</t>
        </is>
      </c>
      <c r="V414" s="371" t="n"/>
      <c r="W414" s="371" t="n"/>
      <c r="X414" s="371" t="n"/>
      <c r="Y414" s="371" t="inlineStr">
        <is>
          <t>ហូលីដេ ឌីហ្សាញ (ខេមបូឌា) ឯ.ក</t>
        </is>
      </c>
      <c r="Z414" s="373" t="n"/>
      <c r="AA414" s="373" t="n"/>
      <c r="AB414" s="371" t="n"/>
      <c r="AC414" s="371" t="n"/>
      <c r="AD414" s="373" t="n">
        <v>132066</v>
      </c>
      <c r="AE414" s="371" t="n"/>
      <c r="AF414" s="625" t="n"/>
    </row>
    <row r="415">
      <c r="A415" s="222">
        <f>A414+1</f>
        <v/>
      </c>
      <c r="B415" s="224" t="inlineStr">
        <is>
          <t>THC Fee-Ex</t>
        </is>
      </c>
      <c r="C415" s="224" t="inlineStr">
        <is>
          <t>APL LOGISTICS (CAMBODIA) PTE LTD.</t>
        </is>
      </c>
      <c r="D415" s="225" t="inlineStr">
        <is>
          <t>L001-100046460</t>
        </is>
      </c>
      <c r="E415" s="359" t="inlineStr">
        <is>
          <t>APLL25003133</t>
        </is>
      </c>
      <c r="F415" s="338" t="n">
        <v>45797</v>
      </c>
      <c r="G415" s="226" t="n"/>
      <c r="H415" s="627" t="n"/>
      <c r="I415" s="627" t="n">
        <v>122092</v>
      </c>
      <c r="J415" s="223" t="inlineStr">
        <is>
          <t>អនុញ្ញាត (បានប្រកាស)</t>
        </is>
      </c>
      <c r="K415" s="223" t="n"/>
      <c r="L415" s="626">
        <f>I415</f>
        <v/>
      </c>
      <c r="M415" s="598">
        <f>I415-L415</f>
        <v/>
      </c>
      <c r="N415" s="223" t="n"/>
      <c r="O415" s="228">
        <f>U415=E415</f>
        <v/>
      </c>
      <c r="P415" s="228">
        <f>MONTH(F415)-MONTH(T415)</f>
        <v/>
      </c>
      <c r="Q415" s="228">
        <f>$B$5=X415</f>
        <v/>
      </c>
      <c r="R415" s="228">
        <f>I415-AD415</f>
        <v/>
      </c>
      <c r="S415" s="371" t="n"/>
      <c r="T415" s="372" t="n">
        <v>45797</v>
      </c>
      <c r="U415" s="371" t="inlineStr">
        <is>
          <t>APLL25003133</t>
        </is>
      </c>
      <c r="V415" s="371" t="n"/>
      <c r="W415" s="371" t="n"/>
      <c r="X415" s="371" t="n"/>
      <c r="Y415" s="371" t="inlineStr">
        <is>
          <t>ហូលីដេ ឌីហ្សាញ (ខេមបូឌា) ឯ.ក</t>
        </is>
      </c>
      <c r="Z415" s="373" t="n"/>
      <c r="AA415" s="373" t="n"/>
      <c r="AB415" s="371" t="n"/>
      <c r="AC415" s="371" t="n"/>
      <c r="AD415" s="373" t="n">
        <v>122092</v>
      </c>
      <c r="AE415" s="371" t="n"/>
      <c r="AF415" s="625" t="n"/>
    </row>
    <row r="416">
      <c r="A416" s="222">
        <f>A415+1</f>
        <v/>
      </c>
      <c r="B416" s="224" t="inlineStr">
        <is>
          <t>THC Fee-Ex</t>
        </is>
      </c>
      <c r="C416" s="224" t="inlineStr">
        <is>
          <t>APL LOGISTICS (CAMBODIA) PTE LTD.</t>
        </is>
      </c>
      <c r="D416" s="225" t="inlineStr">
        <is>
          <t>L001-100046460</t>
        </is>
      </c>
      <c r="E416" s="359" t="inlineStr">
        <is>
          <t>APLL25003124</t>
        </is>
      </c>
      <c r="F416" s="338" t="n">
        <v>45797</v>
      </c>
      <c r="G416" s="226" t="n"/>
      <c r="H416" s="627" t="n"/>
      <c r="I416" s="627" t="n">
        <v>132099</v>
      </c>
      <c r="J416" s="223" t="inlineStr">
        <is>
          <t>អនុញ្ញាត (បានប្រកាស)</t>
        </is>
      </c>
      <c r="K416" s="223" t="n"/>
      <c r="L416" s="626">
        <f>I416</f>
        <v/>
      </c>
      <c r="M416" s="598">
        <f>I416-L416</f>
        <v/>
      </c>
      <c r="N416" s="223" t="n"/>
      <c r="O416" s="228">
        <f>U416=E416</f>
        <v/>
      </c>
      <c r="P416" s="228">
        <f>MONTH(F416)-MONTH(T416)</f>
        <v/>
      </c>
      <c r="Q416" s="228">
        <f>$B$5=X416</f>
        <v/>
      </c>
      <c r="R416" s="228">
        <f>I416-AD416</f>
        <v/>
      </c>
      <c r="S416" s="371" t="n"/>
      <c r="T416" s="372" t="n">
        <v>45797</v>
      </c>
      <c r="U416" s="371" t="inlineStr">
        <is>
          <t>APLL25003124</t>
        </is>
      </c>
      <c r="V416" s="371" t="n"/>
      <c r="W416" s="371" t="n"/>
      <c r="X416" s="371" t="n"/>
      <c r="Y416" s="371" t="inlineStr">
        <is>
          <t>ហូលីដេ ឌីហ្សាញ (ខេមបូឌា) ឯ.ក</t>
        </is>
      </c>
      <c r="Z416" s="373" t="n"/>
      <c r="AA416" s="373" t="n"/>
      <c r="AB416" s="371" t="n"/>
      <c r="AC416" s="371" t="n"/>
      <c r="AD416" s="373" t="n">
        <v>132099</v>
      </c>
      <c r="AE416" s="371" t="n"/>
      <c r="AF416" s="625" t="n"/>
    </row>
    <row r="417">
      <c r="A417" s="222">
        <f>A416+1</f>
        <v/>
      </c>
      <c r="B417" s="224" t="inlineStr">
        <is>
          <t>THC Fee-Ex</t>
        </is>
      </c>
      <c r="C417" s="224" t="inlineStr">
        <is>
          <t>APL LOGISTICS (CAMBODIA) PTE LTD.</t>
        </is>
      </c>
      <c r="D417" s="225" t="inlineStr">
        <is>
          <t>L001-100046460</t>
        </is>
      </c>
      <c r="E417" s="359" t="inlineStr">
        <is>
          <t>APLL25003095</t>
        </is>
      </c>
      <c r="F417" s="338" t="n">
        <v>45796</v>
      </c>
      <c r="G417" s="226" t="n"/>
      <c r="H417" s="627" t="n"/>
      <c r="I417" s="627" t="n">
        <v>132066</v>
      </c>
      <c r="J417" s="223" t="inlineStr">
        <is>
          <t>អនុញ្ញាត (បានប្រកាស)</t>
        </is>
      </c>
      <c r="K417" s="223" t="n"/>
      <c r="L417" s="626">
        <f>I417</f>
        <v/>
      </c>
      <c r="M417" s="598">
        <f>I417-L417</f>
        <v/>
      </c>
      <c r="N417" s="223" t="n"/>
      <c r="O417" s="228">
        <f>U417=E417</f>
        <v/>
      </c>
      <c r="P417" s="228">
        <f>MONTH(F417)-MONTH(T417)</f>
        <v/>
      </c>
      <c r="Q417" s="228">
        <f>$B$5=X417</f>
        <v/>
      </c>
      <c r="R417" s="228">
        <f>I417-AD417</f>
        <v/>
      </c>
      <c r="S417" s="371" t="n"/>
      <c r="T417" s="372" t="n">
        <v>45796</v>
      </c>
      <c r="U417" s="371" t="inlineStr">
        <is>
          <t>APLL25003095</t>
        </is>
      </c>
      <c r="V417" s="371" t="n"/>
      <c r="W417" s="371" t="n"/>
      <c r="X417" s="371" t="n"/>
      <c r="Y417" s="371" t="inlineStr">
        <is>
          <t>ហូលីដេ ឌីហ្សាញ (ខេមបូឌា) ឯ.ក</t>
        </is>
      </c>
      <c r="Z417" s="373" t="n"/>
      <c r="AA417" s="373" t="n"/>
      <c r="AB417" s="371" t="n"/>
      <c r="AC417" s="371" t="n"/>
      <c r="AD417" s="373" t="n">
        <v>132066</v>
      </c>
      <c r="AE417" s="371" t="n"/>
      <c r="AF417" s="625" t="n"/>
    </row>
    <row r="418">
      <c r="A418" s="222">
        <f>A417+1</f>
        <v/>
      </c>
      <c r="B418" s="224" t="inlineStr">
        <is>
          <t>THC Fee-Ex</t>
        </is>
      </c>
      <c r="C418" s="224" t="inlineStr">
        <is>
          <t>APL LOGISTICS (CAMBODIA) PTE LTD.</t>
        </is>
      </c>
      <c r="D418" s="225" t="inlineStr">
        <is>
          <t>L001-100046460</t>
        </is>
      </c>
      <c r="E418" s="359" t="inlineStr">
        <is>
          <t>APLL25003125</t>
        </is>
      </c>
      <c r="F418" s="338" t="n">
        <v>45797</v>
      </c>
      <c r="G418" s="226" t="n"/>
      <c r="H418" s="627" t="n"/>
      <c r="I418" s="627" t="n">
        <v>132099</v>
      </c>
      <c r="J418" s="223" t="inlineStr">
        <is>
          <t>អនុញ្ញាត (បានប្រកាស)</t>
        </is>
      </c>
      <c r="K418" s="223" t="n"/>
      <c r="L418" s="626">
        <f>I418</f>
        <v/>
      </c>
      <c r="M418" s="598">
        <f>I418-L418</f>
        <v/>
      </c>
      <c r="N418" s="223" t="n"/>
      <c r="O418" s="228">
        <f>U418=E418</f>
        <v/>
      </c>
      <c r="P418" s="228">
        <f>MONTH(F418)-MONTH(T418)</f>
        <v/>
      </c>
      <c r="Q418" s="228">
        <f>$B$5=X418</f>
        <v/>
      </c>
      <c r="R418" s="228">
        <f>I418-AD418</f>
        <v/>
      </c>
      <c r="S418" s="371" t="n"/>
      <c r="T418" s="372" t="n">
        <v>45797</v>
      </c>
      <c r="U418" s="371" t="inlineStr">
        <is>
          <t>APLL25003125</t>
        </is>
      </c>
      <c r="V418" s="371" t="n"/>
      <c r="W418" s="371" t="n"/>
      <c r="X418" s="371" t="n"/>
      <c r="Y418" s="371" t="inlineStr">
        <is>
          <t>ហូលីដេ ឌីហ្សាញ (ខេមបូឌា) ឯ.ក</t>
        </is>
      </c>
      <c r="Z418" s="373" t="n"/>
      <c r="AA418" s="373" t="n"/>
      <c r="AB418" s="371" t="n"/>
      <c r="AC418" s="371" t="n"/>
      <c r="AD418" s="373" t="n">
        <v>132099</v>
      </c>
      <c r="AE418" s="371" t="n"/>
      <c r="AF418" s="625" t="n"/>
    </row>
    <row r="419">
      <c r="A419" s="222">
        <f>A418+1</f>
        <v/>
      </c>
      <c r="B419" s="224" t="inlineStr">
        <is>
          <t>THC Fee-Ex</t>
        </is>
      </c>
      <c r="C419" s="224" t="inlineStr">
        <is>
          <t>APL LOGISTICS (CAMBODIA) PTE LTD.</t>
        </is>
      </c>
      <c r="D419" s="225" t="inlineStr">
        <is>
          <t>L001-100046460</t>
        </is>
      </c>
      <c r="E419" s="359" t="inlineStr">
        <is>
          <t>APLL25003130</t>
        </is>
      </c>
      <c r="F419" s="338" t="n">
        <v>45797</v>
      </c>
      <c r="G419" s="226" t="n"/>
      <c r="H419" s="627" t="n"/>
      <c r="I419" s="627" t="n">
        <v>132099</v>
      </c>
      <c r="J419" s="223" t="inlineStr">
        <is>
          <t>អនុញ្ញាត (បានប្រកាស)</t>
        </is>
      </c>
      <c r="K419" s="223" t="n"/>
      <c r="L419" s="626">
        <f>I419</f>
        <v/>
      </c>
      <c r="M419" s="598">
        <f>I419-L419</f>
        <v/>
      </c>
      <c r="N419" s="223" t="n"/>
      <c r="O419" s="228">
        <f>U419=E419</f>
        <v/>
      </c>
      <c r="P419" s="228">
        <f>MONTH(F419)-MONTH(T419)</f>
        <v/>
      </c>
      <c r="Q419" s="228">
        <f>$B$5=X419</f>
        <v/>
      </c>
      <c r="R419" s="228">
        <f>I419-AD419</f>
        <v/>
      </c>
      <c r="S419" s="371" t="n"/>
      <c r="T419" s="372" t="n">
        <v>45797</v>
      </c>
      <c r="U419" s="371" t="inlineStr">
        <is>
          <t>APLL25003130</t>
        </is>
      </c>
      <c r="V419" s="371" t="n"/>
      <c r="W419" s="371" t="n"/>
      <c r="X419" s="371" t="n"/>
      <c r="Y419" s="371" t="inlineStr">
        <is>
          <t>ហូលីដេ ឌីហ្សាញ (ខេមបូឌា) ឯ.ក</t>
        </is>
      </c>
      <c r="Z419" s="373" t="n"/>
      <c r="AA419" s="373" t="n"/>
      <c r="AB419" s="371" t="n"/>
      <c r="AC419" s="371" t="n"/>
      <c r="AD419" s="373" t="n">
        <v>132099</v>
      </c>
      <c r="AE419" s="371" t="n"/>
      <c r="AF419" s="625" t="n"/>
    </row>
    <row r="420">
      <c r="A420" s="222">
        <f>A419+1</f>
        <v/>
      </c>
      <c r="B420" s="224" t="inlineStr">
        <is>
          <t>THC Fee-Ex</t>
        </is>
      </c>
      <c r="C420" s="224" t="inlineStr">
        <is>
          <t>APL LOGISTICS (CAMBODIA) PTE LTD.</t>
        </is>
      </c>
      <c r="D420" s="225" t="inlineStr">
        <is>
          <t>L001-100046460</t>
        </is>
      </c>
      <c r="E420" s="359" t="inlineStr">
        <is>
          <t>APLL25003136</t>
        </is>
      </c>
      <c r="F420" s="338" t="n">
        <v>45797</v>
      </c>
      <c r="G420" s="226" t="n"/>
      <c r="H420" s="627" t="n"/>
      <c r="I420" s="627" t="n">
        <v>122092</v>
      </c>
      <c r="J420" s="223" t="inlineStr">
        <is>
          <t>អនុញ្ញាត (បានប្រកាស)</t>
        </is>
      </c>
      <c r="K420" s="223" t="n"/>
      <c r="L420" s="626">
        <f>I420</f>
        <v/>
      </c>
      <c r="M420" s="598">
        <f>I420-L420</f>
        <v/>
      </c>
      <c r="N420" s="223" t="n"/>
      <c r="O420" s="228">
        <f>U420=E420</f>
        <v/>
      </c>
      <c r="P420" s="228">
        <f>MONTH(F420)-MONTH(T420)</f>
        <v/>
      </c>
      <c r="Q420" s="228">
        <f>$B$5=X420</f>
        <v/>
      </c>
      <c r="R420" s="228">
        <f>I420-AD420</f>
        <v/>
      </c>
      <c r="S420" s="371" t="n"/>
      <c r="T420" s="372" t="n">
        <v>45797</v>
      </c>
      <c r="U420" s="371" t="inlineStr">
        <is>
          <t>APLL25003136</t>
        </is>
      </c>
      <c r="V420" s="371" t="n"/>
      <c r="W420" s="371" t="n"/>
      <c r="X420" s="371" t="n"/>
      <c r="Y420" s="371" t="inlineStr">
        <is>
          <t>ហូលីដេ ឌីហ្សាញ (ខេមបូឌា) ឯ.ក</t>
        </is>
      </c>
      <c r="Z420" s="373" t="n"/>
      <c r="AA420" s="373" t="n"/>
      <c r="AB420" s="371" t="n"/>
      <c r="AC420" s="371" t="n"/>
      <c r="AD420" s="373" t="n">
        <v>122092</v>
      </c>
      <c r="AE420" s="371" t="n"/>
      <c r="AF420" s="625" t="n"/>
    </row>
    <row r="421">
      <c r="A421" s="222">
        <f>A420+1</f>
        <v/>
      </c>
      <c r="B421" s="224" t="inlineStr">
        <is>
          <t>THC Fee-Ex</t>
        </is>
      </c>
      <c r="C421" s="224" t="inlineStr">
        <is>
          <t>APL LOGISTICS (CAMBODIA) PTE LTD.</t>
        </is>
      </c>
      <c r="D421" s="225" t="inlineStr">
        <is>
          <t>L001-100046460</t>
        </is>
      </c>
      <c r="E421" s="359" t="inlineStr">
        <is>
          <t>APLL25003097</t>
        </is>
      </c>
      <c r="F421" s="338" t="n">
        <v>45796</v>
      </c>
      <c r="G421" s="226" t="n"/>
      <c r="H421" s="627" t="n"/>
      <c r="I421" s="627" t="n">
        <v>132066</v>
      </c>
      <c r="J421" s="223" t="inlineStr">
        <is>
          <t>អនុញ្ញាត (បានប្រកាស)</t>
        </is>
      </c>
      <c r="K421" s="223" t="n"/>
      <c r="L421" s="626">
        <f>I421</f>
        <v/>
      </c>
      <c r="M421" s="598">
        <f>I421-L421</f>
        <v/>
      </c>
      <c r="N421" s="223" t="n"/>
      <c r="O421" s="228">
        <f>U421=E421</f>
        <v/>
      </c>
      <c r="P421" s="228">
        <f>MONTH(F421)-MONTH(T421)</f>
        <v/>
      </c>
      <c r="Q421" s="228">
        <f>$B$5=X421</f>
        <v/>
      </c>
      <c r="R421" s="228">
        <f>I421-AD421</f>
        <v/>
      </c>
      <c r="S421" s="371" t="n"/>
      <c r="T421" s="372" t="n">
        <v>45796</v>
      </c>
      <c r="U421" s="371" t="inlineStr">
        <is>
          <t>APLL25003097</t>
        </is>
      </c>
      <c r="V421" s="371" t="n"/>
      <c r="W421" s="371" t="n"/>
      <c r="X421" s="371" t="n"/>
      <c r="Y421" s="371" t="inlineStr">
        <is>
          <t>ហូលីដេ ឌីហ្សាញ (ខេមបូឌា) ឯ.ក</t>
        </is>
      </c>
      <c r="Z421" s="373" t="n"/>
      <c r="AA421" s="373" t="n"/>
      <c r="AB421" s="371" t="n"/>
      <c r="AC421" s="371" t="n"/>
      <c r="AD421" s="373" t="n">
        <v>132066</v>
      </c>
      <c r="AE421" s="371" t="n"/>
      <c r="AF421" s="625" t="n"/>
    </row>
    <row r="422">
      <c r="A422" s="222">
        <f>A421+1</f>
        <v/>
      </c>
      <c r="B422" s="224" t="inlineStr">
        <is>
          <t>THC Fee-Ex</t>
        </is>
      </c>
      <c r="C422" s="224" t="inlineStr">
        <is>
          <t>APL LOGISTICS (CAMBODIA) PTE LTD.</t>
        </is>
      </c>
      <c r="D422" s="225" t="inlineStr">
        <is>
          <t>L001-100046460</t>
        </is>
      </c>
      <c r="E422" s="359" t="inlineStr">
        <is>
          <t>APLL25003135</t>
        </is>
      </c>
      <c r="F422" s="338" t="n">
        <v>45797</v>
      </c>
      <c r="G422" s="226" t="n"/>
      <c r="H422" s="627" t="n"/>
      <c r="I422" s="627" t="n">
        <v>222167</v>
      </c>
      <c r="J422" s="223" t="inlineStr">
        <is>
          <t>អនុញ្ញាត (បានប្រកាស)</t>
        </is>
      </c>
      <c r="K422" s="223" t="n"/>
      <c r="L422" s="626">
        <f>I422</f>
        <v/>
      </c>
      <c r="M422" s="598">
        <f>I422-L422</f>
        <v/>
      </c>
      <c r="N422" s="223" t="n"/>
      <c r="O422" s="228">
        <f>U422=E422</f>
        <v/>
      </c>
      <c r="P422" s="228">
        <f>MONTH(F422)-MONTH(T422)</f>
        <v/>
      </c>
      <c r="Q422" s="228">
        <f>$B$5=X422</f>
        <v/>
      </c>
      <c r="R422" s="228">
        <f>I422-AD422</f>
        <v/>
      </c>
      <c r="S422" s="371" t="n"/>
      <c r="T422" s="372" t="n">
        <v>45797</v>
      </c>
      <c r="U422" s="371" t="inlineStr">
        <is>
          <t>APLL25003135</t>
        </is>
      </c>
      <c r="V422" s="371" t="n"/>
      <c r="W422" s="371" t="n"/>
      <c r="X422" s="371" t="n"/>
      <c r="Y422" s="371" t="inlineStr">
        <is>
          <t>ហូលីដេ ឌីហ្សាញ (ខេមបូឌា) ឯ.ក</t>
        </is>
      </c>
      <c r="Z422" s="373" t="n"/>
      <c r="AA422" s="373" t="n"/>
      <c r="AB422" s="371" t="n"/>
      <c r="AC422" s="371" t="n"/>
      <c r="AD422" s="373" t="n">
        <v>222167</v>
      </c>
      <c r="AE422" s="371" t="n"/>
      <c r="AF422" s="625" t="n"/>
    </row>
    <row r="423">
      <c r="A423" s="222">
        <f>A422+1</f>
        <v/>
      </c>
      <c r="B423" s="224" t="inlineStr">
        <is>
          <t>THC Fee-Ex</t>
        </is>
      </c>
      <c r="C423" s="224" t="inlineStr">
        <is>
          <t>APL LOGISTICS (CAMBODIA) PTE LTD.</t>
        </is>
      </c>
      <c r="D423" s="225" t="inlineStr">
        <is>
          <t>L001-100046460</t>
        </is>
      </c>
      <c r="E423" s="359" t="inlineStr">
        <is>
          <t>APLL25003096</t>
        </is>
      </c>
      <c r="F423" s="338" t="n">
        <v>45796</v>
      </c>
      <c r="G423" s="226" t="n"/>
      <c r="H423" s="627" t="n"/>
      <c r="I423" s="627" t="n">
        <v>132066</v>
      </c>
      <c r="J423" s="223" t="inlineStr">
        <is>
          <t>អនុញ្ញាត (បានប្រកាស)</t>
        </is>
      </c>
      <c r="K423" s="223" t="n"/>
      <c r="L423" s="626">
        <f>I423</f>
        <v/>
      </c>
      <c r="M423" s="598">
        <f>I423-L423</f>
        <v/>
      </c>
      <c r="N423" s="223" t="n"/>
      <c r="O423" s="228">
        <f>U423=E423</f>
        <v/>
      </c>
      <c r="P423" s="228">
        <f>MONTH(F423)-MONTH(T423)</f>
        <v/>
      </c>
      <c r="Q423" s="228">
        <f>$B$5=X423</f>
        <v/>
      </c>
      <c r="R423" s="228">
        <f>I423-AD423</f>
        <v/>
      </c>
      <c r="S423" s="371" t="n"/>
      <c r="T423" s="372" t="n">
        <v>45796</v>
      </c>
      <c r="U423" s="371" t="inlineStr">
        <is>
          <t>APLL25003096</t>
        </is>
      </c>
      <c r="V423" s="371" t="n"/>
      <c r="W423" s="371" t="n"/>
      <c r="X423" s="371" t="n"/>
      <c r="Y423" s="371" t="inlineStr">
        <is>
          <t>ហូលីដេ ឌីហ្សាញ (ខេមបូឌា) ឯ.ក</t>
        </is>
      </c>
      <c r="Z423" s="373" t="n"/>
      <c r="AA423" s="373" t="n"/>
      <c r="AB423" s="371" t="n"/>
      <c r="AC423" s="371" t="n"/>
      <c r="AD423" s="373" t="n">
        <v>132066</v>
      </c>
      <c r="AE423" s="371" t="n"/>
      <c r="AF423" s="625" t="n"/>
    </row>
    <row r="424">
      <c r="A424" s="222">
        <f>A423+1</f>
        <v/>
      </c>
      <c r="B424" s="224" t="inlineStr">
        <is>
          <t>THC Fee-Ex</t>
        </is>
      </c>
      <c r="C424" s="224" t="inlineStr">
        <is>
          <t>APL LOGISTICS (CAMBODIA) PTE LTD.</t>
        </is>
      </c>
      <c r="D424" s="225" t="inlineStr">
        <is>
          <t>L001-100046460</t>
        </is>
      </c>
      <c r="E424" s="359" t="inlineStr">
        <is>
          <t>APLL25003129</t>
        </is>
      </c>
      <c r="F424" s="338" t="n">
        <v>45797</v>
      </c>
      <c r="G424" s="226" t="n"/>
      <c r="H424" s="627" t="n"/>
      <c r="I424" s="627" t="n">
        <v>132099</v>
      </c>
      <c r="J424" s="223" t="inlineStr">
        <is>
          <t>អនុញ្ញាត (បានប្រកាស)</t>
        </is>
      </c>
      <c r="K424" s="223" t="n"/>
      <c r="L424" s="626">
        <f>I424</f>
        <v/>
      </c>
      <c r="M424" s="598">
        <f>I424-L424</f>
        <v/>
      </c>
      <c r="N424" s="223" t="n"/>
      <c r="O424" s="228">
        <f>U424=E424</f>
        <v/>
      </c>
      <c r="P424" s="228">
        <f>MONTH(F424)-MONTH(T424)</f>
        <v/>
      </c>
      <c r="Q424" s="228">
        <f>$B$5=X424</f>
        <v/>
      </c>
      <c r="R424" s="228">
        <f>I424-AD424</f>
        <v/>
      </c>
      <c r="S424" s="371" t="n"/>
      <c r="T424" s="372" t="n">
        <v>45797</v>
      </c>
      <c r="U424" s="371" t="inlineStr">
        <is>
          <t>APLL25003129</t>
        </is>
      </c>
      <c r="V424" s="371" t="n"/>
      <c r="W424" s="371" t="n"/>
      <c r="X424" s="371" t="n"/>
      <c r="Y424" s="371" t="inlineStr">
        <is>
          <t>ហូលីដេ ឌីហ្សាញ (ខេមបូឌា) ឯ.ក</t>
        </is>
      </c>
      <c r="Z424" s="373" t="n"/>
      <c r="AA424" s="373" t="n"/>
      <c r="AB424" s="371" t="n"/>
      <c r="AC424" s="371" t="n"/>
      <c r="AD424" s="373" t="n">
        <v>132099</v>
      </c>
      <c r="AE424" s="371" t="n"/>
      <c r="AF424" s="625" t="n"/>
    </row>
    <row r="425">
      <c r="A425" s="222">
        <f>A424+1</f>
        <v/>
      </c>
      <c r="B425" s="224" t="inlineStr">
        <is>
          <t>THC Fee-Ex</t>
        </is>
      </c>
      <c r="C425" s="224" t="inlineStr">
        <is>
          <t>APL LOGISTICS (CAMBODIA) PTE LTD.</t>
        </is>
      </c>
      <c r="D425" s="225" t="inlineStr">
        <is>
          <t>L001-100046460</t>
        </is>
      </c>
      <c r="E425" s="359" t="inlineStr">
        <is>
          <t>APLL25003090</t>
        </is>
      </c>
      <c r="F425" s="338" t="n">
        <v>45796</v>
      </c>
      <c r="G425" s="226" t="n"/>
      <c r="H425" s="627" t="n"/>
      <c r="I425" s="627" t="n">
        <v>456228</v>
      </c>
      <c r="J425" s="223" t="inlineStr">
        <is>
          <t>អនុញ្ញាត (បានប្រកាស)</t>
        </is>
      </c>
      <c r="K425" s="223" t="n"/>
      <c r="L425" s="626">
        <f>I425</f>
        <v/>
      </c>
      <c r="M425" s="598">
        <f>I425-L425</f>
        <v/>
      </c>
      <c r="N425" s="223" t="n"/>
      <c r="O425" s="228">
        <f>U425=E425</f>
        <v/>
      </c>
      <c r="P425" s="228">
        <f>MONTH(F425)-MONTH(T425)</f>
        <v/>
      </c>
      <c r="Q425" s="228">
        <f>$B$5=X425</f>
        <v/>
      </c>
      <c r="R425" s="228">
        <f>I425-AD425</f>
        <v/>
      </c>
      <c r="S425" s="371" t="n"/>
      <c r="T425" s="372" t="n">
        <v>45796</v>
      </c>
      <c r="U425" s="371" t="inlineStr">
        <is>
          <t>APLL25003090</t>
        </is>
      </c>
      <c r="V425" s="371" t="n"/>
      <c r="W425" s="371" t="n"/>
      <c r="X425" s="371" t="n"/>
      <c r="Y425" s="371" t="inlineStr">
        <is>
          <t>ហូលីដេ ឌីហ្សាញ (ខេមបូឌា) ឯ.ក</t>
        </is>
      </c>
      <c r="Z425" s="373" t="n"/>
      <c r="AA425" s="373" t="n"/>
      <c r="AB425" s="371" t="n"/>
      <c r="AC425" s="371" t="n"/>
      <c r="AD425" s="373" t="n">
        <v>456228</v>
      </c>
      <c r="AE425" s="371" t="n"/>
      <c r="AF425" s="625" t="n"/>
    </row>
    <row r="426">
      <c r="A426" s="222">
        <f>A425+1</f>
        <v/>
      </c>
      <c r="B426" s="224" t="inlineStr">
        <is>
          <t>THC Fee-Ex</t>
        </is>
      </c>
      <c r="C426" s="224" t="inlineStr">
        <is>
          <t>APL LOGISTICS (CAMBODIA) PTE LTD.</t>
        </is>
      </c>
      <c r="D426" s="225" t="inlineStr">
        <is>
          <t>L001-100046460</t>
        </is>
      </c>
      <c r="E426" s="359" t="inlineStr">
        <is>
          <t>APLL25003093</t>
        </is>
      </c>
      <c r="F426" s="338" t="n">
        <v>45796</v>
      </c>
      <c r="G426" s="226" t="n"/>
      <c r="H426" s="627" t="n"/>
      <c r="I426" s="627" t="n">
        <v>164082</v>
      </c>
      <c r="J426" s="223" t="inlineStr">
        <is>
          <t>អនុញ្ញាត (បានប្រកាស)</t>
        </is>
      </c>
      <c r="K426" s="223" t="n"/>
      <c r="L426" s="626">
        <f>I426</f>
        <v/>
      </c>
      <c r="M426" s="598">
        <f>I426-L426</f>
        <v/>
      </c>
      <c r="N426" s="223" t="n"/>
      <c r="O426" s="228">
        <f>U426=E426</f>
        <v/>
      </c>
      <c r="P426" s="228">
        <f>MONTH(F426)-MONTH(T426)</f>
        <v/>
      </c>
      <c r="Q426" s="228">
        <f>$B$5=X426</f>
        <v/>
      </c>
      <c r="R426" s="228">
        <f>I426-AD426</f>
        <v/>
      </c>
      <c r="S426" s="371" t="n"/>
      <c r="T426" s="372" t="n">
        <v>45796</v>
      </c>
      <c r="U426" s="371" t="inlineStr">
        <is>
          <t>APLL25003093</t>
        </is>
      </c>
      <c r="V426" s="371" t="n"/>
      <c r="W426" s="371" t="n"/>
      <c r="X426" s="371" t="n"/>
      <c r="Y426" s="371" t="inlineStr">
        <is>
          <t>ហូលីដេ ឌីហ្សាញ (ខេមបូឌា) ឯ.ក</t>
        </is>
      </c>
      <c r="Z426" s="373" t="n"/>
      <c r="AA426" s="373" t="n"/>
      <c r="AB426" s="371" t="n"/>
      <c r="AC426" s="371" t="n"/>
      <c r="AD426" s="373" t="n">
        <v>164082</v>
      </c>
      <c r="AE426" s="371" t="n"/>
      <c r="AF426" s="625" t="n"/>
    </row>
    <row r="427">
      <c r="A427" s="222">
        <f>A426+1</f>
        <v/>
      </c>
      <c r="B427" s="224" t="inlineStr">
        <is>
          <t>THC Fee-Ex</t>
        </is>
      </c>
      <c r="C427" s="224" t="inlineStr">
        <is>
          <t>APL LOGISTICS (CAMBODIA) PTE LTD.</t>
        </is>
      </c>
      <c r="D427" s="225" t="inlineStr">
        <is>
          <t>L001-100046460</t>
        </is>
      </c>
      <c r="E427" s="359" t="inlineStr">
        <is>
          <t>APLL25003128</t>
        </is>
      </c>
      <c r="F427" s="338" t="n">
        <v>45797</v>
      </c>
      <c r="G427" s="226" t="n"/>
      <c r="H427" s="627" t="n"/>
      <c r="I427" s="627" t="n">
        <v>132099</v>
      </c>
      <c r="J427" s="223" t="inlineStr">
        <is>
          <t>អនុញ្ញាត (បានប្រកាស)</t>
        </is>
      </c>
      <c r="K427" s="223" t="n"/>
      <c r="L427" s="626">
        <f>I427</f>
        <v/>
      </c>
      <c r="M427" s="598">
        <f>I427-L427</f>
        <v/>
      </c>
      <c r="N427" s="223" t="n"/>
      <c r="O427" s="228">
        <f>U427=E427</f>
        <v/>
      </c>
      <c r="P427" s="228">
        <f>MONTH(F427)-MONTH(T427)</f>
        <v/>
      </c>
      <c r="Q427" s="228">
        <f>$B$5=X427</f>
        <v/>
      </c>
      <c r="R427" s="228">
        <f>I427-AD427</f>
        <v/>
      </c>
      <c r="S427" s="371" t="n"/>
      <c r="T427" s="372" t="n">
        <v>45797</v>
      </c>
      <c r="U427" s="371" t="inlineStr">
        <is>
          <t>APLL25003128</t>
        </is>
      </c>
      <c r="V427" s="371" t="n"/>
      <c r="W427" s="371" t="n"/>
      <c r="X427" s="371" t="n"/>
      <c r="Y427" s="371" t="inlineStr">
        <is>
          <t>ហូលីដេ ឌីហ្សាញ (ខេមបូឌា) ឯ.ក</t>
        </is>
      </c>
      <c r="Z427" s="373" t="n"/>
      <c r="AA427" s="373" t="n"/>
      <c r="AB427" s="371" t="n"/>
      <c r="AC427" s="371" t="n"/>
      <c r="AD427" s="373" t="n">
        <v>132099</v>
      </c>
      <c r="AE427" s="371" t="n"/>
      <c r="AF427" s="625" t="n"/>
    </row>
    <row r="428">
      <c r="A428" s="222">
        <f>A427+1</f>
        <v/>
      </c>
      <c r="B428" s="224" t="inlineStr">
        <is>
          <t>THC Fee-Ex</t>
        </is>
      </c>
      <c r="C428" s="224" t="inlineStr">
        <is>
          <t>APL LOGISTICS (CAMBODIA) PTE LTD.</t>
        </is>
      </c>
      <c r="D428" s="225" t="inlineStr">
        <is>
          <t>L001-100046460</t>
        </is>
      </c>
      <c r="E428" s="359" t="inlineStr">
        <is>
          <t>APLL25003127</t>
        </is>
      </c>
      <c r="F428" s="338" t="n">
        <v>45797</v>
      </c>
      <c r="G428" s="226" t="n"/>
      <c r="H428" s="627" t="n"/>
      <c r="I428" s="627" t="n">
        <v>132099</v>
      </c>
      <c r="J428" s="223" t="inlineStr">
        <is>
          <t>អនុញ្ញាត (បានប្រកាស)</t>
        </is>
      </c>
      <c r="K428" s="223" t="n"/>
      <c r="L428" s="626">
        <f>I428</f>
        <v/>
      </c>
      <c r="M428" s="598">
        <f>I428-L428</f>
        <v/>
      </c>
      <c r="N428" s="223" t="n"/>
      <c r="O428" s="228">
        <f>U428=E428</f>
        <v/>
      </c>
      <c r="P428" s="228">
        <f>MONTH(F428)-MONTH(T428)</f>
        <v/>
      </c>
      <c r="Q428" s="228">
        <f>$B$5=X428</f>
        <v/>
      </c>
      <c r="R428" s="228">
        <f>I428-AD428</f>
        <v/>
      </c>
      <c r="S428" s="371" t="n"/>
      <c r="T428" s="372" t="n">
        <v>45797</v>
      </c>
      <c r="U428" s="371" t="inlineStr">
        <is>
          <t>APLL25003127</t>
        </is>
      </c>
      <c r="V428" s="371" t="n"/>
      <c r="W428" s="371" t="n"/>
      <c r="X428" s="371" t="n"/>
      <c r="Y428" s="371" t="inlineStr">
        <is>
          <t>ហូលីដេ ឌីហ្សាញ (ខេមបូឌា) ឯ.ក</t>
        </is>
      </c>
      <c r="Z428" s="373" t="n"/>
      <c r="AA428" s="373" t="n"/>
      <c r="AB428" s="371" t="n"/>
      <c r="AC428" s="371" t="n"/>
      <c r="AD428" s="373" t="n">
        <v>132099</v>
      </c>
      <c r="AE428" s="371" t="n"/>
      <c r="AF428" s="625" t="n"/>
    </row>
    <row r="429">
      <c r="A429" s="222">
        <f>A428+1</f>
        <v/>
      </c>
      <c r="B429" s="224" t="inlineStr">
        <is>
          <t>THC Fee-Ex</t>
        </is>
      </c>
      <c r="C429" s="224" t="inlineStr">
        <is>
          <t>APL LOGISTICS (CAMBODIA) PTE LTD.</t>
        </is>
      </c>
      <c r="D429" s="225" t="inlineStr">
        <is>
          <t>L001-100046460</t>
        </is>
      </c>
      <c r="E429" s="359" t="inlineStr">
        <is>
          <t>APLL25003089</t>
        </is>
      </c>
      <c r="F429" s="338" t="n">
        <v>45796</v>
      </c>
      <c r="G429" s="226" t="n"/>
      <c r="H429" s="627" t="n"/>
      <c r="I429" s="627" t="n">
        <v>240120</v>
      </c>
      <c r="J429" s="223" t="inlineStr">
        <is>
          <t>អនុញ្ញាត (បានប្រកាស)</t>
        </is>
      </c>
      <c r="K429" s="223" t="n"/>
      <c r="L429" s="626">
        <f>I429</f>
        <v/>
      </c>
      <c r="M429" s="598">
        <f>I429-L429</f>
        <v/>
      </c>
      <c r="N429" s="223" t="n"/>
      <c r="O429" s="228">
        <f>U429=E429</f>
        <v/>
      </c>
      <c r="P429" s="228">
        <f>MONTH(F429)-MONTH(T429)</f>
        <v/>
      </c>
      <c r="Q429" s="228">
        <f>$B$5=X429</f>
        <v/>
      </c>
      <c r="R429" s="228">
        <f>I429-AD429</f>
        <v/>
      </c>
      <c r="S429" s="371" t="n"/>
      <c r="T429" s="372" t="n">
        <v>45796</v>
      </c>
      <c r="U429" s="371" t="inlineStr">
        <is>
          <t>APLL25003089</t>
        </is>
      </c>
      <c r="V429" s="371" t="n"/>
      <c r="W429" s="371" t="n"/>
      <c r="X429" s="371" t="n"/>
      <c r="Y429" s="371" t="inlineStr">
        <is>
          <t>ហូលីដេ ឌីហ្សាញ (ខេមបូឌា) ឯ.ក</t>
        </is>
      </c>
      <c r="Z429" s="373" t="n"/>
      <c r="AA429" s="373" t="n"/>
      <c r="AB429" s="371" t="n"/>
      <c r="AC429" s="371" t="n"/>
      <c r="AD429" s="373" t="n">
        <v>240120</v>
      </c>
      <c r="AE429" s="371" t="n"/>
      <c r="AF429" s="625" t="n"/>
    </row>
    <row r="430">
      <c r="A430" s="222">
        <f>A429+1</f>
        <v/>
      </c>
      <c r="B430" s="224" t="inlineStr">
        <is>
          <t>THC Fee-Ex</t>
        </is>
      </c>
      <c r="C430" s="224" t="inlineStr">
        <is>
          <t>APL LOGISTICS (CAMBODIA) PTE LTD.</t>
        </is>
      </c>
      <c r="D430" s="225" t="inlineStr">
        <is>
          <t>L001-100046460</t>
        </is>
      </c>
      <c r="E430" s="359" t="inlineStr">
        <is>
          <t>APLL25003099</t>
        </is>
      </c>
      <c r="F430" s="338" t="n">
        <v>45796</v>
      </c>
      <c r="G430" s="226" t="n"/>
      <c r="H430" s="627" t="n"/>
      <c r="I430" s="627" t="n">
        <v>132066</v>
      </c>
      <c r="J430" s="223" t="inlineStr">
        <is>
          <t>អនុញ្ញាត (បានប្រកាស)</t>
        </is>
      </c>
      <c r="K430" s="223" t="n"/>
      <c r="L430" s="626">
        <f>I430</f>
        <v/>
      </c>
      <c r="M430" s="598">
        <f>I430-L430</f>
        <v/>
      </c>
      <c r="N430" s="223" t="n"/>
      <c r="O430" s="228">
        <f>U430=E430</f>
        <v/>
      </c>
      <c r="P430" s="228">
        <f>MONTH(F430)-MONTH(T430)</f>
        <v/>
      </c>
      <c r="Q430" s="228">
        <f>$B$5=X430</f>
        <v/>
      </c>
      <c r="R430" s="228">
        <f>I430-AD430</f>
        <v/>
      </c>
      <c r="S430" s="371" t="n"/>
      <c r="T430" s="372" t="n">
        <v>45796</v>
      </c>
      <c r="U430" s="371" t="inlineStr">
        <is>
          <t>APLL25003099</t>
        </is>
      </c>
      <c r="V430" s="371" t="n"/>
      <c r="W430" s="371" t="n"/>
      <c r="X430" s="371" t="n"/>
      <c r="Y430" s="371" t="inlineStr">
        <is>
          <t>ហូលីដេ ឌីហ្សាញ (ខេមបូឌា) ឯ.ក</t>
        </is>
      </c>
      <c r="Z430" s="373" t="n"/>
      <c r="AA430" s="373" t="n"/>
      <c r="AB430" s="371" t="n"/>
      <c r="AC430" s="371" t="n"/>
      <c r="AD430" s="373" t="n">
        <v>132066</v>
      </c>
      <c r="AE430" s="371" t="n"/>
      <c r="AF430" s="625" t="n"/>
    </row>
    <row r="431">
      <c r="A431" s="222">
        <f>A430+1</f>
        <v/>
      </c>
      <c r="B431" s="224" t="inlineStr">
        <is>
          <t>THC Fee-Ex</t>
        </is>
      </c>
      <c r="C431" s="224" t="inlineStr">
        <is>
          <t>APL LOGISTICS (CAMBODIA) PTE LTD.</t>
        </is>
      </c>
      <c r="D431" s="225" t="inlineStr">
        <is>
          <t>L001-100046460</t>
        </is>
      </c>
      <c r="E431" s="359" t="inlineStr">
        <is>
          <t>APLL25003126</t>
        </is>
      </c>
      <c r="F431" s="338" t="n">
        <v>45797</v>
      </c>
      <c r="G431" s="226" t="n"/>
      <c r="H431" s="627" t="n"/>
      <c r="I431" s="627" t="n">
        <v>164123</v>
      </c>
      <c r="J431" s="223" t="inlineStr">
        <is>
          <t>អនុញ្ញាត (បានប្រកាស)</t>
        </is>
      </c>
      <c r="K431" s="223" t="n"/>
      <c r="L431" s="626">
        <f>I431</f>
        <v/>
      </c>
      <c r="M431" s="598">
        <f>I431-L431</f>
        <v/>
      </c>
      <c r="N431" s="223" t="n"/>
      <c r="O431" s="228">
        <f>U431=E431</f>
        <v/>
      </c>
      <c r="P431" s="228">
        <f>MONTH(F431)-MONTH(T431)</f>
        <v/>
      </c>
      <c r="Q431" s="228">
        <f>$B$5=X431</f>
        <v/>
      </c>
      <c r="R431" s="228">
        <f>I431-AD431</f>
        <v/>
      </c>
      <c r="S431" s="371" t="n"/>
      <c r="T431" s="372" t="n">
        <v>45797</v>
      </c>
      <c r="U431" s="371" t="inlineStr">
        <is>
          <t>APLL25003126</t>
        </is>
      </c>
      <c r="V431" s="371" t="n"/>
      <c r="W431" s="371" t="n"/>
      <c r="X431" s="371" t="n"/>
      <c r="Y431" s="371" t="inlineStr">
        <is>
          <t>ហូលីដេ ឌីហ្សាញ (ខេមបូឌា) ឯ.ក</t>
        </is>
      </c>
      <c r="Z431" s="373" t="n"/>
      <c r="AA431" s="373" t="n"/>
      <c r="AB431" s="371" t="n"/>
      <c r="AC431" s="371" t="n"/>
      <c r="AD431" s="373" t="n">
        <v>164123</v>
      </c>
      <c r="AE431" s="371" t="n"/>
      <c r="AF431" s="625" t="n"/>
    </row>
    <row r="432">
      <c r="A432" s="222">
        <f>A431+1</f>
        <v/>
      </c>
      <c r="B432" s="224" t="inlineStr">
        <is>
          <t>Service Fee</t>
        </is>
      </c>
      <c r="C432" s="224" t="inlineStr">
        <is>
          <t>BUREAU VERITAS (CAMBODIA) LIMITED</t>
        </is>
      </c>
      <c r="D432" s="225" t="inlineStr">
        <is>
          <t>L001-107024462</t>
        </is>
      </c>
      <c r="E432" s="359" t="n">
        <v>59019388</v>
      </c>
      <c r="F432" s="338" t="n">
        <v>45638</v>
      </c>
      <c r="G432" s="226" t="n"/>
      <c r="H432" s="627" t="n"/>
      <c r="I432" s="627" t="n">
        <v>473888</v>
      </c>
      <c r="J432" s="223" t="inlineStr">
        <is>
          <t>អនុញ្ញាត (បានប្រកាស)</t>
        </is>
      </c>
      <c r="K432" s="223" t="n"/>
      <c r="L432" s="626">
        <f>I432</f>
        <v/>
      </c>
      <c r="M432" s="598">
        <f>I432-L432</f>
        <v/>
      </c>
      <c r="N432" s="223" t="n"/>
      <c r="O432" s="228">
        <f>U432=E432</f>
        <v/>
      </c>
      <c r="P432" s="228">
        <f>MONTH(F432)-MONTH(T432)</f>
        <v/>
      </c>
      <c r="Q432" s="228">
        <f>$B$5=X432</f>
        <v/>
      </c>
      <c r="R432" s="228">
        <f>I432-AD432</f>
        <v/>
      </c>
      <c r="S432" s="371" t="n"/>
      <c r="T432" s="372" t="n">
        <v>45638</v>
      </c>
      <c r="U432" s="371" t="n">
        <v>59019388</v>
      </c>
      <c r="V432" s="371" t="n"/>
      <c r="W432" s="371" t="inlineStr">
        <is>
          <t>បុគ្គលជាប់អាករ</t>
        </is>
      </c>
      <c r="X432" s="371" t="inlineStr">
        <is>
          <t>L001-901640009</t>
        </is>
      </c>
      <c r="Y432" s="371" t="inlineStr">
        <is>
          <t>ហូលីដេ ឌីហ្សាញ (ខេមបូឌា) ឯ.ក</t>
        </is>
      </c>
      <c r="Z432" s="373" t="n">
        <v>5212768</v>
      </c>
      <c r="AA432" s="373" t="n">
        <v>4738880</v>
      </c>
      <c r="AB432" s="371" t="n">
        <v>0</v>
      </c>
      <c r="AC432" s="371" t="inlineStr">
        <is>
          <t>-</t>
        </is>
      </c>
      <c r="AD432" s="373" t="n">
        <v>473888</v>
      </c>
      <c r="AE432" s="371" t="n">
        <v>0</v>
      </c>
      <c r="AF432" s="625" t="n">
        <v>0</v>
      </c>
      <c r="AG432" s="205" t="n">
        <v>0</v>
      </c>
      <c r="AH432" s="205" t="n">
        <v>0</v>
      </c>
      <c r="AI432" s="205" t="n">
        <v>0</v>
      </c>
      <c r="AJ432" s="205" t="n">
        <v>0</v>
      </c>
      <c r="AK432" s="205" t="n">
        <v>0</v>
      </c>
      <c r="AL432" s="205" t="n">
        <v>0.01</v>
      </c>
      <c r="AN432" s="205" t="inlineStr">
        <is>
          <t>ចំនូលបានមកពីការលក់</t>
        </is>
      </c>
    </row>
    <row r="433">
      <c r="A433" s="222">
        <f>A432+1</f>
        <v/>
      </c>
      <c r="B433" s="224" t="inlineStr">
        <is>
          <t>THC Fee-Ex</t>
        </is>
      </c>
      <c r="C433" s="224" t="inlineStr">
        <is>
          <t>APL LOGISTICS (CAMBODIA) PTE LTD.</t>
        </is>
      </c>
      <c r="D433" s="225" t="inlineStr">
        <is>
          <t>L001-100046460</t>
        </is>
      </c>
      <c r="E433" s="359" t="inlineStr">
        <is>
          <t>APLL25003091</t>
        </is>
      </c>
      <c r="F433" s="338" t="n">
        <v>45796</v>
      </c>
      <c r="G433" s="226" t="n"/>
      <c r="H433" s="627" t="n"/>
      <c r="I433" s="627" t="n">
        <v>240120</v>
      </c>
      <c r="J433" s="223" t="inlineStr">
        <is>
          <t>អនុញ្ញាត (បានប្រកាស)</t>
        </is>
      </c>
      <c r="K433" s="223" t="n"/>
      <c r="L433" s="626">
        <f>I433</f>
        <v/>
      </c>
      <c r="M433" s="598">
        <f>I433-L433</f>
        <v/>
      </c>
      <c r="N433" s="223" t="n"/>
      <c r="O433" s="228">
        <f>U433=E433</f>
        <v/>
      </c>
      <c r="P433" s="228">
        <f>MONTH(F433)-MONTH(T433)</f>
        <v/>
      </c>
      <c r="Q433" s="228">
        <f>$B$5=X433</f>
        <v/>
      </c>
      <c r="R433" s="228">
        <f>I433-AD433</f>
        <v/>
      </c>
      <c r="S433" s="371" t="n"/>
      <c r="T433" s="372" t="n">
        <v>45796</v>
      </c>
      <c r="U433" s="371" t="inlineStr">
        <is>
          <t>APLL25003091</t>
        </is>
      </c>
      <c r="V433" s="371" t="n"/>
      <c r="W433" s="371" t="n"/>
      <c r="X433" s="371" t="n"/>
      <c r="Y433" s="371" t="inlineStr">
        <is>
          <t>ហូលីដេ ឌីហ្សាញ (ខេមបូឌា) ឯ.ក</t>
        </is>
      </c>
      <c r="Z433" s="373" t="n"/>
      <c r="AA433" s="373" t="n"/>
      <c r="AB433" s="371" t="n"/>
      <c r="AC433" s="371" t="n"/>
      <c r="AD433" s="373" t="n">
        <v>240120</v>
      </c>
      <c r="AE433" s="371" t="n"/>
      <c r="AF433" s="625" t="n"/>
    </row>
    <row r="434">
      <c r="A434" s="222">
        <f>A433+1</f>
        <v/>
      </c>
      <c r="B434" s="224" t="inlineStr">
        <is>
          <t>THC Fee-Ex</t>
        </is>
      </c>
      <c r="C434" s="224" t="inlineStr">
        <is>
          <t>APL LOGISTICS (CAMBODIA) PTE LTD.</t>
        </is>
      </c>
      <c r="D434" s="225" t="inlineStr">
        <is>
          <t>L001-100046460</t>
        </is>
      </c>
      <c r="E434" s="359" t="inlineStr">
        <is>
          <t>APLL25003098</t>
        </is>
      </c>
      <c r="F434" s="338" t="n">
        <v>45796</v>
      </c>
      <c r="G434" s="226" t="n"/>
      <c r="H434" s="627" t="n"/>
      <c r="I434" s="627" t="n">
        <v>240120</v>
      </c>
      <c r="J434" s="223" t="inlineStr">
        <is>
          <t>អនុញ្ញាត (បានប្រកាស)</t>
        </is>
      </c>
      <c r="K434" s="223" t="n"/>
      <c r="L434" s="626">
        <f>I434</f>
        <v/>
      </c>
      <c r="M434" s="598">
        <f>I434-L434</f>
        <v/>
      </c>
      <c r="N434" s="223" t="n"/>
      <c r="O434" s="228">
        <f>U434=E434</f>
        <v/>
      </c>
      <c r="P434" s="228">
        <f>MONTH(F434)-MONTH(T434)</f>
        <v/>
      </c>
      <c r="Q434" s="228">
        <f>$B$5=X434</f>
        <v/>
      </c>
      <c r="R434" s="228">
        <f>I434-AD434</f>
        <v/>
      </c>
      <c r="S434" s="371" t="n"/>
      <c r="T434" s="372" t="n">
        <v>45796</v>
      </c>
      <c r="U434" s="371" t="inlineStr">
        <is>
          <t>APLL25003098</t>
        </is>
      </c>
      <c r="V434" s="371" t="n"/>
      <c r="W434" s="371" t="n"/>
      <c r="X434" s="371" t="n"/>
      <c r="Y434" s="371" t="inlineStr">
        <is>
          <t>ហូលីដេ ឌីហ្សាញ (ខេមបូឌា) ឯ.ក</t>
        </is>
      </c>
      <c r="Z434" s="373" t="n"/>
      <c r="AA434" s="373" t="n"/>
      <c r="AB434" s="371" t="n"/>
      <c r="AC434" s="371" t="n"/>
      <c r="AD434" s="373" t="n">
        <v>240120</v>
      </c>
      <c r="AE434" s="371" t="n"/>
      <c r="AF434" s="625" t="n"/>
    </row>
    <row r="435">
      <c r="A435" s="222">
        <f>A434+1</f>
        <v/>
      </c>
      <c r="B435" s="224" t="inlineStr">
        <is>
          <t>THC Fee-Ex</t>
        </is>
      </c>
      <c r="C435" s="224" t="inlineStr">
        <is>
          <t>APL LOGISTICS (CAMBODIA) PTE LTD.</t>
        </is>
      </c>
      <c r="D435" s="225" t="inlineStr">
        <is>
          <t>L001-100046460</t>
        </is>
      </c>
      <c r="E435" s="359" t="inlineStr">
        <is>
          <t>APLL25003092</t>
        </is>
      </c>
      <c r="F435" s="338" t="n">
        <v>45796</v>
      </c>
      <c r="G435" s="226" t="n"/>
      <c r="H435" s="627" t="n"/>
      <c r="I435" s="627" t="n">
        <v>132066</v>
      </c>
      <c r="J435" s="223" t="inlineStr">
        <is>
          <t>អនុញ្ញាត (បានប្រកាស)</t>
        </is>
      </c>
      <c r="K435" s="223" t="n"/>
      <c r="L435" s="626">
        <f>I435</f>
        <v/>
      </c>
      <c r="M435" s="598">
        <f>I435-L435</f>
        <v/>
      </c>
      <c r="N435" s="223" t="n"/>
      <c r="O435" s="228">
        <f>U435=E435</f>
        <v/>
      </c>
      <c r="P435" s="228">
        <f>MONTH(F435)-MONTH(T435)</f>
        <v/>
      </c>
      <c r="Q435" s="228">
        <f>$B$5=X435</f>
        <v/>
      </c>
      <c r="R435" s="228">
        <f>I435-AD435</f>
        <v/>
      </c>
      <c r="S435" s="371" t="n"/>
      <c r="T435" s="372" t="n">
        <v>45796</v>
      </c>
      <c r="U435" s="371" t="inlineStr">
        <is>
          <t>APLL25003092</t>
        </is>
      </c>
      <c r="V435" s="371" t="n"/>
      <c r="W435" s="371" t="n"/>
      <c r="X435" s="371" t="n"/>
      <c r="Y435" s="371" t="inlineStr">
        <is>
          <t>ហូលីដេ ឌីហ្សាញ (ខេមបូឌា) ឯ.ក</t>
        </is>
      </c>
      <c r="Z435" s="373" t="n"/>
      <c r="AA435" s="373" t="n"/>
      <c r="AB435" s="371" t="n"/>
      <c r="AC435" s="371" t="n"/>
      <c r="AD435" s="373" t="n">
        <v>132066</v>
      </c>
      <c r="AE435" s="371" t="n"/>
      <c r="AF435" s="625" t="n"/>
    </row>
    <row r="436" ht="23.4" customHeight="1" s="408" thickBot="1">
      <c r="A436" s="222">
        <f>A435+1</f>
        <v/>
      </c>
      <c r="B436" s="224" t="inlineStr">
        <is>
          <t>THC Fee-Ex</t>
        </is>
      </c>
      <c r="C436" s="224" t="inlineStr">
        <is>
          <t>APL LOGISTICS (CAMBODIA) PTE LTD.</t>
        </is>
      </c>
      <c r="D436" s="225" t="inlineStr">
        <is>
          <t>L001-100046460</t>
        </is>
      </c>
      <c r="E436" s="359" t="inlineStr">
        <is>
          <t>APLL25003177</t>
        </is>
      </c>
      <c r="F436" s="338" t="n">
        <v>45798</v>
      </c>
      <c r="G436" s="226" t="n"/>
      <c r="H436" s="627" t="n"/>
      <c r="I436" s="627" t="n">
        <v>888666</v>
      </c>
      <c r="J436" s="223" t="inlineStr">
        <is>
          <t>អនុញ្ញាត (បានប្រកាស)</t>
        </is>
      </c>
      <c r="K436" s="223" t="n"/>
      <c r="L436" s="626">
        <f>I436</f>
        <v/>
      </c>
      <c r="M436" s="598">
        <f>I436-L436</f>
        <v/>
      </c>
      <c r="N436" s="223" t="n"/>
      <c r="O436" s="228">
        <f>U436=E436</f>
        <v/>
      </c>
      <c r="P436" s="228">
        <f>MONTH(F436)-MONTH(T436)</f>
        <v/>
      </c>
      <c r="Q436" s="228">
        <f>$B$5=X436</f>
        <v/>
      </c>
      <c r="R436" s="228">
        <f>I436-AD436</f>
        <v/>
      </c>
      <c r="S436" s="371" t="n"/>
      <c r="T436" s="372" t="n">
        <v>45798</v>
      </c>
      <c r="U436" s="371" t="inlineStr">
        <is>
          <t>APLL25003177</t>
        </is>
      </c>
      <c r="V436" s="371" t="n"/>
      <c r="W436" s="371" t="n"/>
      <c r="X436" s="371" t="n"/>
      <c r="Y436" s="371" t="inlineStr">
        <is>
          <t>ហូលីដេ ឌីហ្សាញ (ខេមបូឌា) ឯ.ក</t>
        </is>
      </c>
      <c r="Z436" s="373" t="n"/>
      <c r="AA436" s="373" t="n"/>
      <c r="AB436" s="371" t="n"/>
      <c r="AC436" s="371" t="n"/>
      <c r="AD436" s="373" t="n">
        <v>888666</v>
      </c>
      <c r="AE436" s="371" t="n"/>
      <c r="AF436" s="625" t="n"/>
    </row>
    <row r="437" ht="23.4" customHeight="1" s="408" thickBot="1">
      <c r="A437" s="222">
        <f>A436+1</f>
        <v/>
      </c>
      <c r="B437" s="224" t="inlineStr">
        <is>
          <t>THC Fee-Ex</t>
        </is>
      </c>
      <c r="C437" s="224" t="inlineStr">
        <is>
          <t>APL LOGISTICS (CAMBODIA) PTE LTD.</t>
        </is>
      </c>
      <c r="D437" s="225" t="inlineStr">
        <is>
          <t>L001-100046460</t>
        </is>
      </c>
      <c r="E437" s="359" t="inlineStr">
        <is>
          <t>APLL25003171</t>
        </is>
      </c>
      <c r="F437" s="338" t="n">
        <v>45798</v>
      </c>
      <c r="G437" s="226" t="n"/>
      <c r="H437" s="627" t="n"/>
      <c r="I437" s="627" t="n">
        <v>240180</v>
      </c>
      <c r="J437" s="223" t="inlineStr">
        <is>
          <t>អនុញ្ញាត (បានប្រកាស)</t>
        </is>
      </c>
      <c r="K437" s="223" t="n"/>
      <c r="L437" s="626">
        <f>I437</f>
        <v/>
      </c>
      <c r="M437" s="598">
        <f>I437-L437</f>
        <v/>
      </c>
      <c r="N437" s="223" t="n"/>
      <c r="O437" s="228">
        <f>U437=E437</f>
        <v/>
      </c>
      <c r="P437" s="228">
        <f>MONTH(F437)-MONTH(T437)</f>
        <v/>
      </c>
      <c r="Q437" s="228">
        <f>$B$5=X437</f>
        <v/>
      </c>
      <c r="R437" s="228">
        <f>I437-AD437</f>
        <v/>
      </c>
      <c r="S437" s="371" t="n"/>
      <c r="T437" s="378" t="n">
        <v>45798</v>
      </c>
      <c r="U437" s="379" t="inlineStr">
        <is>
          <t>APLL25003171</t>
        </is>
      </c>
      <c r="V437" s="379" t="n"/>
      <c r="W437" s="379" t="n"/>
      <c r="X437" s="380" t="n"/>
      <c r="Y437" s="381" t="inlineStr">
        <is>
          <t>ហូលីដេ ឌីហ្សាញ (ខេមបូឌា) ឯ.ក</t>
        </is>
      </c>
      <c r="Z437" s="382" t="n"/>
      <c r="AA437" s="382" t="n"/>
      <c r="AB437" s="382" t="n"/>
      <c r="AC437" s="383" t="n"/>
      <c r="AD437" s="382" t="n">
        <v>240180</v>
      </c>
      <c r="AE437" s="382" t="n"/>
      <c r="AF437" s="382" t="n"/>
      <c r="AG437" s="382" t="n"/>
      <c r="AH437" s="382" t="n"/>
      <c r="AI437" s="382" t="n"/>
      <c r="AJ437" s="382" t="n"/>
      <c r="AK437" s="382" t="n"/>
      <c r="AL437" s="384" t="n"/>
      <c r="AM437" s="383" t="n"/>
      <c r="AN437" s="381" t="n"/>
    </row>
    <row r="438" ht="23.4" customHeight="1" s="408" thickBot="1">
      <c r="A438" s="222">
        <f>A437+1</f>
        <v/>
      </c>
      <c r="B438" s="224" t="inlineStr">
        <is>
          <t>THC Fee-Ex</t>
        </is>
      </c>
      <c r="C438" s="224" t="inlineStr">
        <is>
          <t>APL LOGISTICS (CAMBODIA) PTE LTD.</t>
        </is>
      </c>
      <c r="D438" s="225" t="inlineStr">
        <is>
          <t>L001-100046460</t>
        </is>
      </c>
      <c r="E438" s="359" t="inlineStr">
        <is>
          <t>APLL25003189</t>
        </is>
      </c>
      <c r="F438" s="338" t="n">
        <v>45798</v>
      </c>
      <c r="G438" s="226" t="n"/>
      <c r="H438" s="627" t="n"/>
      <c r="I438" s="627" t="n">
        <v>132099</v>
      </c>
      <c r="J438" s="223" t="inlineStr">
        <is>
          <t>អនុញ្ញាត (បានប្រកាស)</t>
        </is>
      </c>
      <c r="K438" s="223" t="n"/>
      <c r="L438" s="626">
        <f>I438</f>
        <v/>
      </c>
      <c r="M438" s="598">
        <f>I438-L438</f>
        <v/>
      </c>
      <c r="N438" s="223" t="n"/>
      <c r="O438" s="228">
        <f>U438=E438</f>
        <v/>
      </c>
      <c r="P438" s="228">
        <f>MONTH(F438)-MONTH(T438)</f>
        <v/>
      </c>
      <c r="Q438" s="228">
        <f>$B$5=X438</f>
        <v/>
      </c>
      <c r="R438" s="228">
        <f>I438-AD438</f>
        <v/>
      </c>
      <c r="S438" s="371" t="n"/>
      <c r="T438" s="378" t="n">
        <v>45798</v>
      </c>
      <c r="U438" s="379" t="inlineStr">
        <is>
          <t>APLL25003189</t>
        </is>
      </c>
      <c r="V438" s="379" t="n"/>
      <c r="W438" s="379" t="n"/>
      <c r="X438" s="380" t="n"/>
      <c r="Y438" s="381" t="inlineStr">
        <is>
          <t>ហូលីដេ ឌីហ្សាញ (ខេមបូឌា) ឯ.ក</t>
        </is>
      </c>
      <c r="Z438" s="382" t="n"/>
      <c r="AA438" s="382" t="n"/>
      <c r="AB438" s="382" t="n"/>
      <c r="AC438" s="383" t="n"/>
      <c r="AD438" s="382" t="n">
        <v>132099</v>
      </c>
      <c r="AE438" s="382" t="n"/>
      <c r="AF438" s="382" t="n"/>
      <c r="AG438" s="382" t="n"/>
      <c r="AH438" s="382" t="n"/>
      <c r="AI438" s="382" t="n"/>
      <c r="AJ438" s="382" t="n"/>
      <c r="AK438" s="382" t="n"/>
      <c r="AL438" s="384" t="n"/>
      <c r="AM438" s="383" t="n"/>
      <c r="AN438" s="381" t="n"/>
    </row>
    <row r="439">
      <c r="A439" s="222">
        <f>A438+1</f>
        <v/>
      </c>
      <c r="B439" s="224" t="inlineStr">
        <is>
          <t>THC Fee-Ex</t>
        </is>
      </c>
      <c r="C439" s="224" t="inlineStr">
        <is>
          <t>APL LOGISTICS (CAMBODIA) PTE LTD.</t>
        </is>
      </c>
      <c r="D439" s="225" t="inlineStr">
        <is>
          <t>L001-100046460</t>
        </is>
      </c>
      <c r="E439" s="359" t="inlineStr">
        <is>
          <t>APLL25003179</t>
        </is>
      </c>
      <c r="F439" s="338" t="n">
        <v>45798</v>
      </c>
      <c r="G439" s="226" t="n"/>
      <c r="H439" s="627" t="n"/>
      <c r="I439" s="627" t="n">
        <v>240180</v>
      </c>
      <c r="J439" s="223" t="inlineStr">
        <is>
          <t>អនុញ្ញាត (បានប្រកាស)</t>
        </is>
      </c>
      <c r="K439" s="223" t="n"/>
      <c r="L439" s="626">
        <f>I439</f>
        <v/>
      </c>
      <c r="M439" s="598">
        <f>I439-L439</f>
        <v/>
      </c>
      <c r="N439" s="223" t="n"/>
      <c r="O439" s="228">
        <f>U439=E439</f>
        <v/>
      </c>
      <c r="P439" s="228">
        <f>MONTH(F439)-MONTH(T439)</f>
        <v/>
      </c>
      <c r="Q439" s="228">
        <f>$B$5=X439</f>
        <v/>
      </c>
      <c r="R439" s="228">
        <f>I439-AD439</f>
        <v/>
      </c>
      <c r="S439" s="371" t="n"/>
      <c r="T439" s="372" t="n">
        <v>45798</v>
      </c>
      <c r="U439" s="371" t="inlineStr">
        <is>
          <t>APLL25003179</t>
        </is>
      </c>
      <c r="V439" s="371" t="n"/>
      <c r="W439" s="371" t="n"/>
      <c r="X439" s="371" t="n"/>
      <c r="Y439" s="371" t="inlineStr">
        <is>
          <t>ហូលីដេ ឌីហ្សាញ (ខេមបូឌា) ឯ.ក</t>
        </is>
      </c>
      <c r="Z439" s="373" t="n"/>
      <c r="AA439" s="373" t="n"/>
      <c r="AB439" s="371" t="n"/>
      <c r="AC439" s="371" t="n"/>
      <c r="AD439" s="373" t="n">
        <v>240180</v>
      </c>
      <c r="AE439" s="371" t="n"/>
      <c r="AF439" s="625" t="n"/>
    </row>
    <row r="440">
      <c r="A440" s="222">
        <f>A439+1</f>
        <v/>
      </c>
      <c r="B440" s="224" t="inlineStr">
        <is>
          <t>THC Fee-Ex</t>
        </is>
      </c>
      <c r="C440" s="224" t="inlineStr">
        <is>
          <t>APL LOGISTICS (CAMBODIA) PTE LTD.</t>
        </is>
      </c>
      <c r="D440" s="225" t="inlineStr">
        <is>
          <t>L001-100046460</t>
        </is>
      </c>
      <c r="E440" s="359" t="inlineStr">
        <is>
          <t>APLL25003188</t>
        </is>
      </c>
      <c r="F440" s="338" t="n">
        <v>45798</v>
      </c>
      <c r="G440" s="226" t="n"/>
      <c r="H440" s="627" t="n"/>
      <c r="I440" s="627" t="n">
        <v>240180</v>
      </c>
      <c r="J440" s="223" t="inlineStr">
        <is>
          <t>អនុញ្ញាត (បានប្រកាស)</t>
        </is>
      </c>
      <c r="K440" s="223" t="n"/>
      <c r="L440" s="626">
        <f>I440</f>
        <v/>
      </c>
      <c r="M440" s="598">
        <f>I440-L440</f>
        <v/>
      </c>
      <c r="N440" s="223" t="n"/>
      <c r="O440" s="228">
        <f>U440=E440</f>
        <v/>
      </c>
      <c r="P440" s="228">
        <f>MONTH(F440)-MONTH(T440)</f>
        <v/>
      </c>
      <c r="Q440" s="228">
        <f>$B$5=X440</f>
        <v/>
      </c>
      <c r="R440" s="228">
        <f>I440-AD440</f>
        <v/>
      </c>
      <c r="S440" s="371" t="n"/>
      <c r="T440" s="372" t="n">
        <v>45798</v>
      </c>
      <c r="U440" s="371" t="inlineStr">
        <is>
          <t>APLL25003188</t>
        </is>
      </c>
      <c r="V440" s="371" t="n"/>
      <c r="W440" s="371" t="n"/>
      <c r="X440" s="371" t="n"/>
      <c r="Y440" s="371" t="inlineStr">
        <is>
          <t>ហូលីដេ ឌីហ្សាញ (ខេមបូឌា) ឯ.ក</t>
        </is>
      </c>
      <c r="Z440" s="373" t="n"/>
      <c r="AA440" s="373" t="n"/>
      <c r="AB440" s="371" t="n"/>
      <c r="AC440" s="371" t="n"/>
      <c r="AD440" s="373" t="n">
        <v>240180</v>
      </c>
      <c r="AE440" s="371" t="n"/>
      <c r="AF440" s="625" t="n"/>
    </row>
    <row r="441">
      <c r="A441" s="222">
        <f>A440+1</f>
        <v/>
      </c>
      <c r="B441" s="224" t="inlineStr">
        <is>
          <t>THC Fee-Ex</t>
        </is>
      </c>
      <c r="C441" s="224" t="inlineStr">
        <is>
          <t>APL LOGISTICS (CAMBODIA) PTE LTD.</t>
        </is>
      </c>
      <c r="D441" s="225" t="inlineStr">
        <is>
          <t>L001-100046460</t>
        </is>
      </c>
      <c r="E441" s="359" t="inlineStr">
        <is>
          <t>APLL25003185</t>
        </is>
      </c>
      <c r="F441" s="338" t="n">
        <v>45798</v>
      </c>
      <c r="G441" s="226" t="n"/>
      <c r="H441" s="627" t="n"/>
      <c r="I441" s="627" t="n">
        <v>996747</v>
      </c>
      <c r="J441" s="223" t="inlineStr">
        <is>
          <t>អនុញ្ញាត (បានប្រកាស)</t>
        </is>
      </c>
      <c r="K441" s="223" t="n"/>
      <c r="L441" s="626">
        <f>I441</f>
        <v/>
      </c>
      <c r="M441" s="598">
        <f>I441-L441</f>
        <v/>
      </c>
      <c r="N441" s="223" t="n"/>
      <c r="O441" s="228">
        <f>U441=E441</f>
        <v/>
      </c>
      <c r="P441" s="228">
        <f>MONTH(F441)-MONTH(T441)</f>
        <v/>
      </c>
      <c r="Q441" s="228">
        <f>$B$5=X441</f>
        <v/>
      </c>
      <c r="R441" s="228">
        <f>I441-AD441</f>
        <v/>
      </c>
      <c r="S441" s="371" t="n"/>
      <c r="T441" s="372" t="n">
        <v>45798</v>
      </c>
      <c r="U441" s="371" t="inlineStr">
        <is>
          <t>APLL25003185</t>
        </is>
      </c>
      <c r="V441" s="371" t="n"/>
      <c r="W441" s="371" t="n"/>
      <c r="X441" s="371" t="n"/>
      <c r="Y441" s="371" t="inlineStr">
        <is>
          <t>ហូលីដេ ឌីហ្សាញ (ខេមបូឌា) ឯ.ក</t>
        </is>
      </c>
      <c r="Z441" s="373" t="n"/>
      <c r="AA441" s="373" t="n"/>
      <c r="AB441" s="371" t="n"/>
      <c r="AC441" s="371" t="n"/>
      <c r="AD441" s="373" t="n">
        <v>996747</v>
      </c>
      <c r="AE441" s="371" t="n"/>
      <c r="AF441" s="625" t="n"/>
    </row>
    <row r="442">
      <c r="A442" s="222">
        <f>A441+1</f>
        <v/>
      </c>
      <c r="B442" s="224" t="inlineStr">
        <is>
          <t>THC Fee-Ex</t>
        </is>
      </c>
      <c r="C442" s="224" t="inlineStr">
        <is>
          <t>APL LOGISTICS (CAMBODIA) PTE LTD.</t>
        </is>
      </c>
      <c r="D442" s="225" t="inlineStr">
        <is>
          <t>L001-100046460</t>
        </is>
      </c>
      <c r="E442" s="359" t="inlineStr">
        <is>
          <t>APLL25003170</t>
        </is>
      </c>
      <c r="F442" s="338" t="n">
        <v>45798</v>
      </c>
      <c r="G442" s="226" t="n"/>
      <c r="H442" s="627" t="n"/>
      <c r="I442" s="627" t="n">
        <v>996747</v>
      </c>
      <c r="J442" s="223" t="inlineStr">
        <is>
          <t>អនុញ្ញាត (បានប្រកាស)</t>
        </is>
      </c>
      <c r="K442" s="223" t="n"/>
      <c r="L442" s="626">
        <f>I442</f>
        <v/>
      </c>
      <c r="M442" s="598">
        <f>I442-L442</f>
        <v/>
      </c>
      <c r="N442" s="223" t="n"/>
      <c r="O442" s="228">
        <f>U442=E442</f>
        <v/>
      </c>
      <c r="P442" s="228">
        <f>MONTH(F442)-MONTH(T442)</f>
        <v/>
      </c>
      <c r="Q442" s="228">
        <f>$B$5=X442</f>
        <v/>
      </c>
      <c r="R442" s="228">
        <f>I442-AD442</f>
        <v/>
      </c>
      <c r="S442" s="371" t="n"/>
      <c r="T442" s="372" t="n">
        <v>45798</v>
      </c>
      <c r="U442" s="371" t="inlineStr">
        <is>
          <t>APLL25003170</t>
        </is>
      </c>
      <c r="V442" s="371" t="n"/>
      <c r="W442" s="371" t="n"/>
      <c r="X442" s="371" t="n"/>
      <c r="Y442" s="371" t="inlineStr">
        <is>
          <t>ហូលីដេ ឌីហ្សាញ (ខេមបូឌា) ឯ.ក</t>
        </is>
      </c>
      <c r="Z442" s="373" t="n"/>
      <c r="AA442" s="373" t="n"/>
      <c r="AB442" s="371" t="n"/>
      <c r="AC442" s="371" t="n"/>
      <c r="AD442" s="373" t="n">
        <v>996747</v>
      </c>
      <c r="AE442" s="371" t="n"/>
      <c r="AF442" s="625" t="n"/>
    </row>
    <row r="443">
      <c r="A443" s="222">
        <f>A442+1</f>
        <v/>
      </c>
      <c r="B443" s="224" t="inlineStr">
        <is>
          <t>THC Fee-Ex</t>
        </is>
      </c>
      <c r="C443" s="224" t="inlineStr">
        <is>
          <t>APL LOGISTICS (CAMBODIA) PTE LTD.</t>
        </is>
      </c>
      <c r="D443" s="225" t="inlineStr">
        <is>
          <t>L001-100046460</t>
        </is>
      </c>
      <c r="E443" s="359" t="inlineStr">
        <is>
          <t>APLL25003182</t>
        </is>
      </c>
      <c r="F443" s="338" t="n">
        <v>45798</v>
      </c>
      <c r="G443" s="226" t="n"/>
      <c r="H443" s="627" t="n"/>
      <c r="I443" s="627" t="n">
        <v>240180</v>
      </c>
      <c r="J443" s="223" t="inlineStr">
        <is>
          <t>អនុញ្ញាត (បានប្រកាស)</t>
        </is>
      </c>
      <c r="K443" s="223" t="n"/>
      <c r="L443" s="626">
        <f>I443</f>
        <v/>
      </c>
      <c r="M443" s="598">
        <f>I443-L443</f>
        <v/>
      </c>
      <c r="N443" s="223" t="n"/>
      <c r="O443" s="228">
        <f>U443=E443</f>
        <v/>
      </c>
      <c r="P443" s="228">
        <f>MONTH(F443)-MONTH(T443)</f>
        <v/>
      </c>
      <c r="Q443" s="228">
        <f>$B$5=X443</f>
        <v/>
      </c>
      <c r="R443" s="228">
        <f>I443-AD443</f>
        <v/>
      </c>
      <c r="S443" s="371" t="n"/>
      <c r="T443" s="372" t="n">
        <v>45798</v>
      </c>
      <c r="U443" s="371" t="inlineStr">
        <is>
          <t>APLL25003182</t>
        </is>
      </c>
      <c r="V443" s="371" t="n"/>
      <c r="W443" s="371" t="n"/>
      <c r="X443" s="371" t="n"/>
      <c r="Y443" s="371" t="inlineStr">
        <is>
          <t>ហូលីដេ ឌីហ្សាញ (ខេមបូឌា) ឯ.ក</t>
        </is>
      </c>
      <c r="Z443" s="373" t="n"/>
      <c r="AA443" s="373" t="n"/>
      <c r="AB443" s="371" t="n"/>
      <c r="AC443" s="371" t="n"/>
      <c r="AD443" s="373" t="n">
        <v>240180</v>
      </c>
      <c r="AE443" s="371" t="n"/>
      <c r="AF443" s="625" t="n"/>
    </row>
    <row r="444">
      <c r="A444" s="222">
        <f>A443+1</f>
        <v/>
      </c>
      <c r="B444" s="224" t="inlineStr">
        <is>
          <t>THC Fee-Ex</t>
        </is>
      </c>
      <c r="C444" s="224" t="inlineStr">
        <is>
          <t>APL LOGISTICS (CAMBODIA) PTE LTD.</t>
        </is>
      </c>
      <c r="D444" s="225" t="inlineStr">
        <is>
          <t>L001-100046460</t>
        </is>
      </c>
      <c r="E444" s="359" t="inlineStr">
        <is>
          <t>APLL25003190</t>
        </is>
      </c>
      <c r="F444" s="338" t="n">
        <v>45798</v>
      </c>
      <c r="G444" s="226" t="n"/>
      <c r="H444" s="627" t="n"/>
      <c r="I444" s="627" t="n">
        <v>672504</v>
      </c>
      <c r="J444" s="223" t="inlineStr">
        <is>
          <t>អនុញ្ញាត (បានប្រកាស)</t>
        </is>
      </c>
      <c r="K444" s="223" t="n"/>
      <c r="L444" s="626">
        <f>I444</f>
        <v/>
      </c>
      <c r="M444" s="598">
        <f>I444-L444</f>
        <v/>
      </c>
      <c r="N444" s="223" t="n"/>
      <c r="O444" s="228">
        <f>U444=E444</f>
        <v/>
      </c>
      <c r="P444" s="228">
        <f>MONTH(F444)-MONTH(T444)</f>
        <v/>
      </c>
      <c r="Q444" s="228">
        <f>$B$5=X444</f>
        <v/>
      </c>
      <c r="R444" s="228">
        <f>I444-AD444</f>
        <v/>
      </c>
      <c r="S444" s="371" t="n"/>
      <c r="T444" s="372" t="n">
        <v>45798</v>
      </c>
      <c r="U444" s="371" t="inlineStr">
        <is>
          <t>APLL25003190</t>
        </is>
      </c>
      <c r="V444" s="371" t="n"/>
      <c r="W444" s="371" t="n"/>
      <c r="X444" s="371" t="n"/>
      <c r="Y444" s="371" t="inlineStr">
        <is>
          <t>ហូលីដេ ឌីហ្សាញ (ខេមបូឌា) ឯ.ក</t>
        </is>
      </c>
      <c r="Z444" s="373" t="n"/>
      <c r="AA444" s="373" t="n"/>
      <c r="AB444" s="371" t="n"/>
      <c r="AC444" s="371" t="n"/>
      <c r="AD444" s="373" t="n">
        <v>672504</v>
      </c>
      <c r="AE444" s="371" t="n"/>
      <c r="AF444" s="625" t="n"/>
    </row>
    <row r="445">
      <c r="A445" s="222">
        <f>A444+1</f>
        <v/>
      </c>
      <c r="B445" s="224" t="inlineStr">
        <is>
          <t>THC Fee-Ex</t>
        </is>
      </c>
      <c r="C445" s="224" t="inlineStr">
        <is>
          <t>APL LOGISTICS (CAMBODIA) PTE LTD.</t>
        </is>
      </c>
      <c r="D445" s="225" t="inlineStr">
        <is>
          <t>L001-100046460</t>
        </is>
      </c>
      <c r="E445" s="359" t="inlineStr">
        <is>
          <t>APLL25003184</t>
        </is>
      </c>
      <c r="F445" s="338" t="n">
        <v>45798</v>
      </c>
      <c r="G445" s="226" t="n"/>
      <c r="H445" s="627" t="n"/>
      <c r="I445" s="627" t="n">
        <v>722542</v>
      </c>
      <c r="J445" s="223" t="inlineStr">
        <is>
          <t>អនុញ្ញាត (បានប្រកាស)</t>
        </is>
      </c>
      <c r="K445" s="223" t="n"/>
      <c r="L445" s="626">
        <f>I445</f>
        <v/>
      </c>
      <c r="M445" s="598">
        <f>I445-L445</f>
        <v/>
      </c>
      <c r="N445" s="223" t="n"/>
      <c r="O445" s="228">
        <f>U445=E445</f>
        <v/>
      </c>
      <c r="P445" s="228">
        <f>MONTH(F445)-MONTH(T445)</f>
        <v/>
      </c>
      <c r="Q445" s="228">
        <f>$B$5=X445</f>
        <v/>
      </c>
      <c r="R445" s="228">
        <f>I445-AD445</f>
        <v/>
      </c>
      <c r="S445" s="371" t="n"/>
      <c r="T445" s="372" t="n">
        <v>45798</v>
      </c>
      <c r="U445" s="371" t="inlineStr">
        <is>
          <t>APLL25003184</t>
        </is>
      </c>
      <c r="V445" s="371" t="n"/>
      <c r="W445" s="371" t="n"/>
      <c r="X445" s="371" t="n"/>
      <c r="Y445" s="371" t="inlineStr">
        <is>
          <t>ហូលីដេ ឌីហ្សាញ (ខេមបូឌា) ឯ.ក</t>
        </is>
      </c>
      <c r="Z445" s="373" t="n"/>
      <c r="AA445" s="373" t="n"/>
      <c r="AB445" s="371" t="n"/>
      <c r="AC445" s="371" t="n"/>
      <c r="AD445" s="373" t="n">
        <v>722542</v>
      </c>
      <c r="AE445" s="371" t="n"/>
      <c r="AF445" s="625" t="n"/>
    </row>
    <row r="446">
      <c r="A446" s="222">
        <f>A445+1</f>
        <v/>
      </c>
      <c r="B446" s="224" t="inlineStr">
        <is>
          <t>THC Fee-Ex</t>
        </is>
      </c>
      <c r="C446" s="224" t="inlineStr">
        <is>
          <t>APL LOGISTICS (CAMBODIA) PTE LTD.</t>
        </is>
      </c>
      <c r="D446" s="225" t="inlineStr">
        <is>
          <t>L001-100046460</t>
        </is>
      </c>
      <c r="E446" s="359" t="inlineStr">
        <is>
          <t>APLL25003132</t>
        </is>
      </c>
      <c r="F446" s="338" t="n">
        <v>45797</v>
      </c>
      <c r="G446" s="226" t="n"/>
      <c r="H446" s="627" t="n"/>
      <c r="I446" s="627" t="n">
        <v>284213</v>
      </c>
      <c r="J446" s="223" t="inlineStr">
        <is>
          <t>អនុញ្ញាត (បានប្រកាស)</t>
        </is>
      </c>
      <c r="K446" s="223" t="n"/>
      <c r="L446" s="626">
        <f>I446</f>
        <v/>
      </c>
      <c r="M446" s="598">
        <f>I446-L446</f>
        <v/>
      </c>
      <c r="N446" s="223" t="n"/>
      <c r="O446" s="228">
        <f>U446=E446</f>
        <v/>
      </c>
      <c r="P446" s="228">
        <f>MONTH(F446)-MONTH(T446)</f>
        <v/>
      </c>
      <c r="Q446" s="228">
        <f>$B$5=X446</f>
        <v/>
      </c>
      <c r="R446" s="228">
        <f>I446-AD446</f>
        <v/>
      </c>
      <c r="S446" s="371" t="inlineStr">
        <is>
          <t>Wrong invoice number</t>
        </is>
      </c>
      <c r="T446" s="372" t="n">
        <v>45797</v>
      </c>
      <c r="U446" s="371" t="inlineStr">
        <is>
          <t>APLL25003132</t>
        </is>
      </c>
      <c r="V446" s="371" t="n"/>
      <c r="W446" s="371" t="n"/>
      <c r="X446" s="371" t="n"/>
      <c r="Y446" s="371" t="inlineStr">
        <is>
          <t>ហូលីដេ ឌីហ្សាញ (ខេមបូឌា) ឯ.ក</t>
        </is>
      </c>
      <c r="Z446" s="373" t="n"/>
      <c r="AA446" s="373" t="n"/>
      <c r="AB446" s="371" t="n"/>
      <c r="AC446" s="371" t="n"/>
      <c r="AD446" s="373" t="n">
        <v>284213</v>
      </c>
      <c r="AE446" s="371" t="n"/>
      <c r="AF446" s="625" t="n"/>
    </row>
    <row r="447">
      <c r="A447" s="222">
        <f>A446+1</f>
        <v/>
      </c>
      <c r="B447" s="224" t="inlineStr">
        <is>
          <t>THC Fee-Ex</t>
        </is>
      </c>
      <c r="C447" s="224" t="inlineStr">
        <is>
          <t>APL LOGISTICS (CAMBODIA) PTE LTD.</t>
        </is>
      </c>
      <c r="D447" s="225" t="inlineStr">
        <is>
          <t>L001-100046460</t>
        </is>
      </c>
      <c r="E447" s="359" t="inlineStr">
        <is>
          <t>APLL25003187</t>
        </is>
      </c>
      <c r="F447" s="338" t="n">
        <v>45798</v>
      </c>
      <c r="G447" s="226" t="n"/>
      <c r="H447" s="627" t="n"/>
      <c r="I447" s="627" t="n">
        <v>564423</v>
      </c>
      <c r="J447" s="223" t="inlineStr">
        <is>
          <t>អនុញ្ញាត (បានប្រកាស)</t>
        </is>
      </c>
      <c r="K447" s="223" t="n"/>
      <c r="L447" s="626">
        <f>I447</f>
        <v/>
      </c>
      <c r="M447" s="598">
        <f>I447-L447</f>
        <v/>
      </c>
      <c r="N447" s="223" t="n"/>
      <c r="O447" s="228">
        <f>U447=E447</f>
        <v/>
      </c>
      <c r="P447" s="228">
        <f>MONTH(F447)-MONTH(T447)</f>
        <v/>
      </c>
      <c r="Q447" s="228">
        <f>$B$5=X447</f>
        <v/>
      </c>
      <c r="R447" s="228">
        <f>I447-AD447</f>
        <v/>
      </c>
      <c r="S447" s="371" t="n"/>
      <c r="T447" s="372" t="n">
        <v>45798</v>
      </c>
      <c r="U447" s="371" t="inlineStr">
        <is>
          <t>APLL25003187</t>
        </is>
      </c>
      <c r="V447" s="371" t="n"/>
      <c r="W447" s="371" t="n"/>
      <c r="X447" s="371" t="n"/>
      <c r="Y447" s="371" t="inlineStr">
        <is>
          <t>ហូលីដេ ឌីហ្សាញ (ខេមបូឌា) ឯ.ក</t>
        </is>
      </c>
      <c r="Z447" s="373" t="n"/>
      <c r="AA447" s="373" t="n"/>
      <c r="AB447" s="371" t="n"/>
      <c r="AC447" s="371" t="n"/>
      <c r="AD447" s="373" t="n">
        <v>564423</v>
      </c>
      <c r="AE447" s="371" t="n"/>
      <c r="AF447" s="625" t="n"/>
    </row>
    <row r="448">
      <c r="A448" s="222">
        <f>A447+1</f>
        <v/>
      </c>
      <c r="B448" s="224" t="inlineStr">
        <is>
          <t>THC Fee-Ex</t>
        </is>
      </c>
      <c r="C448" s="224" t="inlineStr">
        <is>
          <t>APL LOGISTICS (CAMBODIA) PTE LTD.</t>
        </is>
      </c>
      <c r="D448" s="225" t="inlineStr">
        <is>
          <t>L001-100046460</t>
        </is>
      </c>
      <c r="E448" s="359" t="inlineStr">
        <is>
          <t>APLL25003174</t>
        </is>
      </c>
      <c r="F448" s="338" t="n">
        <v>45798</v>
      </c>
      <c r="G448" s="226" t="n"/>
      <c r="H448" s="627" t="n"/>
      <c r="I448" s="627" t="n">
        <v>240180</v>
      </c>
      <c r="J448" s="223" t="inlineStr">
        <is>
          <t>អនុញ្ញាត (បានប្រកាស)</t>
        </is>
      </c>
      <c r="K448" s="223" t="n"/>
      <c r="L448" s="626">
        <f>I448</f>
        <v/>
      </c>
      <c r="M448" s="598">
        <f>I448-L448</f>
        <v/>
      </c>
      <c r="N448" s="223" t="n"/>
      <c r="O448" s="228">
        <f>U448=E448</f>
        <v/>
      </c>
      <c r="P448" s="228">
        <f>MONTH(F448)-MONTH(T448)</f>
        <v/>
      </c>
      <c r="Q448" s="228">
        <f>$B$5=X448</f>
        <v/>
      </c>
      <c r="R448" s="228">
        <f>I448-AD448</f>
        <v/>
      </c>
      <c r="S448" s="371" t="n"/>
      <c r="T448" s="372" t="n">
        <v>45798</v>
      </c>
      <c r="U448" s="371" t="inlineStr">
        <is>
          <t>APLL25003174</t>
        </is>
      </c>
      <c r="V448" s="371" t="n"/>
      <c r="W448" s="371" t="n"/>
      <c r="X448" s="371" t="n"/>
      <c r="Y448" s="371" t="inlineStr">
        <is>
          <t>ហូលីដេ ឌីហ្សាញ (ខេមបូឌា) ឯ.ក</t>
        </is>
      </c>
      <c r="Z448" s="373" t="n"/>
      <c r="AA448" s="373" t="n"/>
      <c r="AB448" s="371" t="n"/>
      <c r="AC448" s="371" t="n"/>
      <c r="AD448" s="373" t="n">
        <v>240180</v>
      </c>
      <c r="AE448" s="371" t="n"/>
      <c r="AF448" s="625" t="n"/>
    </row>
    <row r="449">
      <c r="A449" s="222">
        <f>A448+1</f>
        <v/>
      </c>
      <c r="B449" s="224" t="inlineStr">
        <is>
          <t>THC Fee-Ex</t>
        </is>
      </c>
      <c r="C449" s="224" t="inlineStr">
        <is>
          <t>APL LOGISTICS (CAMBODIA) PTE LTD.</t>
        </is>
      </c>
      <c r="D449" s="225" t="inlineStr">
        <is>
          <t>L001-100046460</t>
        </is>
      </c>
      <c r="E449" s="359" t="inlineStr">
        <is>
          <t>APLL25003031</t>
        </is>
      </c>
      <c r="F449" s="338" t="n">
        <v>45793</v>
      </c>
      <c r="G449" s="226" t="n"/>
      <c r="H449" s="627" t="n"/>
      <c r="I449" s="627" t="n">
        <v>1104552</v>
      </c>
      <c r="J449" s="223" t="inlineStr">
        <is>
          <t>អនុញ្ញាត (បានប្រកាស)</t>
        </is>
      </c>
      <c r="K449" s="223" t="n"/>
      <c r="L449" s="626">
        <f>I449</f>
        <v/>
      </c>
      <c r="M449" s="598">
        <f>I449-L449</f>
        <v/>
      </c>
      <c r="N449" s="223" t="n"/>
      <c r="O449" s="228">
        <f>U449=E449</f>
        <v/>
      </c>
      <c r="P449" s="228">
        <f>MONTH(F449)-MONTH(T449)</f>
        <v/>
      </c>
      <c r="Q449" s="228">
        <f>$B$5=X449</f>
        <v/>
      </c>
      <c r="R449" s="228">
        <f>I449-AD449</f>
        <v/>
      </c>
      <c r="S449" s="371" t="n"/>
      <c r="T449" s="372" t="n">
        <v>45793</v>
      </c>
      <c r="U449" s="371" t="inlineStr">
        <is>
          <t>APLL25003031</t>
        </is>
      </c>
      <c r="V449" s="371" t="n"/>
      <c r="W449" s="371" t="n"/>
      <c r="X449" s="371" t="n"/>
      <c r="Y449" s="371" t="inlineStr">
        <is>
          <t>ហូលីដេ ឌីហ្សាញ (ខេមបូឌា) ឯ.ក</t>
        </is>
      </c>
      <c r="Z449" s="373" t="n"/>
      <c r="AA449" s="373" t="n"/>
      <c r="AB449" s="371" t="n"/>
      <c r="AC449" s="371" t="n"/>
      <c r="AD449" s="373" t="n">
        <v>1104552</v>
      </c>
      <c r="AE449" s="371" t="n"/>
      <c r="AF449" s="625" t="n"/>
    </row>
    <row r="450">
      <c r="A450" s="222">
        <f>A449+1</f>
        <v/>
      </c>
      <c r="B450" s="224" t="inlineStr">
        <is>
          <t>THC Fee-Ex</t>
        </is>
      </c>
      <c r="C450" s="224" t="inlineStr">
        <is>
          <t>APL LOGISTICS (CAMBODIA) PTE LTD.</t>
        </is>
      </c>
      <c r="D450" s="225" t="inlineStr">
        <is>
          <t>L001-100046460</t>
        </is>
      </c>
      <c r="E450" s="359" t="inlineStr">
        <is>
          <t>APLL25003030</t>
        </is>
      </c>
      <c r="F450" s="338" t="n">
        <v>45793</v>
      </c>
      <c r="G450" s="226" t="n"/>
      <c r="H450" s="627" t="n"/>
      <c r="I450" s="627" t="n">
        <v>456228</v>
      </c>
      <c r="J450" s="223" t="inlineStr">
        <is>
          <t>អនុញ្ញាត (បានប្រកាស)</t>
        </is>
      </c>
      <c r="K450" s="223" t="n"/>
      <c r="L450" s="626">
        <f>I450</f>
        <v/>
      </c>
      <c r="M450" s="598">
        <f>I450-L450</f>
        <v/>
      </c>
      <c r="N450" s="223" t="n"/>
      <c r="O450" s="228">
        <f>U450=E450</f>
        <v/>
      </c>
      <c r="P450" s="228">
        <f>MONTH(F450)-MONTH(T450)</f>
        <v/>
      </c>
      <c r="Q450" s="228">
        <f>$B$5=X450</f>
        <v/>
      </c>
      <c r="R450" s="228">
        <f>I450-AD450</f>
        <v/>
      </c>
      <c r="S450" s="371" t="n"/>
      <c r="T450" s="372" t="n">
        <v>45793</v>
      </c>
      <c r="U450" s="371" t="inlineStr">
        <is>
          <t>APLL25003030</t>
        </is>
      </c>
      <c r="V450" s="371" t="n"/>
      <c r="W450" s="371" t="n"/>
      <c r="X450" s="371" t="n"/>
      <c r="Y450" s="371" t="inlineStr">
        <is>
          <t>ហូលីដេ ឌីហ្សាញ (ខេមបូឌា) ឯ.ក</t>
        </is>
      </c>
      <c r="Z450" s="373" t="n"/>
      <c r="AA450" s="373" t="n"/>
      <c r="AB450" s="371" t="n"/>
      <c r="AC450" s="371" t="n"/>
      <c r="AD450" s="373" t="n">
        <v>456228</v>
      </c>
      <c r="AE450" s="371" t="n"/>
      <c r="AF450" s="625" t="n"/>
    </row>
    <row r="451">
      <c r="A451" s="222">
        <f>A450+1</f>
        <v/>
      </c>
      <c r="B451" s="224" t="inlineStr">
        <is>
          <t>THC Fee-Ex</t>
        </is>
      </c>
      <c r="C451" s="224" t="inlineStr">
        <is>
          <t>APL LOGISTICS (CAMBODIA) PTE LTD.</t>
        </is>
      </c>
      <c r="D451" s="225" t="inlineStr">
        <is>
          <t>L001-100046460</t>
        </is>
      </c>
      <c r="E451" s="359" t="inlineStr">
        <is>
          <t>APLL25003029</t>
        </is>
      </c>
      <c r="F451" s="338" t="n">
        <v>45793</v>
      </c>
      <c r="G451" s="226" t="n"/>
      <c r="H451" s="627" t="n"/>
      <c r="I451" s="627" t="n">
        <v>132066</v>
      </c>
      <c r="J451" s="223" t="inlineStr">
        <is>
          <t>អនុញ្ញាត (បានប្រកាស)</t>
        </is>
      </c>
      <c r="K451" s="223" t="n"/>
      <c r="L451" s="626">
        <f>I451</f>
        <v/>
      </c>
      <c r="M451" s="598">
        <f>I451-L451</f>
        <v/>
      </c>
      <c r="N451" s="223" t="n"/>
      <c r="O451" s="228">
        <f>U451=E451</f>
        <v/>
      </c>
      <c r="P451" s="228">
        <f>MONTH(F451)-MONTH(T451)</f>
        <v/>
      </c>
      <c r="Q451" s="228">
        <f>$B$5=X451</f>
        <v/>
      </c>
      <c r="R451" s="228">
        <f>I451-AD451</f>
        <v/>
      </c>
      <c r="S451" s="371" t="n"/>
      <c r="T451" s="372" t="n">
        <v>45793</v>
      </c>
      <c r="U451" s="371" t="inlineStr">
        <is>
          <t>APLL25003029</t>
        </is>
      </c>
      <c r="V451" s="371" t="n"/>
      <c r="W451" s="371" t="n"/>
      <c r="X451" s="371" t="n"/>
      <c r="Y451" s="371" t="inlineStr">
        <is>
          <t>ហូលីដេ ឌីហ្សាញ (ខេមបូឌា) ឯ.ក</t>
        </is>
      </c>
      <c r="Z451" s="373" t="n"/>
      <c r="AA451" s="373" t="n"/>
      <c r="AB451" s="371" t="n"/>
      <c r="AC451" s="371" t="n"/>
      <c r="AD451" s="373" t="n">
        <v>132066</v>
      </c>
      <c r="AE451" s="371" t="n"/>
      <c r="AF451" s="625" t="n"/>
    </row>
    <row r="452">
      <c r="A452" s="222">
        <f>A451+1</f>
        <v/>
      </c>
      <c r="B452" s="224" t="inlineStr">
        <is>
          <t>THC Fee-Ex</t>
        </is>
      </c>
      <c r="C452" s="224" t="inlineStr">
        <is>
          <t>APL LOGISTICS (CAMBODIA) PTE LTD.</t>
        </is>
      </c>
      <c r="D452" s="225" t="inlineStr">
        <is>
          <t>L001-100046460</t>
        </is>
      </c>
      <c r="E452" s="359" t="inlineStr">
        <is>
          <t>APLL25003131</t>
        </is>
      </c>
      <c r="F452" s="338" t="n">
        <v>45797</v>
      </c>
      <c r="G452" s="226" t="n"/>
      <c r="H452" s="627" t="n"/>
      <c r="I452" s="627" t="n">
        <v>132099</v>
      </c>
      <c r="J452" s="223" t="inlineStr">
        <is>
          <t>អនុញ្ញាត (បានប្រកាស)</t>
        </is>
      </c>
      <c r="K452" s="223" t="n"/>
      <c r="L452" s="626">
        <f>I452</f>
        <v/>
      </c>
      <c r="M452" s="598">
        <f>I452-L452</f>
        <v/>
      </c>
      <c r="N452" s="223" t="n"/>
      <c r="O452" s="228">
        <f>U452=E452</f>
        <v/>
      </c>
      <c r="P452" s="228">
        <f>MONTH(F452)-MONTH(T452)</f>
        <v/>
      </c>
      <c r="Q452" s="228">
        <f>$B$5=X452</f>
        <v/>
      </c>
      <c r="R452" s="228">
        <f>I452-AD452</f>
        <v/>
      </c>
      <c r="S452" s="371" t="n"/>
      <c r="T452" s="372" t="n">
        <v>45797</v>
      </c>
      <c r="U452" s="371" t="inlineStr">
        <is>
          <t>APLL25003131</t>
        </is>
      </c>
      <c r="V452" s="371" t="n"/>
      <c r="W452" s="371" t="n"/>
      <c r="X452" s="371" t="n"/>
      <c r="Y452" s="371" t="inlineStr">
        <is>
          <t>ហូលីដេ ឌីហ្សាញ (ខេមបូឌា) ឯ.ក</t>
        </is>
      </c>
      <c r="Z452" s="373" t="n"/>
      <c r="AA452" s="373" t="n"/>
      <c r="AB452" s="371" t="n"/>
      <c r="AC452" s="371" t="n"/>
      <c r="AD452" s="373" t="n">
        <v>132099</v>
      </c>
      <c r="AE452" s="371" t="n"/>
      <c r="AF452" s="625" t="n"/>
    </row>
    <row r="453">
      <c r="A453" s="222">
        <f>A452+1</f>
        <v/>
      </c>
      <c r="B453" s="224" t="inlineStr">
        <is>
          <t>THC Fee-Ex</t>
        </is>
      </c>
      <c r="C453" s="224" t="inlineStr">
        <is>
          <t>APL LOGISTICS (CAMBODIA) PTE LTD.</t>
        </is>
      </c>
      <c r="D453" s="225" t="inlineStr">
        <is>
          <t>L001-100046460</t>
        </is>
      </c>
      <c r="E453" s="359" t="inlineStr">
        <is>
          <t>APLL25003088</t>
        </is>
      </c>
      <c r="F453" s="338" t="n">
        <v>45796</v>
      </c>
      <c r="G453" s="226" t="n"/>
      <c r="H453" s="627" t="n"/>
      <c r="I453" s="627" t="n">
        <v>222111</v>
      </c>
      <c r="J453" s="223" t="inlineStr">
        <is>
          <t>អនុញ្ញាត (បានប្រកាស)</t>
        </is>
      </c>
      <c r="K453" s="223" t="n"/>
      <c r="L453" s="626">
        <f>I453</f>
        <v/>
      </c>
      <c r="M453" s="598">
        <f>I453-L453</f>
        <v/>
      </c>
      <c r="N453" s="223" t="n"/>
      <c r="O453" s="228">
        <f>U453=E453</f>
        <v/>
      </c>
      <c r="P453" s="228">
        <f>MONTH(F453)-MONTH(T453)</f>
        <v/>
      </c>
      <c r="Q453" s="228">
        <f>$B$5=X453</f>
        <v/>
      </c>
      <c r="R453" s="228">
        <f>I453-AD453</f>
        <v/>
      </c>
      <c r="S453" s="371" t="n"/>
      <c r="T453" s="372" t="n">
        <v>45796</v>
      </c>
      <c r="U453" s="371" t="inlineStr">
        <is>
          <t>APLL25003088</t>
        </is>
      </c>
      <c r="V453" s="371" t="n"/>
      <c r="W453" s="371" t="n"/>
      <c r="X453" s="371" t="n"/>
      <c r="Y453" s="371" t="inlineStr">
        <is>
          <t>ហូលីដេ ឌីហ្សាញ (ខេមបូឌា) ឯ.ក</t>
        </is>
      </c>
      <c r="Z453" s="373" t="n"/>
      <c r="AA453" s="373" t="n"/>
      <c r="AB453" s="371" t="n"/>
      <c r="AC453" s="371" t="n"/>
      <c r="AD453" s="373" t="n">
        <v>222111</v>
      </c>
      <c r="AE453" s="371" t="n"/>
      <c r="AF453" s="625" t="n"/>
    </row>
    <row r="454">
      <c r="A454" s="222">
        <f>A453+1</f>
        <v/>
      </c>
      <c r="B454" s="224" t="inlineStr">
        <is>
          <t>THC Fee-Ex</t>
        </is>
      </c>
      <c r="C454" s="224" t="inlineStr">
        <is>
          <t>APL LOGISTICS (CAMBODIA) PTE LTD.</t>
        </is>
      </c>
      <c r="D454" s="225" t="inlineStr">
        <is>
          <t>L001-100046460</t>
        </is>
      </c>
      <c r="E454" s="359" t="inlineStr">
        <is>
          <t>APLL25003134</t>
        </is>
      </c>
      <c r="F454" s="338" t="n">
        <v>45797</v>
      </c>
      <c r="G454" s="226" t="n"/>
      <c r="H454" s="627" t="n"/>
      <c r="I454" s="627" t="n">
        <v>252189</v>
      </c>
      <c r="J454" s="223" t="inlineStr">
        <is>
          <t>អនុញ្ញាត (បានប្រកាស)</t>
        </is>
      </c>
      <c r="K454" s="223" t="n"/>
      <c r="L454" s="626">
        <f>I454</f>
        <v/>
      </c>
      <c r="M454" s="598">
        <f>I454-L454</f>
        <v/>
      </c>
      <c r="N454" s="223" t="n"/>
      <c r="O454" s="228">
        <f>U454=E454</f>
        <v/>
      </c>
      <c r="P454" s="228">
        <f>MONTH(F454)-MONTH(T454)</f>
        <v/>
      </c>
      <c r="Q454" s="228">
        <f>$B$5=X454</f>
        <v/>
      </c>
      <c r="R454" s="228">
        <f>I454-AD454</f>
        <v/>
      </c>
      <c r="S454" s="371" t="n"/>
      <c r="T454" s="372" t="n">
        <v>45797</v>
      </c>
      <c r="U454" s="371" t="inlineStr">
        <is>
          <t>APLL25003134</t>
        </is>
      </c>
      <c r="V454" s="371" t="n"/>
      <c r="W454" s="371" t="n"/>
      <c r="X454" s="371" t="n"/>
      <c r="Y454" s="371" t="inlineStr">
        <is>
          <t>ហូលីដេ ឌីហ្សាញ (ខេមបូឌា) ឯ.ក</t>
        </is>
      </c>
      <c r="Z454" s="373" t="n"/>
      <c r="AA454" s="373" t="n"/>
      <c r="AB454" s="371" t="n"/>
      <c r="AC454" s="371" t="n"/>
      <c r="AD454" s="373" t="n">
        <v>252189</v>
      </c>
      <c r="AE454" s="371" t="n"/>
      <c r="AF454" s="625" t="n"/>
    </row>
    <row r="455">
      <c r="A455" s="222">
        <f>A454+1</f>
        <v/>
      </c>
      <c r="B455" s="224" t="inlineStr">
        <is>
          <t>THC Fee-Ex</t>
        </is>
      </c>
      <c r="C455" s="224" t="inlineStr">
        <is>
          <t>APL LOGISTICS (CAMBODIA) PTE LTD.</t>
        </is>
      </c>
      <c r="D455" s="225" t="inlineStr">
        <is>
          <t>L001-100046460</t>
        </is>
      </c>
      <c r="E455" s="359" t="inlineStr">
        <is>
          <t>APLL25003479</t>
        </is>
      </c>
      <c r="F455" s="338" t="n">
        <v>45806</v>
      </c>
      <c r="G455" s="226" t="n"/>
      <c r="H455" s="627" t="n"/>
      <c r="I455" s="627" t="n">
        <v>372372</v>
      </c>
      <c r="J455" s="223" t="inlineStr">
        <is>
          <t>អនុញ្ញាត (បានប្រកាស)</t>
        </is>
      </c>
      <c r="K455" s="223" t="n"/>
      <c r="L455" s="626">
        <f>I455</f>
        <v/>
      </c>
      <c r="M455" s="598">
        <f>I455-L455</f>
        <v/>
      </c>
      <c r="N455" s="223" t="n"/>
      <c r="O455" s="228">
        <f>U455=E455</f>
        <v/>
      </c>
      <c r="P455" s="228">
        <f>MONTH(F455)-MONTH(T455)</f>
        <v/>
      </c>
      <c r="Q455" s="228">
        <f>$B$5=X455</f>
        <v/>
      </c>
      <c r="R455" s="228">
        <f>I455-AD455</f>
        <v/>
      </c>
      <c r="S455" s="371" t="n"/>
      <c r="T455" s="372" t="n">
        <v>45806</v>
      </c>
      <c r="U455" s="371" t="inlineStr">
        <is>
          <t>APLL25003479</t>
        </is>
      </c>
      <c r="V455" s="371" t="n"/>
      <c r="W455" s="371" t="n"/>
      <c r="X455" s="371" t="n"/>
      <c r="Y455" s="371" t="inlineStr">
        <is>
          <t>ហូលីដេ ឌីហ្សាញ (ខេមបូឌា) ឯ.ក</t>
        </is>
      </c>
      <c r="Z455" s="373" t="n"/>
      <c r="AA455" s="373" t="n"/>
      <c r="AB455" s="371" t="n"/>
      <c r="AC455" s="371" t="n"/>
      <c r="AD455" s="373" t="n">
        <v>372372</v>
      </c>
      <c r="AE455" s="371" t="n"/>
      <c r="AF455" s="625" t="n"/>
    </row>
    <row r="456">
      <c r="A456" s="222">
        <f>A455+1</f>
        <v/>
      </c>
      <c r="B456" s="224" t="inlineStr">
        <is>
          <t>THC Fee-Ex</t>
        </is>
      </c>
      <c r="C456" s="224" t="inlineStr">
        <is>
          <t>APL LOGISTICS (CAMBODIA) PTE LTD.</t>
        </is>
      </c>
      <c r="D456" s="225" t="inlineStr">
        <is>
          <t>L001-100046460</t>
        </is>
      </c>
      <c r="E456" s="359" t="inlineStr">
        <is>
          <t>APLL25003482</t>
        </is>
      </c>
      <c r="F456" s="338" t="n">
        <v>45806</v>
      </c>
      <c r="G456" s="226" t="n"/>
      <c r="H456" s="627" t="n"/>
      <c r="I456" s="627" t="n">
        <v>240240</v>
      </c>
      <c r="J456" s="223" t="inlineStr">
        <is>
          <t>អនុញ្ញាត (បានប្រកាស)</t>
        </is>
      </c>
      <c r="K456" s="223" t="n"/>
      <c r="L456" s="626">
        <f>I456</f>
        <v/>
      </c>
      <c r="M456" s="598">
        <f>I456-L456</f>
        <v/>
      </c>
      <c r="N456" s="223" t="n"/>
      <c r="O456" s="228">
        <f>U456=E456</f>
        <v/>
      </c>
      <c r="P456" s="228">
        <f>MONTH(F456)-MONTH(T456)</f>
        <v/>
      </c>
      <c r="Q456" s="228">
        <f>$B$5=X456</f>
        <v/>
      </c>
      <c r="R456" s="228">
        <f>I456-AD456</f>
        <v/>
      </c>
      <c r="S456" s="371" t="n"/>
      <c r="T456" s="372" t="n">
        <v>45806</v>
      </c>
      <c r="U456" s="371" t="inlineStr">
        <is>
          <t>APLL25003482</t>
        </is>
      </c>
      <c r="V456" s="371" t="n"/>
      <c r="W456" s="371" t="n"/>
      <c r="X456" s="371" t="n"/>
      <c r="Y456" s="371" t="inlineStr">
        <is>
          <t>ហូលីដេ ឌីហ្សាញ (ខេមបូឌា) ឯ.ក</t>
        </is>
      </c>
      <c r="Z456" s="373" t="n"/>
      <c r="AA456" s="373" t="n"/>
      <c r="AB456" s="371" t="n"/>
      <c r="AC456" s="371" t="n"/>
      <c r="AD456" s="373" t="n">
        <v>240240</v>
      </c>
      <c r="AE456" s="371" t="n"/>
      <c r="AF456" s="625" t="n"/>
    </row>
    <row r="457">
      <c r="A457" s="222">
        <f>A456+1</f>
        <v/>
      </c>
      <c r="B457" s="224" t="inlineStr">
        <is>
          <t>Trucking &amp; Clearance-Ex</t>
        </is>
      </c>
      <c r="C457" s="224" t="inlineStr">
        <is>
          <t>KR GLOBAL LOGISTICS CO., LTD.</t>
        </is>
      </c>
      <c r="D457" s="225" t="inlineStr">
        <is>
          <t>K005-902004162</t>
        </is>
      </c>
      <c r="E457" s="359" t="inlineStr">
        <is>
          <t>KR252263</t>
        </is>
      </c>
      <c r="F457" s="338" t="n">
        <v>45786</v>
      </c>
      <c r="G457" s="226" t="n"/>
      <c r="H457" s="627" t="n"/>
      <c r="I457" s="627" t="n">
        <v>341056</v>
      </c>
      <c r="J457" s="223" t="inlineStr">
        <is>
          <t>អនុញ្ញាត (បានប្រកាស)</t>
        </is>
      </c>
      <c r="K457" s="223" t="n"/>
      <c r="L457" s="626">
        <f>I457</f>
        <v/>
      </c>
      <c r="M457" s="598">
        <f>I457-L457</f>
        <v/>
      </c>
      <c r="N457" s="223" t="n"/>
      <c r="O457" s="228">
        <f>U457=E457</f>
        <v/>
      </c>
      <c r="P457" s="228">
        <f>MONTH(F457)-MONTH(T457)</f>
        <v/>
      </c>
      <c r="Q457" s="228">
        <f>$B$5=X457</f>
        <v/>
      </c>
      <c r="R457" s="228">
        <f>I457-AD457</f>
        <v/>
      </c>
      <c r="S457" s="371" t="n"/>
      <c r="T457" s="372" t="n">
        <v>45786</v>
      </c>
      <c r="U457" s="371" t="inlineStr">
        <is>
          <t>KR252263</t>
        </is>
      </c>
      <c r="V457" s="371" t="n"/>
      <c r="W457" s="371" t="n"/>
      <c r="X457" s="371" t="n"/>
      <c r="Y457" s="371" t="inlineStr">
        <is>
          <t>ហូលីដេ ឌីហ្សាញ (ខេមបូឌា) ឯ.ក</t>
        </is>
      </c>
      <c r="Z457" s="373" t="n"/>
      <c r="AA457" s="373" t="n"/>
      <c r="AB457" s="371" t="n"/>
      <c r="AC457" s="371" t="n"/>
      <c r="AD457" s="373" t="n">
        <v>341056</v>
      </c>
      <c r="AE457" s="371" t="n"/>
      <c r="AF457" s="625" t="n"/>
    </row>
    <row r="458">
      <c r="A458" s="222">
        <f>A457+1</f>
        <v/>
      </c>
      <c r="B458" s="224" t="inlineStr">
        <is>
          <t>Trucking &amp; Clearance-Ex</t>
        </is>
      </c>
      <c r="C458" s="224" t="inlineStr">
        <is>
          <t>KR GLOBAL LOGISTICS CO., LTD.</t>
        </is>
      </c>
      <c r="D458" s="225" t="inlineStr">
        <is>
          <t>K005-902004162</t>
        </is>
      </c>
      <c r="E458" s="359" t="inlineStr">
        <is>
          <t>KR252255</t>
        </is>
      </c>
      <c r="F458" s="338" t="n">
        <v>45786</v>
      </c>
      <c r="G458" s="226" t="n"/>
      <c r="H458" s="627" t="n"/>
      <c r="I458" s="627" t="n">
        <v>678509</v>
      </c>
      <c r="J458" s="223" t="inlineStr">
        <is>
          <t>អនុញ្ញាត (បានប្រកាស)</t>
        </is>
      </c>
      <c r="K458" s="223" t="n"/>
      <c r="L458" s="626">
        <f>I458</f>
        <v/>
      </c>
      <c r="M458" s="598">
        <f>I458-L458</f>
        <v/>
      </c>
      <c r="N458" s="223" t="n"/>
      <c r="O458" s="228">
        <f>U458=E458</f>
        <v/>
      </c>
      <c r="P458" s="228">
        <f>MONTH(F458)-MONTH(T458)</f>
        <v/>
      </c>
      <c r="Q458" s="228">
        <f>$B$5=X458</f>
        <v/>
      </c>
      <c r="R458" s="228">
        <f>I458-AD458</f>
        <v/>
      </c>
      <c r="S458" s="371" t="n"/>
      <c r="T458" s="372" t="n">
        <v>45786</v>
      </c>
      <c r="U458" s="371" t="inlineStr">
        <is>
          <t>KR252255</t>
        </is>
      </c>
      <c r="V458" s="371" t="n"/>
      <c r="W458" s="371" t="n"/>
      <c r="X458" s="371" t="n"/>
      <c r="Y458" s="371" t="inlineStr">
        <is>
          <t>ហូលីដេ ឌីហ្សាញ (ខេមបូឌា) ឯ.ក</t>
        </is>
      </c>
      <c r="Z458" s="373" t="n"/>
      <c r="AA458" s="373" t="n"/>
      <c r="AB458" s="371" t="n"/>
      <c r="AC458" s="371" t="n"/>
      <c r="AD458" s="373" t="n">
        <v>678509</v>
      </c>
      <c r="AE458" s="371" t="n"/>
      <c r="AF458" s="625" t="n"/>
    </row>
    <row r="459">
      <c r="A459" s="222">
        <f>A458+1</f>
        <v/>
      </c>
      <c r="B459" s="224" t="inlineStr">
        <is>
          <t>Lift-Off-Ex</t>
        </is>
      </c>
      <c r="C459" s="224" t="inlineStr">
        <is>
          <t>PHNOM PENH AUTONOMOUS PORT "PPAP"</t>
        </is>
      </c>
      <c r="D459" s="225" t="inlineStr">
        <is>
          <t>L001-100044999</t>
        </is>
      </c>
      <c r="E459" s="359" t="inlineStr">
        <is>
          <t>INV20250539174</t>
        </is>
      </c>
      <c r="F459" s="338" t="n">
        <v>45796</v>
      </c>
      <c r="G459" s="226" t="n"/>
      <c r="H459" s="627" t="n"/>
      <c r="I459" s="627" t="n">
        <v>28014</v>
      </c>
      <c r="J459" s="223" t="inlineStr">
        <is>
          <t>អនុញ្ញាត (បានប្រកាស)</t>
        </is>
      </c>
      <c r="K459" s="223" t="n"/>
      <c r="L459" s="626">
        <f>I459</f>
        <v/>
      </c>
      <c r="M459" s="598">
        <f>I459-L459</f>
        <v/>
      </c>
      <c r="N459" s="223" t="n"/>
      <c r="O459" s="228">
        <f>U459=E459</f>
        <v/>
      </c>
      <c r="P459" s="228">
        <f>MONTH(F459)-MONTH(T459)</f>
        <v/>
      </c>
      <c r="Q459" s="228">
        <f>$B$5=X459</f>
        <v/>
      </c>
      <c r="R459" s="228">
        <f>I459-AD459</f>
        <v/>
      </c>
      <c r="S459" s="371" t="n"/>
      <c r="T459" s="372" t="n">
        <v>45796</v>
      </c>
      <c r="U459" s="371" t="inlineStr">
        <is>
          <t>INV20250539174</t>
        </is>
      </c>
      <c r="V459" s="371" t="n">
        <v>0</v>
      </c>
      <c r="W459" s="371" t="inlineStr">
        <is>
          <t>បុគ្គលជាប់អាករ</t>
        </is>
      </c>
      <c r="X459" s="371" t="inlineStr">
        <is>
          <t>L001-901640009</t>
        </is>
      </c>
      <c r="Y459" s="371" t="inlineStr">
        <is>
          <t>ហូលីដេ ឌីហ្សាញ (ខេមបូឌា) ឯ.ក</t>
        </is>
      </c>
      <c r="Z459" s="373" t="n">
        <v>308154</v>
      </c>
      <c r="AA459" s="373" t="n">
        <v>280140</v>
      </c>
      <c r="AB459" s="371" t="n">
        <v>0</v>
      </c>
      <c r="AC459" s="371" t="inlineStr">
        <is>
          <t>-</t>
        </is>
      </c>
      <c r="AD459" s="373" t="n">
        <v>28014</v>
      </c>
      <c r="AE459" s="371" t="n">
        <v>0</v>
      </c>
      <c r="AF459" s="625" t="n">
        <v>0</v>
      </c>
      <c r="AG459" s="205" t="n">
        <v>0</v>
      </c>
      <c r="AH459" s="205" t="n">
        <v>0</v>
      </c>
      <c r="AI459" s="205" t="n">
        <v>0</v>
      </c>
      <c r="AJ459" s="205" t="n">
        <v>0</v>
      </c>
      <c r="AK459" s="205" t="n">
        <v>0</v>
      </c>
      <c r="AL459" s="205" t="n">
        <v>0.01</v>
      </c>
      <c r="AM459" s="205" t="n">
        <v>0</v>
      </c>
      <c r="AN459" s="205" t="inlineStr">
        <is>
          <t>ចំណូលពីសេវាកម្ម (លើកដាក់ទំនិញ)</t>
        </is>
      </c>
    </row>
    <row r="460">
      <c r="A460" s="222">
        <f>A459+1</f>
        <v/>
      </c>
      <c r="B460" s="224" t="inlineStr">
        <is>
          <t>Trucking &amp; Clearance-Ex</t>
        </is>
      </c>
      <c r="C460" s="224" t="inlineStr">
        <is>
          <t>KR GLOBAL LOGISTICS CO., LTD.</t>
        </is>
      </c>
      <c r="D460" s="225" t="inlineStr">
        <is>
          <t>K005-902004162</t>
        </is>
      </c>
      <c r="E460" s="359" t="inlineStr">
        <is>
          <t>KR252254</t>
        </is>
      </c>
      <c r="F460" s="338" t="n">
        <v>45786</v>
      </c>
      <c r="G460" s="226" t="n"/>
      <c r="H460" s="627" t="n"/>
      <c r="I460" s="627" t="n">
        <v>163923</v>
      </c>
      <c r="J460" s="223" t="inlineStr">
        <is>
          <t>អនុញ្ញាត (បានប្រកាស)</t>
        </is>
      </c>
      <c r="K460" s="223" t="n"/>
      <c r="L460" s="626">
        <f>I460</f>
        <v/>
      </c>
      <c r="M460" s="598">
        <f>I460-L460</f>
        <v/>
      </c>
      <c r="N460" s="223" t="n"/>
      <c r="O460" s="228">
        <f>U460=E460</f>
        <v/>
      </c>
      <c r="P460" s="228">
        <f>MONTH(F460)-MONTH(T460)</f>
        <v/>
      </c>
      <c r="Q460" s="228">
        <f>$B$5=X460</f>
        <v/>
      </c>
      <c r="R460" s="228">
        <f>I460-AD460</f>
        <v/>
      </c>
      <c r="S460" s="371" t="n"/>
      <c r="T460" s="372" t="n">
        <v>45786</v>
      </c>
      <c r="U460" s="371" t="inlineStr">
        <is>
          <t>KR252254</t>
        </is>
      </c>
      <c r="V460" s="371" t="n"/>
      <c r="W460" s="371" t="n"/>
      <c r="X460" s="371" t="n"/>
      <c r="Y460" s="371" t="inlineStr">
        <is>
          <t>ហូលីដេ ឌីហ្សាញ (ខេមបូឌា) ឯ.ក</t>
        </is>
      </c>
      <c r="Z460" s="373" t="n"/>
      <c r="AA460" s="373" t="n"/>
      <c r="AB460" s="371" t="n"/>
      <c r="AC460" s="371" t="n"/>
      <c r="AD460" s="373" t="n">
        <v>163923</v>
      </c>
      <c r="AE460" s="371" t="n"/>
      <c r="AF460" s="625" t="n"/>
    </row>
    <row r="461">
      <c r="A461" s="222">
        <f>A460+1</f>
        <v/>
      </c>
      <c r="B461" s="224" t="inlineStr">
        <is>
          <t>Lift-Off-Ex</t>
        </is>
      </c>
      <c r="C461" s="224" t="inlineStr">
        <is>
          <t>PHNOM PENH AUTONOMOUS PORT "PPAP"</t>
        </is>
      </c>
      <c r="D461" s="225" t="inlineStr">
        <is>
          <t>L001-100044999</t>
        </is>
      </c>
      <c r="E461" s="359" t="inlineStr">
        <is>
          <t>INV20250539144</t>
        </is>
      </c>
      <c r="F461" s="338" t="n">
        <v>45796</v>
      </c>
      <c r="G461" s="226" t="n"/>
      <c r="H461" s="627" t="n"/>
      <c r="I461" s="627" t="n">
        <v>28014</v>
      </c>
      <c r="J461" s="223" t="inlineStr">
        <is>
          <t>អនុញ្ញាត (បានប្រកាស)</t>
        </is>
      </c>
      <c r="K461" s="223" t="n"/>
      <c r="L461" s="626">
        <f>I461</f>
        <v/>
      </c>
      <c r="M461" s="598">
        <f>I461-L461</f>
        <v/>
      </c>
      <c r="N461" s="223" t="n"/>
      <c r="O461" s="228">
        <f>U461=E461</f>
        <v/>
      </c>
      <c r="P461" s="228">
        <f>MONTH(F461)-MONTH(T461)</f>
        <v/>
      </c>
      <c r="Q461" s="228">
        <f>$B$5=X461</f>
        <v/>
      </c>
      <c r="R461" s="228">
        <f>I461-AD461</f>
        <v/>
      </c>
      <c r="S461" s="371" t="n"/>
      <c r="T461" s="372" t="n">
        <v>45796</v>
      </c>
      <c r="U461" s="371" t="inlineStr">
        <is>
          <t>INV20250539144</t>
        </is>
      </c>
      <c r="V461" s="371" t="n">
        <v>0</v>
      </c>
      <c r="W461" s="371" t="inlineStr">
        <is>
          <t>បុគ្គលជាប់អាករ</t>
        </is>
      </c>
      <c r="X461" s="371" t="inlineStr">
        <is>
          <t>L001-901640009</t>
        </is>
      </c>
      <c r="Y461" s="371" t="inlineStr">
        <is>
          <t>ហូលីដេ ឌីហ្សាញ (ខេមបូឌា) ឯ.ក</t>
        </is>
      </c>
      <c r="Z461" s="373" t="n">
        <v>308154</v>
      </c>
      <c r="AA461" s="373" t="n">
        <v>280140</v>
      </c>
      <c r="AB461" s="371" t="n">
        <v>0</v>
      </c>
      <c r="AC461" s="371" t="inlineStr">
        <is>
          <t>-</t>
        </is>
      </c>
      <c r="AD461" s="373" t="n">
        <v>28014</v>
      </c>
      <c r="AE461" s="371" t="n">
        <v>0</v>
      </c>
      <c r="AF461" s="625" t="n">
        <v>0</v>
      </c>
      <c r="AG461" s="205" t="n">
        <v>0</v>
      </c>
      <c r="AH461" s="205" t="n">
        <v>0</v>
      </c>
      <c r="AI461" s="205" t="n">
        <v>0</v>
      </c>
      <c r="AJ461" s="205" t="n">
        <v>0</v>
      </c>
      <c r="AK461" s="205" t="n">
        <v>0</v>
      </c>
      <c r="AL461" s="205" t="n">
        <v>0.01</v>
      </c>
      <c r="AM461" s="205" t="n">
        <v>0</v>
      </c>
      <c r="AN461" s="205" t="inlineStr">
        <is>
          <t>ចំណូលពីសេវាកម្ម (លើកដាក់ទំនិញ)</t>
        </is>
      </c>
    </row>
    <row r="462">
      <c r="A462" s="222">
        <f>A461+1</f>
        <v/>
      </c>
      <c r="B462" s="224" t="inlineStr">
        <is>
          <t>Trucking &amp; Clearance-Ex</t>
        </is>
      </c>
      <c r="C462" s="224" t="inlineStr">
        <is>
          <t>KR GLOBAL LOGISTICS CO., LTD.</t>
        </is>
      </c>
      <c r="D462" s="225" t="inlineStr">
        <is>
          <t>K005-902004162</t>
        </is>
      </c>
      <c r="E462" s="359" t="inlineStr">
        <is>
          <t>KR252253</t>
        </is>
      </c>
      <c r="F462" s="338" t="n">
        <v>45786</v>
      </c>
      <c r="G462" s="226" t="n"/>
      <c r="H462" s="627" t="n"/>
      <c r="I462" s="627" t="n">
        <v>210558</v>
      </c>
      <c r="J462" s="223" t="inlineStr">
        <is>
          <t>អនុញ្ញាត (បានប្រកាស)</t>
        </is>
      </c>
      <c r="K462" s="223" t="n"/>
      <c r="L462" s="626">
        <f>I462</f>
        <v/>
      </c>
      <c r="M462" s="598">
        <f>I462-L462</f>
        <v/>
      </c>
      <c r="N462" s="223" t="n"/>
      <c r="O462" s="228">
        <f>U462=E462</f>
        <v/>
      </c>
      <c r="P462" s="228">
        <f>MONTH(F462)-MONTH(T462)</f>
        <v/>
      </c>
      <c r="Q462" s="228">
        <f>$B$5=X462</f>
        <v/>
      </c>
      <c r="R462" s="228">
        <f>I462-AD462</f>
        <v/>
      </c>
      <c r="S462" s="371" t="n"/>
      <c r="T462" s="372" t="n">
        <v>45786</v>
      </c>
      <c r="U462" s="371" t="inlineStr">
        <is>
          <t>KR252253</t>
        </is>
      </c>
      <c r="V462" s="371" t="n"/>
      <c r="W462" s="371" t="n"/>
      <c r="X462" s="371" t="n"/>
      <c r="Y462" s="371" t="inlineStr">
        <is>
          <t>ហូលីដេ ឌីហ្សាញ (ខេមបូឌា) ឯ.ក</t>
        </is>
      </c>
      <c r="Z462" s="373" t="n"/>
      <c r="AA462" s="373" t="n"/>
      <c r="AB462" s="371" t="n"/>
      <c r="AC462" s="371" t="n"/>
      <c r="AD462" s="373" t="n">
        <v>210558</v>
      </c>
      <c r="AE462" s="371" t="n"/>
      <c r="AF462" s="625" t="n"/>
    </row>
    <row r="463">
      <c r="A463" s="222">
        <f>A462+1</f>
        <v/>
      </c>
      <c r="B463" s="224" t="inlineStr">
        <is>
          <t>Lift-On &amp; Lift-On-Im</t>
        </is>
      </c>
      <c r="C463" s="224" t="inlineStr">
        <is>
          <t>Port Autonome Du Sihanoukville</t>
        </is>
      </c>
      <c r="D463" s="225" t="inlineStr">
        <is>
          <t>L001-100044638</t>
        </is>
      </c>
      <c r="E463" s="359" t="n">
        <v>202500123712</v>
      </c>
      <c r="F463" s="338" t="n">
        <v>45804</v>
      </c>
      <c r="G463" s="226" t="n"/>
      <c r="H463" s="627" t="n"/>
      <c r="I463" s="627" t="n">
        <v>487565</v>
      </c>
      <c r="J463" s="223" t="inlineStr">
        <is>
          <t>អនុញ្ញាត (បានប្រកាស)</t>
        </is>
      </c>
      <c r="K463" s="223" t="n"/>
      <c r="L463" s="626">
        <f>I463</f>
        <v/>
      </c>
      <c r="M463" s="598">
        <f>I463-L463</f>
        <v/>
      </c>
      <c r="N463" s="223" t="n"/>
      <c r="O463" s="228">
        <f>U463=E463</f>
        <v/>
      </c>
      <c r="P463" s="228">
        <f>MONTH(F463)-MONTH(T463)</f>
        <v/>
      </c>
      <c r="Q463" s="228">
        <f>$B$5=X463</f>
        <v/>
      </c>
      <c r="R463" s="228">
        <f>I463-AD463</f>
        <v/>
      </c>
      <c r="S463" s="371" t="n"/>
      <c r="T463" s="372" t="n">
        <v>45804</v>
      </c>
      <c r="U463" s="371" t="n">
        <v>202500123712</v>
      </c>
      <c r="V463" s="371" t="n"/>
      <c r="W463" s="371" t="inlineStr">
        <is>
          <t>បុគ្គលជាប់អាករ</t>
        </is>
      </c>
      <c r="X463" s="371" t="inlineStr">
        <is>
          <t>L001-901640009</t>
        </is>
      </c>
      <c r="Y463" s="371" t="inlineStr">
        <is>
          <t>ហូលីដេ ឌីហ្សាញ (ខេមបូឌា) ឯ.ក</t>
        </is>
      </c>
      <c r="Z463" s="373" t="n">
        <v>5363219</v>
      </c>
      <c r="AA463" s="373" t="n">
        <v>4875654</v>
      </c>
      <c r="AB463" s="371" t="n">
        <v>0</v>
      </c>
      <c r="AC463" s="371" t="inlineStr">
        <is>
          <t>-</t>
        </is>
      </c>
      <c r="AD463" s="373" t="n">
        <v>487565</v>
      </c>
      <c r="AE463" s="371" t="n"/>
      <c r="AF463" s="625" t="n"/>
    </row>
    <row r="464">
      <c r="A464" s="222">
        <f>A463+1</f>
        <v/>
      </c>
      <c r="B464" s="224" t="inlineStr">
        <is>
          <t>Supplier Audit,Transportation Fee</t>
        </is>
      </c>
      <c r="C464" s="224" t="inlineStr">
        <is>
          <t>SGS (CAMBODIA) LIMITED</t>
        </is>
      </c>
      <c r="D464" s="225" t="inlineStr">
        <is>
          <t>L001-107030519</t>
        </is>
      </c>
      <c r="E464" s="359" t="n">
        <v>10041707</v>
      </c>
      <c r="F464" s="338" t="n">
        <v>45646</v>
      </c>
      <c r="G464" s="226" t="n"/>
      <c r="H464" s="627" t="n"/>
      <c r="I464" s="627" t="n">
        <v>1442462</v>
      </c>
      <c r="J464" s="223" t="inlineStr">
        <is>
          <t>អនុញ្ញាត (បានប្រកាស)</t>
        </is>
      </c>
      <c r="K464" s="223" t="n"/>
      <c r="L464" s="626">
        <f>I464</f>
        <v/>
      </c>
      <c r="M464" s="598">
        <f>I464-L464</f>
        <v/>
      </c>
      <c r="N464" s="223" t="n"/>
      <c r="O464" s="228">
        <f>U464=E464</f>
        <v/>
      </c>
      <c r="P464" s="228">
        <f>MONTH(F464)-MONTH(T464)</f>
        <v/>
      </c>
      <c r="Q464" s="228">
        <f>$B$5=X464</f>
        <v/>
      </c>
      <c r="R464" s="228">
        <f>I464-AD464</f>
        <v/>
      </c>
      <c r="S464" s="371" t="n"/>
      <c r="T464" s="372" t="n">
        <v>45652</v>
      </c>
      <c r="U464" s="371" t="n">
        <v>10041707</v>
      </c>
      <c r="V464" s="371" t="n">
        <v>0</v>
      </c>
      <c r="W464" s="371" t="inlineStr">
        <is>
          <t>បុគ្គលជាប់អាករ</t>
        </is>
      </c>
      <c r="X464" s="371" t="inlineStr">
        <is>
          <t>L001-901640009</t>
        </is>
      </c>
      <c r="Y464" s="371" t="inlineStr">
        <is>
          <t>ហូលីដេ ឌីហ្សាញ (ខេមបូឌា) ឯ.ក</t>
        </is>
      </c>
      <c r="Z464" s="373" t="n">
        <v>15867082</v>
      </c>
      <c r="AA464" s="373" t="n">
        <v>14424620</v>
      </c>
      <c r="AB464" s="371" t="n">
        <v>0</v>
      </c>
      <c r="AC464" s="371" t="inlineStr">
        <is>
          <t>-</t>
        </is>
      </c>
      <c r="AD464" s="373" t="n">
        <v>1442462</v>
      </c>
      <c r="AE464" s="371" t="n">
        <v>0</v>
      </c>
      <c r="AF464" s="625" t="n">
        <v>0</v>
      </c>
      <c r="AG464" s="205" t="n">
        <v>0</v>
      </c>
      <c r="AH464" s="205" t="n">
        <v>0</v>
      </c>
      <c r="AI464" s="205" t="n">
        <v>0</v>
      </c>
      <c r="AJ464" s="205" t="n">
        <v>0</v>
      </c>
      <c r="AK464" s="205" t="n">
        <v>0</v>
      </c>
      <c r="AL464" s="205" t="n">
        <v>0.01</v>
      </c>
      <c r="AM464" s="205" t="n">
        <v>0</v>
      </c>
      <c r="AN464" s="205" t="inlineStr">
        <is>
          <t>Supplier Audit - Mdy - Other ind_RBS - Kn</t>
        </is>
      </c>
      <c r="AO464" s="205" t="inlineStr">
        <is>
          <t>បានប្រកាសនិងបង់ពន្ធ</t>
        </is>
      </c>
    </row>
    <row r="465">
      <c r="A465" s="222">
        <f>A464+1</f>
        <v/>
      </c>
      <c r="B465" s="224" t="inlineStr">
        <is>
          <t>Trucking &amp; Clearance-Im</t>
        </is>
      </c>
      <c r="C465" s="224" t="inlineStr">
        <is>
          <t>BRILLIANT TRANSPORT AND TRADING Co., Ltd.</t>
        </is>
      </c>
      <c r="D465" s="225" t="inlineStr">
        <is>
          <t>K002-100089305</t>
        </is>
      </c>
      <c r="E465" s="359" t="inlineStr">
        <is>
          <t>BTT25-0001170</t>
        </is>
      </c>
      <c r="F465" s="338" t="n">
        <v>45804</v>
      </c>
      <c r="G465" s="226" t="n"/>
      <c r="H465" s="627" t="n"/>
      <c r="I465" s="627" t="n">
        <v>3314484</v>
      </c>
      <c r="J465" s="223" t="inlineStr">
        <is>
          <t>អនុញ្ញាត (បានប្រកាស)</t>
        </is>
      </c>
      <c r="K465" s="223" t="n"/>
      <c r="L465" s="626">
        <f>I465</f>
        <v/>
      </c>
      <c r="M465" s="598">
        <f>I465-L465</f>
        <v/>
      </c>
      <c r="N465" s="223" t="n"/>
      <c r="O465" s="228">
        <f>U465=E465</f>
        <v/>
      </c>
      <c r="P465" s="228">
        <f>MONTH(F465)-MONTH(T465)</f>
        <v/>
      </c>
      <c r="Q465" s="228">
        <f>$B$5=X465</f>
        <v/>
      </c>
      <c r="R465" s="228">
        <f>I465-AD465</f>
        <v/>
      </c>
      <c r="S465" s="371" t="n"/>
      <c r="T465" s="372" t="n">
        <v>45804</v>
      </c>
      <c r="U465" s="371" t="inlineStr">
        <is>
          <t>BTT25-0001170</t>
        </is>
      </c>
      <c r="V465" s="371" t="n"/>
      <c r="W465" s="371" t="n"/>
      <c r="X465" s="371" t="n"/>
      <c r="Y465" s="371" t="inlineStr">
        <is>
          <t>ហូលីដេ ឌីហ្សាញ (ខេមបូឌា) ឯ.ក</t>
        </is>
      </c>
      <c r="Z465" s="373" t="n"/>
      <c r="AA465" s="373" t="n"/>
      <c r="AB465" s="371" t="n"/>
      <c r="AC465" s="371" t="n"/>
      <c r="AD465" s="373" t="n">
        <v>3314484</v>
      </c>
      <c r="AE465" s="371" t="n"/>
      <c r="AF465" s="625" t="n"/>
      <c r="AN465" s="205" t="inlineStr">
        <is>
          <t>Truking / Service</t>
        </is>
      </c>
    </row>
    <row r="466">
      <c r="A466" s="222">
        <f>A465+1</f>
        <v/>
      </c>
      <c r="B466" s="224" t="inlineStr">
        <is>
          <t>Lift-On &amp; Lift-On-Im</t>
        </is>
      </c>
      <c r="C466" s="224" t="inlineStr">
        <is>
          <t>Port Autonome Du Sihanoukville</t>
        </is>
      </c>
      <c r="D466" s="225" t="inlineStr">
        <is>
          <t>L001-100044638</t>
        </is>
      </c>
      <c r="E466" s="359" t="n">
        <v>202500123701</v>
      </c>
      <c r="F466" s="338" t="n">
        <v>45804</v>
      </c>
      <c r="G466" s="226" t="n"/>
      <c r="H466" s="627" t="n"/>
      <c r="I466" s="627" t="n">
        <v>440730</v>
      </c>
      <c r="J466" s="223" t="inlineStr">
        <is>
          <t>អនុញ្ញាត (បានប្រកាស)</t>
        </is>
      </c>
      <c r="K466" s="223" t="n"/>
      <c r="L466" s="626">
        <f>I466</f>
        <v/>
      </c>
      <c r="M466" s="598">
        <f>I466-L466</f>
        <v/>
      </c>
      <c r="N466" s="223" t="n"/>
      <c r="O466" s="228">
        <f>U466=E466</f>
        <v/>
      </c>
      <c r="P466" s="228">
        <f>MONTH(F466)-MONTH(T466)</f>
        <v/>
      </c>
      <c r="Q466" s="228">
        <f>$B$5=X466</f>
        <v/>
      </c>
      <c r="R466" s="228">
        <f>I466-AD466</f>
        <v/>
      </c>
      <c r="S466" s="371" t="n"/>
      <c r="T466" s="372" t="n">
        <v>45804</v>
      </c>
      <c r="U466" s="371" t="n">
        <v>202500123701</v>
      </c>
      <c r="V466" s="371" t="n"/>
      <c r="W466" s="371" t="inlineStr">
        <is>
          <t>បុគ្គលជាប់អាករ</t>
        </is>
      </c>
      <c r="X466" s="371" t="inlineStr">
        <is>
          <t>L001-901640009</t>
        </is>
      </c>
      <c r="Y466" s="371" t="inlineStr">
        <is>
          <t>ហូលីដេ ឌីហ្សាញ (ខេមបូឌា) ឯ.ក</t>
        </is>
      </c>
      <c r="Z466" s="373" t="n">
        <v>4848033</v>
      </c>
      <c r="AA466" s="373" t="n">
        <v>4407303</v>
      </c>
      <c r="AB466" s="371" t="n">
        <v>0</v>
      </c>
      <c r="AC466" s="371" t="inlineStr">
        <is>
          <t>-</t>
        </is>
      </c>
      <c r="AD466" s="373" t="n">
        <v>440730</v>
      </c>
      <c r="AE466" s="371" t="n"/>
      <c r="AF466" s="625" t="n"/>
    </row>
    <row r="467">
      <c r="A467" s="222">
        <f>A466+1</f>
        <v/>
      </c>
      <c r="B467" s="224" t="inlineStr">
        <is>
          <t>Terminal Handling Charge-Im</t>
        </is>
      </c>
      <c r="C467" s="224" t="inlineStr">
        <is>
          <t>SITC CONTAINER LINES (CAMBODIA) Co., Ltd.</t>
        </is>
      </c>
      <c r="D467" s="225" t="inlineStr">
        <is>
          <t>L001-107035863</t>
        </is>
      </c>
      <c r="E467" s="359" t="inlineStr">
        <is>
          <t>SITC2025-018059</t>
        </is>
      </c>
      <c r="F467" s="338" t="n">
        <v>45801</v>
      </c>
      <c r="G467" s="226" t="n"/>
      <c r="H467" s="627" t="n"/>
      <c r="I467" s="627" t="n">
        <v>2641980</v>
      </c>
      <c r="J467" s="223" t="inlineStr">
        <is>
          <t>ព្យួរទុក (មិនមានទិន្នន័យ)</t>
        </is>
      </c>
      <c r="K467" s="223" t="n"/>
      <c r="L467" s="626" t="n"/>
      <c r="M467" s="598">
        <f>I467-L467</f>
        <v/>
      </c>
      <c r="N467" s="223" t="n"/>
      <c r="O467" s="228">
        <f>U467=E467</f>
        <v/>
      </c>
      <c r="P467" s="228">
        <f>MONTH(F467)-MONTH(T467)</f>
        <v/>
      </c>
      <c r="Q467" s="228">
        <f>$B$5=X467</f>
        <v/>
      </c>
      <c r="R467" s="228">
        <f>I467-AD467</f>
        <v/>
      </c>
      <c r="S467" s="371" t="n"/>
      <c r="T467" s="372" t="n">
        <v>45801</v>
      </c>
      <c r="U467" s="371" t="inlineStr">
        <is>
          <t>SITC2025-018059</t>
        </is>
      </c>
      <c r="V467" s="371" t="n"/>
      <c r="W467" s="371" t="inlineStr">
        <is>
          <t>បុគ្គលជាប់អាករ</t>
        </is>
      </c>
      <c r="X467" s="371" t="inlineStr">
        <is>
          <t>K010-901503099</t>
        </is>
      </c>
      <c r="Y467" s="371" t="inlineStr">
        <is>
          <t>លឹម ពេជ្រ អ៊ីមផត &amp; អិចផត</t>
        </is>
      </c>
      <c r="Z467" s="373" t="n">
        <v>1585188</v>
      </c>
      <c r="AA467" s="373" t="n">
        <v>1441080</v>
      </c>
      <c r="AB467" s="371" t="n">
        <v>0</v>
      </c>
      <c r="AC467" s="371" t="inlineStr">
        <is>
          <t>-</t>
        </is>
      </c>
      <c r="AD467" s="373" t="n">
        <v>144108</v>
      </c>
      <c r="AE467" s="371" t="n">
        <v>0</v>
      </c>
      <c r="AF467" s="625" t="n">
        <v>0</v>
      </c>
      <c r="AG467" s="205" t="n">
        <v>0</v>
      </c>
      <c r="AH467" s="205" t="n">
        <v>0</v>
      </c>
      <c r="AI467" s="205" t="n">
        <v>0</v>
      </c>
      <c r="AJ467" s="205" t="n">
        <v>0</v>
      </c>
      <c r="AK467" s="205" t="n">
        <v>0</v>
      </c>
      <c r="AL467" s="205" t="n">
        <v>0.01</v>
      </c>
      <c r="AN467" s="205" t="inlineStr">
        <is>
          <t>EMF,EIB,KHDOC,KHT</t>
        </is>
      </c>
    </row>
    <row r="468">
      <c r="A468" s="222">
        <f>A467+1</f>
        <v/>
      </c>
      <c r="B468" s="224" t="inlineStr">
        <is>
          <t>Lift-Off-Ex</t>
        </is>
      </c>
      <c r="C468" s="224" t="inlineStr">
        <is>
          <t>PHNOM PENH AUTONOMOUS PORT "PPAP"</t>
        </is>
      </c>
      <c r="D468" s="225" t="inlineStr">
        <is>
          <t>L001-100044999</t>
        </is>
      </c>
      <c r="E468" s="359" t="inlineStr">
        <is>
          <t>INV20250539175</t>
        </is>
      </c>
      <c r="F468" s="338" t="n">
        <v>45796</v>
      </c>
      <c r="G468" s="226" t="n"/>
      <c r="H468" s="627" t="n"/>
      <c r="I468" s="627" t="n">
        <v>112056</v>
      </c>
      <c r="J468" s="223" t="inlineStr">
        <is>
          <t>អនុញ្ញាត (បានប្រកាស)</t>
        </is>
      </c>
      <c r="K468" s="223" t="n"/>
      <c r="L468" s="626">
        <f>I468</f>
        <v/>
      </c>
      <c r="M468" s="598">
        <f>I468-L468</f>
        <v/>
      </c>
      <c r="N468" s="223" t="n"/>
      <c r="O468" s="228">
        <f>U468=E468</f>
        <v/>
      </c>
      <c r="P468" s="228">
        <f>MONTH(F468)-MONTH(T468)</f>
        <v/>
      </c>
      <c r="Q468" s="228">
        <f>$B$5=X468</f>
        <v/>
      </c>
      <c r="R468" s="228">
        <f>I468-AD468</f>
        <v/>
      </c>
      <c r="S468" s="371" t="n"/>
      <c r="T468" s="372" t="n">
        <v>45796</v>
      </c>
      <c r="U468" s="371" t="inlineStr">
        <is>
          <t>INV20250539175</t>
        </is>
      </c>
      <c r="V468" s="371" t="n">
        <v>0</v>
      </c>
      <c r="W468" s="371" t="inlineStr">
        <is>
          <t>បុគ្គលជាប់អាករ</t>
        </is>
      </c>
      <c r="X468" s="371" t="inlineStr">
        <is>
          <t>L001-901640009</t>
        </is>
      </c>
      <c r="Y468" s="371" t="inlineStr">
        <is>
          <t>ហូលីដេ ឌីហ្សាញ (ខេមបូឌា) ឯ.ក</t>
        </is>
      </c>
      <c r="Z468" s="373" t="n">
        <v>1232616</v>
      </c>
      <c r="AA468" s="373" t="n">
        <v>1120560</v>
      </c>
      <c r="AB468" s="371" t="n">
        <v>0</v>
      </c>
      <c r="AC468" s="371" t="inlineStr">
        <is>
          <t>-</t>
        </is>
      </c>
      <c r="AD468" s="373" t="n">
        <v>112056</v>
      </c>
      <c r="AE468" s="371" t="n">
        <v>0</v>
      </c>
      <c r="AF468" s="625" t="n">
        <v>0</v>
      </c>
      <c r="AG468" s="205" t="n">
        <v>0</v>
      </c>
      <c r="AH468" s="205" t="n">
        <v>0</v>
      </c>
      <c r="AI468" s="205" t="n">
        <v>0</v>
      </c>
      <c r="AJ468" s="205" t="n">
        <v>0</v>
      </c>
      <c r="AK468" s="205" t="n">
        <v>0</v>
      </c>
      <c r="AL468" s="205" t="n">
        <v>0.01</v>
      </c>
      <c r="AM468" s="205" t="n">
        <v>0</v>
      </c>
      <c r="AN468" s="205" t="inlineStr">
        <is>
          <t>ចំណូលពីសេវាកម្ម (លើកដាក់ទំនិញ)</t>
        </is>
      </c>
    </row>
    <row r="469">
      <c r="A469" s="222">
        <f>A468+1</f>
        <v/>
      </c>
      <c r="B469" s="224" t="inlineStr">
        <is>
          <t>Trucking &amp; Clearance-Ex</t>
        </is>
      </c>
      <c r="C469" s="224" t="inlineStr">
        <is>
          <t>KR GLOBAL LOGISTICS CO., LTD.</t>
        </is>
      </c>
      <c r="D469" s="225" t="inlineStr">
        <is>
          <t>K005-902004162</t>
        </is>
      </c>
      <c r="E469" s="359" t="inlineStr">
        <is>
          <t>KR252256</t>
        </is>
      </c>
      <c r="F469" s="338" t="n">
        <v>45786</v>
      </c>
      <c r="G469" s="226" t="n"/>
      <c r="H469" s="627" t="n"/>
      <c r="I469" s="627" t="n">
        <v>852639</v>
      </c>
      <c r="J469" s="223" t="inlineStr">
        <is>
          <t>អនុញ្ញាត (បានប្រកាស)</t>
        </is>
      </c>
      <c r="K469" s="223" t="n"/>
      <c r="L469" s="626">
        <f>I469</f>
        <v/>
      </c>
      <c r="M469" s="598">
        <f>I469-L469</f>
        <v/>
      </c>
      <c r="N469" s="223" t="n"/>
      <c r="O469" s="228">
        <f>U469=E469</f>
        <v/>
      </c>
      <c r="P469" s="228">
        <f>MONTH(F469)-MONTH(T469)</f>
        <v/>
      </c>
      <c r="Q469" s="228">
        <f>$B$5=X469</f>
        <v/>
      </c>
      <c r="R469" s="228">
        <f>I469-AD469</f>
        <v/>
      </c>
      <c r="S469" s="371" t="n"/>
      <c r="T469" s="372" t="n">
        <v>45786</v>
      </c>
      <c r="U469" s="371" t="inlineStr">
        <is>
          <t>KR252256</t>
        </is>
      </c>
      <c r="V469" s="371" t="n"/>
      <c r="W469" s="371" t="n"/>
      <c r="X469" s="371" t="n"/>
      <c r="Y469" s="371" t="inlineStr">
        <is>
          <t>ហូលីដេ ឌីហ្សាញ (ខេមបូឌា) ឯ.ក</t>
        </is>
      </c>
      <c r="Z469" s="373" t="n"/>
      <c r="AA469" s="373" t="n"/>
      <c r="AB469" s="371" t="n"/>
      <c r="AC469" s="371" t="n"/>
      <c r="AD469" s="373" t="n">
        <v>852639</v>
      </c>
      <c r="AE469" s="371" t="n"/>
      <c r="AF469" s="625" t="n"/>
    </row>
    <row r="470">
      <c r="A470" s="222">
        <f>A469+1</f>
        <v/>
      </c>
      <c r="B470" s="224" t="inlineStr">
        <is>
          <t>Lift-Off-Ex</t>
        </is>
      </c>
      <c r="C470" s="224" t="inlineStr">
        <is>
          <t>PHNOM PENH AUTONOMOUS PORT "PPAP"</t>
        </is>
      </c>
      <c r="D470" s="225" t="inlineStr">
        <is>
          <t>L001-100044999</t>
        </is>
      </c>
      <c r="E470" s="359" t="inlineStr">
        <is>
          <t>INV20250539148</t>
        </is>
      </c>
      <c r="F470" s="338" t="n">
        <v>45796</v>
      </c>
      <c r="G470" s="226" t="n"/>
      <c r="H470" s="627" t="n"/>
      <c r="I470" s="627" t="n">
        <v>56028</v>
      </c>
      <c r="J470" s="223" t="inlineStr">
        <is>
          <t>អនុញ្ញាត (បានប្រកាស)</t>
        </is>
      </c>
      <c r="K470" s="223" t="n"/>
      <c r="L470" s="626">
        <f>I470</f>
        <v/>
      </c>
      <c r="M470" s="598">
        <f>I470-L470</f>
        <v/>
      </c>
      <c r="N470" s="223" t="n"/>
      <c r="O470" s="228">
        <f>U470=E470</f>
        <v/>
      </c>
      <c r="P470" s="228">
        <f>MONTH(F470)-MONTH(T470)</f>
        <v/>
      </c>
      <c r="Q470" s="228">
        <f>$B$5=X470</f>
        <v/>
      </c>
      <c r="R470" s="228">
        <f>I470-AD470</f>
        <v/>
      </c>
      <c r="S470" s="371" t="n"/>
      <c r="T470" s="372" t="n">
        <v>45796</v>
      </c>
      <c r="U470" s="371" t="inlineStr">
        <is>
          <t>INV20250539148</t>
        </is>
      </c>
      <c r="V470" s="371" t="n">
        <v>0</v>
      </c>
      <c r="W470" s="371" t="inlineStr">
        <is>
          <t>បុគ្គលជាប់អាករ</t>
        </is>
      </c>
      <c r="X470" s="371" t="inlineStr">
        <is>
          <t>L001-901640009</t>
        </is>
      </c>
      <c r="Y470" s="371" t="inlineStr">
        <is>
          <t>ហូលីដេ ឌីហ្សាញ (ខេមបូឌា) ឯ.ក</t>
        </is>
      </c>
      <c r="Z470" s="373" t="n">
        <v>616308</v>
      </c>
      <c r="AA470" s="373" t="n">
        <v>560280</v>
      </c>
      <c r="AB470" s="371" t="n">
        <v>0</v>
      </c>
      <c r="AC470" s="371" t="inlineStr">
        <is>
          <t>-</t>
        </is>
      </c>
      <c r="AD470" s="373" t="n">
        <v>56028</v>
      </c>
      <c r="AE470" s="371" t="n">
        <v>0</v>
      </c>
      <c r="AF470" s="625" t="n">
        <v>0</v>
      </c>
      <c r="AG470" s="205" t="n">
        <v>0</v>
      </c>
      <c r="AH470" s="205" t="n">
        <v>0</v>
      </c>
      <c r="AI470" s="205" t="n">
        <v>0</v>
      </c>
      <c r="AJ470" s="205" t="n">
        <v>0</v>
      </c>
      <c r="AK470" s="205" t="n">
        <v>0</v>
      </c>
      <c r="AL470" s="205" t="n">
        <v>0.01</v>
      </c>
      <c r="AM470" s="205" t="n">
        <v>0</v>
      </c>
      <c r="AN470" s="205" t="inlineStr">
        <is>
          <t>ចំណូលពីសេវាកម្ម (លើកដាក់ទំនិញ)</t>
        </is>
      </c>
    </row>
    <row r="471">
      <c r="A471" s="222">
        <f>A470+1</f>
        <v/>
      </c>
      <c r="B471" s="224" t="inlineStr">
        <is>
          <t>Trucking &amp; Clearance-Ex</t>
        </is>
      </c>
      <c r="C471" s="224" t="inlineStr">
        <is>
          <t>KR GLOBAL LOGISTICS CO., LTD.</t>
        </is>
      </c>
      <c r="D471" s="225" t="inlineStr">
        <is>
          <t>K005-902004162</t>
        </is>
      </c>
      <c r="E471" s="359" t="inlineStr">
        <is>
          <t>KR252262</t>
        </is>
      </c>
      <c r="F471" s="338" t="n">
        <v>45786</v>
      </c>
      <c r="G471" s="226" t="n"/>
      <c r="H471" s="627" t="n"/>
      <c r="I471" s="627" t="n">
        <v>1534750</v>
      </c>
      <c r="J471" s="223" t="inlineStr">
        <is>
          <t>អនុញ្ញាត (បានប្រកាស)</t>
        </is>
      </c>
      <c r="K471" s="223" t="n"/>
      <c r="L471" s="626">
        <f>I471</f>
        <v/>
      </c>
      <c r="M471" s="598">
        <f>I471-L471</f>
        <v/>
      </c>
      <c r="N471" s="223" t="n"/>
      <c r="O471" s="228">
        <f>U471=E471</f>
        <v/>
      </c>
      <c r="P471" s="228">
        <f>MONTH(F471)-MONTH(T471)</f>
        <v/>
      </c>
      <c r="Q471" s="228">
        <f>$B$5=X471</f>
        <v/>
      </c>
      <c r="R471" s="228">
        <f>I471-AD471</f>
        <v/>
      </c>
      <c r="S471" s="371" t="n"/>
      <c r="T471" s="372" t="n">
        <v>45786</v>
      </c>
      <c r="U471" s="371" t="inlineStr">
        <is>
          <t>KR252262</t>
        </is>
      </c>
      <c r="V471" s="371" t="n"/>
      <c r="W471" s="371" t="n"/>
      <c r="X471" s="371" t="n"/>
      <c r="Y471" s="371" t="inlineStr">
        <is>
          <t>ហូលីដេ ឌីហ្សាញ (ខេមបូឌា) ឯ.ក</t>
        </is>
      </c>
      <c r="Z471" s="373" t="n"/>
      <c r="AA471" s="373" t="n"/>
      <c r="AB471" s="371" t="n"/>
      <c r="AC471" s="371" t="n"/>
      <c r="AD471" s="373" t="n">
        <v>1534750</v>
      </c>
      <c r="AE471" s="371" t="n"/>
      <c r="AF471" s="625" t="n"/>
    </row>
    <row r="472">
      <c r="A472" s="222">
        <f>A471+1</f>
        <v/>
      </c>
      <c r="B472" s="224" t="inlineStr">
        <is>
          <t>Lift-Off-Ex</t>
        </is>
      </c>
      <c r="C472" s="224" t="inlineStr">
        <is>
          <t>PHNOM PENH AUTONOMOUS PORT "PPAP"</t>
        </is>
      </c>
      <c r="D472" s="225" t="inlineStr">
        <is>
          <t>L001-100044999</t>
        </is>
      </c>
      <c r="E472" s="359" t="inlineStr">
        <is>
          <t>INV20250539150</t>
        </is>
      </c>
      <c r="F472" s="338" t="n">
        <v>45796</v>
      </c>
      <c r="G472" s="226" t="n"/>
      <c r="H472" s="627" t="n"/>
      <c r="I472" s="627" t="n">
        <v>56028</v>
      </c>
      <c r="J472" s="223" t="inlineStr">
        <is>
          <t>អនុញ្ញាត (បានប្រកាស)</t>
        </is>
      </c>
      <c r="K472" s="223" t="n"/>
      <c r="L472" s="626">
        <f>I472</f>
        <v/>
      </c>
      <c r="M472" s="598">
        <f>I472-L472</f>
        <v/>
      </c>
      <c r="N472" s="223" t="n"/>
      <c r="O472" s="228">
        <f>U472=E472</f>
        <v/>
      </c>
      <c r="P472" s="228">
        <f>MONTH(F472)-MONTH(T472)</f>
        <v/>
      </c>
      <c r="Q472" s="228">
        <f>$B$5=X472</f>
        <v/>
      </c>
      <c r="R472" s="228">
        <f>I472-AD472</f>
        <v/>
      </c>
      <c r="S472" s="371" t="n"/>
      <c r="T472" s="372" t="n">
        <v>45796</v>
      </c>
      <c r="U472" s="371" t="inlineStr">
        <is>
          <t>INV20250539150</t>
        </is>
      </c>
      <c r="V472" s="371" t="n">
        <v>0</v>
      </c>
      <c r="W472" s="371" t="inlineStr">
        <is>
          <t>បុគ្គលជាប់អាករ</t>
        </is>
      </c>
      <c r="X472" s="371" t="inlineStr">
        <is>
          <t>L001-901640009</t>
        </is>
      </c>
      <c r="Y472" s="371" t="inlineStr">
        <is>
          <t>ហូលីដេ ឌីហ្សាញ (ខេមបូឌា) ឯ.ក</t>
        </is>
      </c>
      <c r="Z472" s="373" t="n">
        <v>616308</v>
      </c>
      <c r="AA472" s="373" t="n">
        <v>560280</v>
      </c>
      <c r="AB472" s="371" t="n">
        <v>0</v>
      </c>
      <c r="AC472" s="371" t="inlineStr">
        <is>
          <t>-</t>
        </is>
      </c>
      <c r="AD472" s="373" t="n">
        <v>56028</v>
      </c>
      <c r="AE472" s="371" t="n">
        <v>0</v>
      </c>
      <c r="AF472" s="625" t="n">
        <v>0</v>
      </c>
      <c r="AG472" s="205" t="n">
        <v>0</v>
      </c>
      <c r="AH472" s="205" t="n">
        <v>0</v>
      </c>
      <c r="AI472" s="205" t="n">
        <v>0</v>
      </c>
      <c r="AJ472" s="205" t="n">
        <v>0</v>
      </c>
      <c r="AK472" s="205" t="n">
        <v>0</v>
      </c>
      <c r="AL472" s="205" t="n">
        <v>0.01</v>
      </c>
      <c r="AM472" s="205" t="n">
        <v>0</v>
      </c>
      <c r="AN472" s="205" t="inlineStr">
        <is>
          <t>ចំណូលពីសេវាកម្ម (លើកដាក់ទំនិញ)</t>
        </is>
      </c>
    </row>
    <row r="473">
      <c r="A473" s="222">
        <f>A472+1</f>
        <v/>
      </c>
      <c r="B473" s="224" t="inlineStr">
        <is>
          <t>Trucking &amp; Clearance-Ex</t>
        </is>
      </c>
      <c r="C473" s="224" t="inlineStr">
        <is>
          <t>KR GLOBAL LOGISTICS CO., LTD.</t>
        </is>
      </c>
      <c r="D473" s="225" t="inlineStr">
        <is>
          <t>K005-902004162</t>
        </is>
      </c>
      <c r="E473" s="359" t="inlineStr">
        <is>
          <t>KR252261</t>
        </is>
      </c>
      <c r="F473" s="338" t="n">
        <v>45786</v>
      </c>
      <c r="G473" s="226" t="n"/>
      <c r="H473" s="627" t="n"/>
      <c r="I473" s="627" t="n">
        <v>333250</v>
      </c>
      <c r="J473" s="223" t="inlineStr">
        <is>
          <t>អនុញ្ញាត (បានប្រកាស)</t>
        </is>
      </c>
      <c r="K473" s="223" t="n"/>
      <c r="L473" s="626">
        <f>I473</f>
        <v/>
      </c>
      <c r="M473" s="598">
        <f>I473-L473</f>
        <v/>
      </c>
      <c r="N473" s="223" t="n"/>
      <c r="O473" s="228">
        <f>U473=E473</f>
        <v/>
      </c>
      <c r="P473" s="228">
        <f>MONTH(F473)-MONTH(T473)</f>
        <v/>
      </c>
      <c r="Q473" s="228">
        <f>$B$5=X473</f>
        <v/>
      </c>
      <c r="R473" s="228">
        <f>I473-AD473</f>
        <v/>
      </c>
      <c r="S473" s="371" t="n"/>
      <c r="T473" s="372" t="n">
        <v>45786</v>
      </c>
      <c r="U473" s="371" t="inlineStr">
        <is>
          <t>KR252261</t>
        </is>
      </c>
      <c r="V473" s="371" t="n"/>
      <c r="W473" s="371" t="n"/>
      <c r="X473" s="371" t="n"/>
      <c r="Y473" s="371" t="inlineStr">
        <is>
          <t>ហូលីដេ ឌីហ្សាញ (ខេមបូឌា) ឯ.ក</t>
        </is>
      </c>
      <c r="Z473" s="373" t="n"/>
      <c r="AA473" s="373" t="n"/>
      <c r="AB473" s="371" t="n"/>
      <c r="AC473" s="371" t="n"/>
      <c r="AD473" s="373" t="n">
        <v>333250</v>
      </c>
      <c r="AE473" s="371" t="n"/>
      <c r="AF473" s="625" t="n"/>
    </row>
    <row r="474">
      <c r="A474" s="222">
        <f>A473+1</f>
        <v/>
      </c>
      <c r="B474" s="224" t="inlineStr">
        <is>
          <t>Lift-Off-Ex</t>
        </is>
      </c>
      <c r="C474" s="224" t="inlineStr">
        <is>
          <t>PHNOM PENH AUTONOMOUS PORT "PPAP"</t>
        </is>
      </c>
      <c r="D474" s="225" t="inlineStr">
        <is>
          <t>L001-100044999</t>
        </is>
      </c>
      <c r="E474" s="359" t="inlineStr">
        <is>
          <t>INV20250539149</t>
        </is>
      </c>
      <c r="F474" s="338" t="n">
        <v>45796</v>
      </c>
      <c r="G474" s="226" t="n"/>
      <c r="H474" s="627" t="n"/>
      <c r="I474" s="627" t="n">
        <v>28014</v>
      </c>
      <c r="J474" s="223" t="inlineStr">
        <is>
          <t>អនុញ្ញាត (បានប្រកាស)</t>
        </is>
      </c>
      <c r="K474" s="223" t="n"/>
      <c r="L474" s="626">
        <f>I474</f>
        <v/>
      </c>
      <c r="M474" s="598">
        <f>I474-L474</f>
        <v/>
      </c>
      <c r="N474" s="223" t="n"/>
      <c r="O474" s="228">
        <f>U474=E474</f>
        <v/>
      </c>
      <c r="P474" s="228">
        <f>MONTH(F474)-MONTH(T474)</f>
        <v/>
      </c>
      <c r="Q474" s="228">
        <f>$B$5=X474</f>
        <v/>
      </c>
      <c r="R474" s="228">
        <f>I474-AD474</f>
        <v/>
      </c>
      <c r="S474" s="371" t="n"/>
      <c r="T474" s="372" t="n">
        <v>45796</v>
      </c>
      <c r="U474" s="371" t="inlineStr">
        <is>
          <t>INV20250539149</t>
        </is>
      </c>
      <c r="V474" s="371" t="n">
        <v>0</v>
      </c>
      <c r="W474" s="371" t="inlineStr">
        <is>
          <t>បុគ្គលជាប់អាករ</t>
        </is>
      </c>
      <c r="X474" s="371" t="inlineStr">
        <is>
          <t>L001-901640009</t>
        </is>
      </c>
      <c r="Y474" s="371" t="inlineStr">
        <is>
          <t>ហូលីដេ ឌីហ្សាញ (ខេមបូឌា) ឯ.ក</t>
        </is>
      </c>
      <c r="Z474" s="373" t="n">
        <v>308154</v>
      </c>
      <c r="AA474" s="373" t="n">
        <v>280140</v>
      </c>
      <c r="AB474" s="371" t="n">
        <v>0</v>
      </c>
      <c r="AC474" s="371" t="inlineStr">
        <is>
          <t>-</t>
        </is>
      </c>
      <c r="AD474" s="373" t="n">
        <v>28014</v>
      </c>
      <c r="AE474" s="371" t="n">
        <v>0</v>
      </c>
      <c r="AF474" s="625" t="n">
        <v>0</v>
      </c>
      <c r="AG474" s="205" t="n">
        <v>0</v>
      </c>
      <c r="AH474" s="205" t="n">
        <v>0</v>
      </c>
      <c r="AI474" s="205" t="n">
        <v>0</v>
      </c>
      <c r="AJ474" s="205" t="n">
        <v>0</v>
      </c>
      <c r="AK474" s="205" t="n">
        <v>0</v>
      </c>
      <c r="AL474" s="205" t="n">
        <v>0.01</v>
      </c>
      <c r="AM474" s="205" t="n">
        <v>0</v>
      </c>
      <c r="AN474" s="205" t="inlineStr">
        <is>
          <t>ចំណូលពីសេវាកម្ម (លើកដាក់ទំនិញ)</t>
        </is>
      </c>
    </row>
    <row r="475">
      <c r="A475" s="222">
        <f>A474+1</f>
        <v/>
      </c>
      <c r="B475" s="224" t="inlineStr">
        <is>
          <t>Trucking &amp; Clearance-Ex</t>
        </is>
      </c>
      <c r="C475" s="224" t="inlineStr">
        <is>
          <t>KR GLOBAL LOGISTICS CO., LTD.</t>
        </is>
      </c>
      <c r="D475" s="225" t="inlineStr">
        <is>
          <t>K005-902004162</t>
        </is>
      </c>
      <c r="E475" s="359" t="inlineStr">
        <is>
          <t>KR252260</t>
        </is>
      </c>
      <c r="F475" s="338" t="n">
        <v>45786</v>
      </c>
      <c r="G475" s="226" t="n"/>
      <c r="H475" s="627" t="n"/>
      <c r="I475" s="627" t="n">
        <v>229372</v>
      </c>
      <c r="J475" s="223" t="inlineStr">
        <is>
          <t>អនុញ្ញាត (បានប្រកាស)</t>
        </is>
      </c>
      <c r="K475" s="223" t="n"/>
      <c r="L475" s="626">
        <f>I475</f>
        <v/>
      </c>
      <c r="M475" s="598">
        <f>I475-L475</f>
        <v/>
      </c>
      <c r="N475" s="223" t="n"/>
      <c r="O475" s="228">
        <f>U475=E475</f>
        <v/>
      </c>
      <c r="P475" s="228">
        <f>MONTH(F475)-MONTH(T475)</f>
        <v/>
      </c>
      <c r="Q475" s="228">
        <f>$B$5=X475</f>
        <v/>
      </c>
      <c r="R475" s="228">
        <f>I475-AD475</f>
        <v/>
      </c>
      <c r="S475" s="371" t="n"/>
      <c r="T475" s="372" t="n">
        <v>45786</v>
      </c>
      <c r="U475" s="371" t="inlineStr">
        <is>
          <t>KR252260</t>
        </is>
      </c>
      <c r="V475" s="371" t="n"/>
      <c r="W475" s="371" t="n"/>
      <c r="X475" s="371" t="n"/>
      <c r="Y475" s="371" t="inlineStr">
        <is>
          <t>ហូលីដេ ឌីហ្សាញ (ខេមបូឌា) ឯ.ក</t>
        </is>
      </c>
      <c r="Z475" s="373" t="n"/>
      <c r="AA475" s="373" t="n"/>
      <c r="AB475" s="371" t="n"/>
      <c r="AC475" s="371" t="n"/>
      <c r="AD475" s="373" t="n">
        <v>229372</v>
      </c>
      <c r="AE475" s="371" t="n"/>
      <c r="AF475" s="625" t="n"/>
    </row>
    <row r="476">
      <c r="A476" s="222">
        <f>A475+1</f>
        <v/>
      </c>
      <c r="B476" s="224" t="inlineStr">
        <is>
          <t>Lift-Off-Ex</t>
        </is>
      </c>
      <c r="C476" s="224" t="inlineStr">
        <is>
          <t>PHNOM PENH AUTONOMOUS PORT "PPAP"</t>
        </is>
      </c>
      <c r="D476" s="225" t="inlineStr">
        <is>
          <t>L001-100044999</t>
        </is>
      </c>
      <c r="E476" s="359" t="inlineStr">
        <is>
          <t>INV20250539145</t>
        </is>
      </c>
      <c r="F476" s="338" t="n">
        <v>45796</v>
      </c>
      <c r="G476" s="226" t="n"/>
      <c r="H476" s="627" t="n"/>
      <c r="I476" s="627" t="n">
        <v>140070</v>
      </c>
      <c r="J476" s="223" t="inlineStr">
        <is>
          <t>អនុញ្ញាត (បានប្រកាស)</t>
        </is>
      </c>
      <c r="K476" s="223" t="n"/>
      <c r="L476" s="626">
        <f>I476</f>
        <v/>
      </c>
      <c r="M476" s="598">
        <f>I476-L476</f>
        <v/>
      </c>
      <c r="N476" s="223" t="n"/>
      <c r="O476" s="228">
        <f>U476=E476</f>
        <v/>
      </c>
      <c r="P476" s="228">
        <f>MONTH(F476)-MONTH(T476)</f>
        <v/>
      </c>
      <c r="Q476" s="228">
        <f>$B$5=X476</f>
        <v/>
      </c>
      <c r="R476" s="228">
        <f>I476-AD476</f>
        <v/>
      </c>
      <c r="S476" s="371" t="n"/>
      <c r="T476" s="372" t="n">
        <v>45796</v>
      </c>
      <c r="U476" s="371" t="inlineStr">
        <is>
          <t>INV20250539145</t>
        </is>
      </c>
      <c r="V476" s="371" t="n">
        <v>0</v>
      </c>
      <c r="W476" s="371" t="inlineStr">
        <is>
          <t>បុគ្គលជាប់អាករ</t>
        </is>
      </c>
      <c r="X476" s="371" t="inlineStr">
        <is>
          <t>L001-901640009</t>
        </is>
      </c>
      <c r="Y476" s="371" t="inlineStr">
        <is>
          <t>ហូលីដេ ឌីហ្សាញ (ខេមបូឌា) ឯ.ក</t>
        </is>
      </c>
      <c r="Z476" s="373" t="n">
        <v>1540770</v>
      </c>
      <c r="AA476" s="373" t="n">
        <v>1400700</v>
      </c>
      <c r="AB476" s="371" t="n">
        <v>0</v>
      </c>
      <c r="AC476" s="371" t="inlineStr">
        <is>
          <t>-</t>
        </is>
      </c>
      <c r="AD476" s="373" t="n">
        <v>140070</v>
      </c>
      <c r="AE476" s="371" t="n">
        <v>0</v>
      </c>
      <c r="AF476" s="625" t="n">
        <v>0</v>
      </c>
      <c r="AG476" s="205" t="n">
        <v>0</v>
      </c>
      <c r="AH476" s="205" t="n">
        <v>0</v>
      </c>
      <c r="AI476" s="205" t="n">
        <v>0</v>
      </c>
      <c r="AJ476" s="205" t="n">
        <v>0</v>
      </c>
      <c r="AK476" s="205" t="n">
        <v>0</v>
      </c>
      <c r="AL476" s="205" t="n">
        <v>0.01</v>
      </c>
      <c r="AM476" s="205" t="n">
        <v>0</v>
      </c>
      <c r="AN476" s="205" t="inlineStr">
        <is>
          <t>ចំណូលពីសេវាកម្ម (លើកដាក់ទំនិញ)</t>
        </is>
      </c>
    </row>
    <row r="477">
      <c r="A477" s="222">
        <f>A476+1</f>
        <v/>
      </c>
      <c r="B477" s="224" t="inlineStr">
        <is>
          <t>Trucking &amp; Clearance-Ex</t>
        </is>
      </c>
      <c r="C477" s="224" t="inlineStr">
        <is>
          <t>KR GLOBAL LOGISTICS CO., LTD.</t>
        </is>
      </c>
      <c r="D477" s="225" t="inlineStr">
        <is>
          <t>K005-902004162</t>
        </is>
      </c>
      <c r="E477" s="359" t="inlineStr">
        <is>
          <t>KR252259</t>
        </is>
      </c>
      <c r="F477" s="338" t="n">
        <v>45786</v>
      </c>
      <c r="G477" s="226" t="n"/>
      <c r="H477" s="627" t="n"/>
      <c r="I477" s="627" t="n">
        <v>341056</v>
      </c>
      <c r="J477" s="223" t="inlineStr">
        <is>
          <t>អនុញ្ញាត (បានប្រកាស)</t>
        </is>
      </c>
      <c r="K477" s="223" t="n"/>
      <c r="L477" s="626">
        <f>I477</f>
        <v/>
      </c>
      <c r="M477" s="598">
        <f>I477-L477</f>
        <v/>
      </c>
      <c r="N477" s="223" t="n"/>
      <c r="O477" s="228">
        <f>U477=E477</f>
        <v/>
      </c>
      <c r="P477" s="228">
        <f>MONTH(F477)-MONTH(T477)</f>
        <v/>
      </c>
      <c r="Q477" s="228">
        <f>$B$5=X477</f>
        <v/>
      </c>
      <c r="R477" s="228">
        <f>I477-AD477</f>
        <v/>
      </c>
      <c r="S477" s="371" t="n"/>
      <c r="T477" s="372" t="n">
        <v>45786</v>
      </c>
      <c r="U477" s="371" t="inlineStr">
        <is>
          <t>KR252259</t>
        </is>
      </c>
      <c r="V477" s="371" t="n"/>
      <c r="W477" s="371" t="n"/>
      <c r="X477" s="371" t="n"/>
      <c r="Y477" s="371" t="inlineStr">
        <is>
          <t>ហូលីដេ ឌីហ្សាញ (ខេមបូឌា) ឯ.ក</t>
        </is>
      </c>
      <c r="Z477" s="373" t="n"/>
      <c r="AA477" s="373" t="n"/>
      <c r="AB477" s="371" t="n"/>
      <c r="AC477" s="371" t="n"/>
      <c r="AD477" s="373" t="n">
        <v>341056</v>
      </c>
      <c r="AE477" s="371" t="n"/>
      <c r="AF477" s="625" t="n"/>
    </row>
    <row r="478">
      <c r="A478" s="222">
        <f>A477+1</f>
        <v/>
      </c>
      <c r="B478" s="224" t="inlineStr">
        <is>
          <t>Storage 40 Feet Container-Ex</t>
        </is>
      </c>
      <c r="C478" s="224" t="inlineStr">
        <is>
          <t>PHNOM PENH AUTONOMOUS PORT "PPAP"</t>
        </is>
      </c>
      <c r="D478" s="225" t="inlineStr">
        <is>
          <t>L001-100044999</t>
        </is>
      </c>
      <c r="E478" s="359" t="inlineStr">
        <is>
          <t>INV20250542516</t>
        </is>
      </c>
      <c r="F478" s="338" t="n">
        <v>45805</v>
      </c>
      <c r="G478" s="226" t="n"/>
      <c r="H478" s="627" t="n"/>
      <c r="I478" s="627" t="n">
        <v>2402</v>
      </c>
      <c r="J478" s="223" t="inlineStr">
        <is>
          <t>អនុញ្ញាត (បានប្រកាស)</t>
        </is>
      </c>
      <c r="K478" s="223" t="n"/>
      <c r="L478" s="626">
        <f>I478</f>
        <v/>
      </c>
      <c r="M478" s="598">
        <f>I478-L478</f>
        <v/>
      </c>
      <c r="N478" s="223" t="n"/>
      <c r="O478" s="228">
        <f>U478=E478</f>
        <v/>
      </c>
      <c r="P478" s="228">
        <f>MONTH(F478)-MONTH(T478)</f>
        <v/>
      </c>
      <c r="Q478" s="228">
        <f>$B$5=X478</f>
        <v/>
      </c>
      <c r="R478" s="228">
        <f>I478-AD478</f>
        <v/>
      </c>
      <c r="S478" s="371" t="n"/>
      <c r="T478" s="372" t="n">
        <v>45805</v>
      </c>
      <c r="U478" s="371" t="inlineStr">
        <is>
          <t>INV20250542516</t>
        </is>
      </c>
      <c r="V478" s="371" t="n">
        <v>0</v>
      </c>
      <c r="W478" s="371" t="inlineStr">
        <is>
          <t>បុគ្គលជាប់អាករ</t>
        </is>
      </c>
      <c r="X478" s="371" t="inlineStr">
        <is>
          <t>L001-901640009</t>
        </is>
      </c>
      <c r="Y478" s="371" t="inlineStr">
        <is>
          <t>ហូលីដេ ឌីហ្សាញ (ខេមបូឌា) ឯ.ក</t>
        </is>
      </c>
      <c r="Z478" s="373" t="n">
        <v>26422</v>
      </c>
      <c r="AA478" s="373" t="n">
        <v>24020</v>
      </c>
      <c r="AB478" s="371" t="n">
        <v>0</v>
      </c>
      <c r="AC478" s="371" t="inlineStr">
        <is>
          <t>-</t>
        </is>
      </c>
      <c r="AD478" s="373" t="n">
        <v>2402</v>
      </c>
      <c r="AE478" s="371" t="n">
        <v>0</v>
      </c>
      <c r="AF478" s="625" t="n">
        <v>0</v>
      </c>
      <c r="AG478" s="205" t="n">
        <v>0</v>
      </c>
      <c r="AH478" s="205" t="n">
        <v>0</v>
      </c>
      <c r="AI478" s="205" t="n">
        <v>0</v>
      </c>
      <c r="AJ478" s="205" t="n">
        <v>0</v>
      </c>
      <c r="AK478" s="205" t="n">
        <v>0</v>
      </c>
      <c r="AL478" s="205" t="n">
        <v>0.01</v>
      </c>
      <c r="AM478" s="205" t="n">
        <v>0</v>
      </c>
      <c r="AN478" s="205" t="inlineStr">
        <is>
          <t>ចំណូលពីសេវាកម្ម (លើកដាក់ទំនិញ)</t>
        </is>
      </c>
    </row>
    <row r="479">
      <c r="A479" s="222">
        <f>A478+1</f>
        <v/>
      </c>
      <c r="B479" s="224" t="inlineStr">
        <is>
          <t>Lift-Off-Ex</t>
        </is>
      </c>
      <c r="C479" s="224" t="inlineStr">
        <is>
          <t>PHNOM PENH AUTONOMOUS PORT "PPAP"</t>
        </is>
      </c>
      <c r="D479" s="225" t="inlineStr">
        <is>
          <t>L001-100044999</t>
        </is>
      </c>
      <c r="E479" s="359" t="inlineStr">
        <is>
          <t>INV20250539147</t>
        </is>
      </c>
      <c r="F479" s="338" t="n">
        <v>45796</v>
      </c>
      <c r="G479" s="226" t="n"/>
      <c r="H479" s="627" t="n"/>
      <c r="I479" s="627" t="n">
        <v>28014</v>
      </c>
      <c r="J479" s="223" t="inlineStr">
        <is>
          <t>អនុញ្ញាត (បានប្រកាស)</t>
        </is>
      </c>
      <c r="K479" s="223" t="n"/>
      <c r="L479" s="626">
        <f>I479</f>
        <v/>
      </c>
      <c r="M479" s="598">
        <f>I479-L479</f>
        <v/>
      </c>
      <c r="N479" s="223" t="n"/>
      <c r="O479" s="228">
        <f>U479=E479</f>
        <v/>
      </c>
      <c r="P479" s="228">
        <f>MONTH(F479)-MONTH(T479)</f>
        <v/>
      </c>
      <c r="Q479" s="228">
        <f>$B$5=X479</f>
        <v/>
      </c>
      <c r="R479" s="228">
        <f>I479-AD479</f>
        <v/>
      </c>
      <c r="S479" s="371" t="inlineStr">
        <is>
          <t>Wrong invoice number</t>
        </is>
      </c>
      <c r="T479" s="372" t="n">
        <v>45796</v>
      </c>
      <c r="U479" s="371" t="inlineStr">
        <is>
          <t>INV20250539147</t>
        </is>
      </c>
      <c r="V479" s="371" t="n">
        <v>0</v>
      </c>
      <c r="W479" s="371" t="inlineStr">
        <is>
          <t>បុគ្គលជាប់អាករ</t>
        </is>
      </c>
      <c r="X479" s="371" t="inlineStr">
        <is>
          <t>L001-901640009</t>
        </is>
      </c>
      <c r="Y479" s="371" t="inlineStr">
        <is>
          <t>ហូលីដេ ឌីហ្សាញ (ខេមបូឌា) ឯ.ក</t>
        </is>
      </c>
      <c r="Z479" s="373" t="n">
        <v>308154</v>
      </c>
      <c r="AA479" s="373" t="n">
        <v>280140</v>
      </c>
      <c r="AB479" s="371" t="n">
        <v>0</v>
      </c>
      <c r="AC479" s="371" t="inlineStr">
        <is>
          <t>-</t>
        </is>
      </c>
      <c r="AD479" s="373" t="n">
        <v>28014</v>
      </c>
      <c r="AE479" s="371" t="n">
        <v>0</v>
      </c>
      <c r="AF479" s="625" t="n">
        <v>0</v>
      </c>
      <c r="AG479" s="205" t="n">
        <v>0</v>
      </c>
      <c r="AH479" s="205" t="n">
        <v>0</v>
      </c>
      <c r="AI479" s="205" t="n">
        <v>0</v>
      </c>
      <c r="AJ479" s="205" t="n">
        <v>0</v>
      </c>
      <c r="AK479" s="205" t="n">
        <v>0</v>
      </c>
      <c r="AL479" s="205" t="n">
        <v>0.01</v>
      </c>
      <c r="AM479" s="205" t="n">
        <v>0</v>
      </c>
      <c r="AN479" s="205" t="inlineStr">
        <is>
          <t>ចំណូលពីសេវាកម្ម (លើកដាក់ទំនិញ)</t>
        </is>
      </c>
    </row>
    <row r="480">
      <c r="A480" s="222">
        <f>A479+1</f>
        <v/>
      </c>
      <c r="B480" s="224" t="inlineStr">
        <is>
          <t>Trucking &amp; Clearance-Ex</t>
        </is>
      </c>
      <c r="C480" s="224" t="inlineStr">
        <is>
          <t>KR GLOBAL LOGISTICS CO., LTD.</t>
        </is>
      </c>
      <c r="D480" s="225" t="inlineStr">
        <is>
          <t>K005-902004162</t>
        </is>
      </c>
      <c r="E480" s="359" t="inlineStr">
        <is>
          <t>KR252258</t>
        </is>
      </c>
      <c r="F480" s="338" t="n">
        <v>45786</v>
      </c>
      <c r="G480" s="226" t="n"/>
      <c r="H480" s="627" t="n"/>
      <c r="I480" s="627" t="n">
        <v>170528</v>
      </c>
      <c r="J480" s="223" t="inlineStr">
        <is>
          <t>អនុញ្ញាត (បានប្រកាស)</t>
        </is>
      </c>
      <c r="K480" s="223" t="n"/>
      <c r="L480" s="626">
        <f>I480</f>
        <v/>
      </c>
      <c r="M480" s="598">
        <f>I480-L480</f>
        <v/>
      </c>
      <c r="N480" s="223" t="n"/>
      <c r="O480" s="228">
        <f>U480=E480</f>
        <v/>
      </c>
      <c r="P480" s="228">
        <f>MONTH(F480)-MONTH(T480)</f>
        <v/>
      </c>
      <c r="Q480" s="228">
        <f>$B$5=X480</f>
        <v/>
      </c>
      <c r="R480" s="228">
        <f>I480-AD480</f>
        <v/>
      </c>
      <c r="S480" s="371" t="n"/>
      <c r="T480" s="372" t="n">
        <v>45786</v>
      </c>
      <c r="U480" s="371" t="inlineStr">
        <is>
          <t>KR252258</t>
        </is>
      </c>
      <c r="V480" s="371" t="n"/>
      <c r="W480" s="371" t="n"/>
      <c r="X480" s="371" t="n"/>
      <c r="Y480" s="371" t="inlineStr">
        <is>
          <t>ហូលីដេ ឌីហ្សាញ (ខេមបូឌា) ឯ.ក</t>
        </is>
      </c>
      <c r="Z480" s="373" t="n"/>
      <c r="AA480" s="373" t="n"/>
      <c r="AB480" s="371" t="n"/>
      <c r="AC480" s="371" t="n"/>
      <c r="AD480" s="373" t="n">
        <v>170528</v>
      </c>
      <c r="AE480" s="371" t="n"/>
      <c r="AF480" s="625" t="n"/>
    </row>
    <row r="481">
      <c r="A481" s="222">
        <f>A480+1</f>
        <v/>
      </c>
      <c r="B481" s="224" t="inlineStr">
        <is>
          <t>Lift-Off-Ex</t>
        </is>
      </c>
      <c r="C481" s="224" t="inlineStr">
        <is>
          <t>PHNOM PENH AUTONOMOUS PORT "PPAP"</t>
        </is>
      </c>
      <c r="D481" s="225" t="inlineStr">
        <is>
          <t>L001-100044999</t>
        </is>
      </c>
      <c r="E481" s="359" t="inlineStr">
        <is>
          <t>INV20250539146</t>
        </is>
      </c>
      <c r="F481" s="338" t="n">
        <v>45796</v>
      </c>
      <c r="G481" s="226" t="n"/>
      <c r="H481" s="627" t="n"/>
      <c r="I481" s="627" t="n">
        <v>224112</v>
      </c>
      <c r="J481" s="223" t="inlineStr">
        <is>
          <t>អនុញ្ញាត (បានប្រកាស)</t>
        </is>
      </c>
      <c r="K481" s="223" t="n"/>
      <c r="L481" s="626">
        <f>I481</f>
        <v/>
      </c>
      <c r="M481" s="598">
        <f>I481-L481</f>
        <v/>
      </c>
      <c r="N481" s="223" t="n"/>
      <c r="O481" s="228">
        <f>U481=E481</f>
        <v/>
      </c>
      <c r="P481" s="228">
        <f>MONTH(F481)-MONTH(T481)</f>
        <v/>
      </c>
      <c r="Q481" s="228">
        <f>$B$5=X481</f>
        <v/>
      </c>
      <c r="R481" s="228">
        <f>I481-AD481</f>
        <v/>
      </c>
      <c r="S481" s="371" t="n"/>
      <c r="T481" s="372" t="n">
        <v>45796</v>
      </c>
      <c r="U481" s="371" t="inlineStr">
        <is>
          <t>INV20250539146</t>
        </is>
      </c>
      <c r="V481" s="371" t="n">
        <v>0</v>
      </c>
      <c r="W481" s="371" t="inlineStr">
        <is>
          <t>បុគ្គលជាប់អាករ</t>
        </is>
      </c>
      <c r="X481" s="371" t="inlineStr">
        <is>
          <t>L001-901640009</t>
        </is>
      </c>
      <c r="Y481" s="371" t="inlineStr">
        <is>
          <t>ហូលីដេ ឌីហ្សាញ (ខេមបូឌា) ឯ.ក</t>
        </is>
      </c>
      <c r="Z481" s="373" t="n">
        <v>2465232</v>
      </c>
      <c r="AA481" s="373" t="n">
        <v>2241120</v>
      </c>
      <c r="AB481" s="371" t="n">
        <v>0</v>
      </c>
      <c r="AC481" s="371" t="inlineStr">
        <is>
          <t>-</t>
        </is>
      </c>
      <c r="AD481" s="373" t="n">
        <v>224112</v>
      </c>
      <c r="AE481" s="371" t="n">
        <v>0</v>
      </c>
      <c r="AF481" s="625" t="n">
        <v>0</v>
      </c>
      <c r="AG481" s="205" t="n">
        <v>0</v>
      </c>
      <c r="AH481" s="205" t="n">
        <v>0</v>
      </c>
      <c r="AI481" s="205" t="n">
        <v>0</v>
      </c>
      <c r="AJ481" s="205" t="n">
        <v>0</v>
      </c>
      <c r="AK481" s="205" t="n">
        <v>0</v>
      </c>
      <c r="AL481" s="205" t="n">
        <v>0.01</v>
      </c>
      <c r="AM481" s="205" t="n">
        <v>0</v>
      </c>
      <c r="AN481" s="205" t="inlineStr">
        <is>
          <t>ចំណូលពីសេវាកម្ម (លើកដាក់ទំនិញ)</t>
        </is>
      </c>
    </row>
    <row r="482">
      <c r="A482" s="222">
        <f>A481+1</f>
        <v/>
      </c>
      <c r="B482" s="224" t="inlineStr">
        <is>
          <t>Trucking &amp; Clearance-Ex</t>
        </is>
      </c>
      <c r="C482" s="224" t="inlineStr">
        <is>
          <t>KR GLOBAL LOGISTICS CO., LTD.</t>
        </is>
      </c>
      <c r="D482" s="225" t="inlineStr">
        <is>
          <t>K005-902004162</t>
        </is>
      </c>
      <c r="E482" s="359" t="inlineStr">
        <is>
          <t>KR252257</t>
        </is>
      </c>
      <c r="F482" s="338" t="n">
        <v>45786</v>
      </c>
      <c r="G482" s="226" t="n"/>
      <c r="H482" s="627" t="n"/>
      <c r="I482" s="627" t="n">
        <v>1364222</v>
      </c>
      <c r="J482" s="223" t="inlineStr">
        <is>
          <t>អនុញ្ញាត (បានប្រកាស)</t>
        </is>
      </c>
      <c r="K482" s="223" t="n"/>
      <c r="L482" s="626">
        <f>I482</f>
        <v/>
      </c>
      <c r="M482" s="598">
        <f>I482-L482</f>
        <v/>
      </c>
      <c r="N482" s="223" t="n"/>
      <c r="O482" s="228">
        <f>U482=E482</f>
        <v/>
      </c>
      <c r="P482" s="228">
        <f>MONTH(F482)-MONTH(T482)</f>
        <v/>
      </c>
      <c r="Q482" s="228">
        <f>$B$5=X482</f>
        <v/>
      </c>
      <c r="R482" s="228">
        <f>I482-AD482</f>
        <v/>
      </c>
      <c r="S482" s="371" t="n"/>
      <c r="T482" s="372" t="n">
        <v>45786</v>
      </c>
      <c r="U482" s="371" t="inlineStr">
        <is>
          <t>KR252257</t>
        </is>
      </c>
      <c r="V482" s="371" t="n"/>
      <c r="W482" s="371" t="n"/>
      <c r="X482" s="371" t="n"/>
      <c r="Y482" s="371" t="inlineStr">
        <is>
          <t>ហូលីដេ ឌីហ្សាញ (ខេមបូឌា) ឯ.ក</t>
        </is>
      </c>
      <c r="Z482" s="373" t="n"/>
      <c r="AA482" s="373" t="n"/>
      <c r="AB482" s="371" t="n"/>
      <c r="AC482" s="371" t="n"/>
      <c r="AD482" s="373" t="n">
        <v>1364222</v>
      </c>
      <c r="AE482" s="371" t="n"/>
      <c r="AF482" s="625" t="n"/>
    </row>
    <row r="483">
      <c r="A483" s="222">
        <f>A482+1</f>
        <v/>
      </c>
      <c r="B483" s="224" t="inlineStr">
        <is>
          <t>Trucking &amp; Clearance-Im</t>
        </is>
      </c>
      <c r="C483" s="224" t="inlineStr">
        <is>
          <t>BRILLIANT TRANSPORT AND TRADING Co., Ltd.</t>
        </is>
      </c>
      <c r="D483" s="225" t="inlineStr">
        <is>
          <t>K002-100089305</t>
        </is>
      </c>
      <c r="E483" s="359" t="inlineStr">
        <is>
          <t>BTT25-0001169</t>
        </is>
      </c>
      <c r="F483" s="338" t="n">
        <v>45804</v>
      </c>
      <c r="G483" s="226" t="n"/>
      <c r="H483" s="627" t="n"/>
      <c r="I483" s="627" t="n">
        <v>3026268</v>
      </c>
      <c r="J483" s="223" t="inlineStr">
        <is>
          <t>អនុញ្ញាត (បានប្រកាស)</t>
        </is>
      </c>
      <c r="K483" s="223" t="n"/>
      <c r="L483" s="626">
        <f>I483</f>
        <v/>
      </c>
      <c r="M483" s="598">
        <f>I483-L483</f>
        <v/>
      </c>
      <c r="N483" s="223" t="n"/>
      <c r="O483" s="228">
        <f>U483=E483</f>
        <v/>
      </c>
      <c r="P483" s="228">
        <f>MONTH(F483)-MONTH(T483)</f>
        <v/>
      </c>
      <c r="Q483" s="228">
        <f>$B$5=X483</f>
        <v/>
      </c>
      <c r="R483" s="228">
        <f>I483-AD483</f>
        <v/>
      </c>
      <c r="S483" s="371" t="n"/>
      <c r="T483" s="372" t="n">
        <v>45804</v>
      </c>
      <c r="U483" s="371" t="inlineStr">
        <is>
          <t>BTT25-0001169</t>
        </is>
      </c>
      <c r="V483" s="371" t="n"/>
      <c r="W483" s="371" t="n"/>
      <c r="X483" s="371" t="n"/>
      <c r="Y483" s="371" t="inlineStr">
        <is>
          <t>ហូលីដេ ឌីហ្សាញ (ខេមបូឌា) ឯ.ក</t>
        </is>
      </c>
      <c r="Z483" s="373" t="n"/>
      <c r="AA483" s="373" t="n"/>
      <c r="AB483" s="371" t="n"/>
      <c r="AC483" s="371" t="n"/>
      <c r="AD483" s="373" t="n">
        <v>3026268</v>
      </c>
      <c r="AE483" s="371" t="n"/>
      <c r="AF483" s="625" t="n"/>
      <c r="AN483" s="205" t="inlineStr">
        <is>
          <t>Truking / Service</t>
        </is>
      </c>
    </row>
    <row r="484">
      <c r="A484" s="222">
        <f>A483+1</f>
        <v/>
      </c>
      <c r="B484" s="224" t="inlineStr">
        <is>
          <t>THC Fee-Ex</t>
        </is>
      </c>
      <c r="C484" s="224" t="inlineStr">
        <is>
          <t>APL LOGISTICS (CAMBODIA) PTE LTD.</t>
        </is>
      </c>
      <c r="D484" s="225" t="inlineStr">
        <is>
          <t>L001-100046460</t>
        </is>
      </c>
      <c r="E484" s="359" t="inlineStr">
        <is>
          <t>APLL25003538</t>
        </is>
      </c>
      <c r="F484" s="338" t="n">
        <v>45807</v>
      </c>
      <c r="G484" s="226" t="n"/>
      <c r="H484" s="627" t="n"/>
      <c r="I484" s="627" t="n">
        <v>1005255</v>
      </c>
      <c r="J484" s="223" t="inlineStr">
        <is>
          <t>អនុញ្ញាត (បានប្រកាស)</t>
        </is>
      </c>
      <c r="K484" s="223" t="n"/>
      <c r="L484" s="626">
        <f>I484</f>
        <v/>
      </c>
      <c r="M484" s="598">
        <f>I484-L484</f>
        <v/>
      </c>
      <c r="N484" s="223" t="n"/>
      <c r="O484" s="228">
        <f>U484=E484</f>
        <v/>
      </c>
      <c r="P484" s="228">
        <f>MONTH(F484)-MONTH(T484)</f>
        <v/>
      </c>
      <c r="Q484" s="228">
        <f>$B$5=X484</f>
        <v/>
      </c>
      <c r="R484" s="228">
        <f>I484-AD484</f>
        <v/>
      </c>
      <c r="S484" s="371" t="n"/>
      <c r="T484" s="372" t="n">
        <v>45807</v>
      </c>
      <c r="U484" s="371" t="inlineStr">
        <is>
          <t>APLL25003538</t>
        </is>
      </c>
      <c r="V484" s="371" t="n"/>
      <c r="W484" s="371" t="n"/>
      <c r="X484" s="371" t="n"/>
      <c r="Y484" s="371" t="inlineStr">
        <is>
          <t>ហូលីដេ ឌីហ្សាញ (ខេមបូឌា) ឯ.ក</t>
        </is>
      </c>
      <c r="Z484" s="373" t="n"/>
      <c r="AA484" s="373" t="n"/>
      <c r="AB484" s="371" t="n"/>
      <c r="AC484" s="371" t="n"/>
      <c r="AD484" s="373" t="n">
        <v>1005255</v>
      </c>
      <c r="AE484" s="371" t="n"/>
      <c r="AF484" s="625" t="n"/>
    </row>
    <row r="485">
      <c r="A485" s="222">
        <f>A484+1</f>
        <v/>
      </c>
      <c r="B485" s="224" t="inlineStr">
        <is>
          <t>Lift-On &amp; Lift-On-Im</t>
        </is>
      </c>
      <c r="C485" s="224" t="inlineStr">
        <is>
          <t>Port Autonome Du Sihanoukville</t>
        </is>
      </c>
      <c r="D485" s="225" t="inlineStr">
        <is>
          <t>L001-100044638</t>
        </is>
      </c>
      <c r="E485" s="359" t="n">
        <v>202500122681</v>
      </c>
      <c r="F485" s="338" t="n">
        <v>45803</v>
      </c>
      <c r="G485" s="226" t="n"/>
      <c r="H485" s="627" t="n"/>
      <c r="I485" s="627" t="n">
        <v>34817</v>
      </c>
      <c r="J485" s="223" t="inlineStr">
        <is>
          <t>អនុញ្ញាត (បានប្រកាស)</t>
        </is>
      </c>
      <c r="K485" s="223" t="n"/>
      <c r="L485" s="626">
        <f>I485</f>
        <v/>
      </c>
      <c r="M485" s="598">
        <f>I485-L485</f>
        <v/>
      </c>
      <c r="N485" s="223" t="n"/>
      <c r="O485" s="228">
        <f>U485=E485</f>
        <v/>
      </c>
      <c r="P485" s="228">
        <f>MONTH(F485)-MONTH(T485)</f>
        <v/>
      </c>
      <c r="Q485" s="228">
        <f>$B$5=X485</f>
        <v/>
      </c>
      <c r="R485" s="228">
        <f>I485-AD485</f>
        <v/>
      </c>
      <c r="S485" s="371" t="inlineStr">
        <is>
          <t>Wrong invoice number</t>
        </is>
      </c>
      <c r="T485" s="372" t="n">
        <v>45803</v>
      </c>
      <c r="U485" s="371" t="n">
        <v>202500122681</v>
      </c>
      <c r="V485" s="371" t="n"/>
      <c r="W485" s="371" t="inlineStr">
        <is>
          <t>បុគ្គលជាប់អាករ</t>
        </is>
      </c>
      <c r="X485" s="371" t="inlineStr">
        <is>
          <t>L001-901640009</t>
        </is>
      </c>
      <c r="Y485" s="371" t="inlineStr">
        <is>
          <t>ហូលីដេ ឌីហ្សាញ (ខេមបូឌា) ឯ.ក</t>
        </is>
      </c>
      <c r="Z485" s="373" t="n">
        <v>382991</v>
      </c>
      <c r="AA485" s="373" t="n">
        <v>348174</v>
      </c>
      <c r="AB485" s="371" t="n">
        <v>0</v>
      </c>
      <c r="AC485" s="371" t="inlineStr">
        <is>
          <t>-</t>
        </is>
      </c>
      <c r="AD485" s="373" t="n">
        <v>34817</v>
      </c>
      <c r="AE485" s="371" t="n"/>
      <c r="AF485" s="625" t="n"/>
    </row>
    <row r="486">
      <c r="A486" s="222">
        <f>A485+1</f>
        <v/>
      </c>
      <c r="B486" s="224" t="inlineStr">
        <is>
          <t>Lift-On &amp; Lift-On-Im</t>
        </is>
      </c>
      <c r="C486" s="224" t="inlineStr">
        <is>
          <t>Port Autonome Du Sihanoukville</t>
        </is>
      </c>
      <c r="D486" s="225" t="inlineStr">
        <is>
          <t>L001-100044638</t>
        </is>
      </c>
      <c r="E486" s="359" t="n">
        <v>202500101343</v>
      </c>
      <c r="F486" s="338" t="n">
        <v>45782</v>
      </c>
      <c r="G486" s="226" t="n"/>
      <c r="H486" s="627" t="n"/>
      <c r="I486" s="627" t="n">
        <v>418018</v>
      </c>
      <c r="J486" s="223" t="inlineStr">
        <is>
          <t>អនុញ្ញាត (បានប្រកាស)</t>
        </is>
      </c>
      <c r="K486" s="223" t="n"/>
      <c r="L486" s="626">
        <f>I486</f>
        <v/>
      </c>
      <c r="M486" s="598">
        <f>I486-L486</f>
        <v/>
      </c>
      <c r="N486" s="223" t="n"/>
      <c r="O486" s="228">
        <f>U486=E486</f>
        <v/>
      </c>
      <c r="P486" s="228">
        <f>MONTH(F486)-MONTH(T486)</f>
        <v/>
      </c>
      <c r="Q486" s="228">
        <f>$B$5=X486</f>
        <v/>
      </c>
      <c r="R486" s="228">
        <f>I486-AD486</f>
        <v/>
      </c>
      <c r="S486" s="371" t="n"/>
      <c r="T486" s="372" t="n">
        <v>45782</v>
      </c>
      <c r="U486" s="371" t="n">
        <v>202500101343</v>
      </c>
      <c r="V486" s="371" t="n"/>
      <c r="W486" s="371" t="inlineStr">
        <is>
          <t>បុគ្គលជាប់អាករ</t>
        </is>
      </c>
      <c r="X486" s="371" t="inlineStr">
        <is>
          <t>L001-901640009</t>
        </is>
      </c>
      <c r="Y486" s="371" t="inlineStr">
        <is>
          <t>ហូលីដេ ឌីហ្សាញ (ខេមបូឌា) ឯ.ក</t>
        </is>
      </c>
      <c r="Z486" s="373" t="n">
        <v>4598194</v>
      </c>
      <c r="AA486" s="373" t="n">
        <v>4180176</v>
      </c>
      <c r="AB486" s="371" t="n">
        <v>0</v>
      </c>
      <c r="AC486" s="371" t="inlineStr">
        <is>
          <t>-</t>
        </is>
      </c>
      <c r="AD486" s="373" t="n">
        <v>418018</v>
      </c>
      <c r="AE486" s="371" t="n"/>
      <c r="AF486" s="625" t="n"/>
    </row>
    <row r="487">
      <c r="A487" s="222">
        <f>A486+1</f>
        <v/>
      </c>
      <c r="B487" s="224" t="inlineStr">
        <is>
          <t>Terminal Handling Charge-Im</t>
        </is>
      </c>
      <c r="C487" s="224" t="inlineStr">
        <is>
          <t>SITC CONTAINER LINES (CAMBODIA) Co., Ltd.</t>
        </is>
      </c>
      <c r="D487" s="225" t="inlineStr">
        <is>
          <t>L001-107035863</t>
        </is>
      </c>
      <c r="E487" s="359" t="inlineStr">
        <is>
          <t>SITC2025-014840</t>
        </is>
      </c>
      <c r="F487" s="338" t="n">
        <v>45778</v>
      </c>
      <c r="G487" s="226" t="n"/>
      <c r="H487" s="627" t="n"/>
      <c r="I487" s="627" t="n">
        <v>2521890</v>
      </c>
      <c r="J487" s="223" t="inlineStr">
        <is>
          <t>អនុញ្ញាត (បានប្រកាស)</t>
        </is>
      </c>
      <c r="K487" s="223" t="n"/>
      <c r="L487" s="626">
        <f>I487</f>
        <v/>
      </c>
      <c r="M487" s="598">
        <f>I487-L487</f>
        <v/>
      </c>
      <c r="N487" s="223" t="n"/>
      <c r="O487" s="228">
        <f>U487=E487</f>
        <v/>
      </c>
      <c r="P487" s="228">
        <f>MONTH(F487)-MONTH(T487)</f>
        <v/>
      </c>
      <c r="Q487" s="228">
        <f>$B$5=X487</f>
        <v/>
      </c>
      <c r="R487" s="228">
        <f>I487-AD487</f>
        <v/>
      </c>
      <c r="S487" s="371" t="n"/>
      <c r="T487" s="372" t="n">
        <v>45778</v>
      </c>
      <c r="U487" s="371" t="inlineStr">
        <is>
          <t>SITC2025-014840</t>
        </is>
      </c>
      <c r="V487" s="371" t="n"/>
      <c r="W487" s="371" t="inlineStr">
        <is>
          <t>បុគ្គលជាប់អាករ</t>
        </is>
      </c>
      <c r="X487" s="371" t="inlineStr">
        <is>
          <t>L001-901640009</t>
        </is>
      </c>
      <c r="Y487" s="371" t="inlineStr">
        <is>
          <t>ហូលីដេ ឌីហ្សាញ (ខេមបូឌា) ឯ.ក</t>
        </is>
      </c>
      <c r="Z487" s="373" t="n">
        <v>27740790</v>
      </c>
      <c r="AA487" s="373" t="n">
        <v>25218900</v>
      </c>
      <c r="AB487" s="371" t="n">
        <v>0</v>
      </c>
      <c r="AC487" s="371" t="inlineStr">
        <is>
          <t>-</t>
        </is>
      </c>
      <c r="AD487" s="373" t="n">
        <v>2521890</v>
      </c>
      <c r="AE487" s="371" t="n">
        <v>0</v>
      </c>
      <c r="AF487" s="625" t="n">
        <v>0</v>
      </c>
      <c r="AG487" s="205" t="n">
        <v>0</v>
      </c>
      <c r="AH487" s="205" t="n">
        <v>0</v>
      </c>
      <c r="AI487" s="205" t="n">
        <v>0</v>
      </c>
      <c r="AJ487" s="205" t="n">
        <v>0</v>
      </c>
      <c r="AK487" s="205" t="n">
        <v>0</v>
      </c>
      <c r="AL487" s="205" t="n">
        <v>0.01</v>
      </c>
      <c r="AN487" s="205" t="inlineStr">
        <is>
          <t>KHDOC,KHTHC,KHCIC,EI</t>
        </is>
      </c>
    </row>
    <row r="488">
      <c r="A488" s="222">
        <f>A487+1</f>
        <v/>
      </c>
      <c r="B488" s="224" t="inlineStr">
        <is>
          <t>Trucking &amp; Clearance-Im</t>
        </is>
      </c>
      <c r="C488" s="224" t="inlineStr">
        <is>
          <t>BRILLIANT TRANSPORT AND TRADING Co., Ltd.</t>
        </is>
      </c>
      <c r="D488" s="225" t="inlineStr">
        <is>
          <t>K002-100089305</t>
        </is>
      </c>
      <c r="E488" s="359" t="inlineStr">
        <is>
          <t>BTT25-0001049</t>
        </is>
      </c>
      <c r="F488" s="338" t="n">
        <v>45782</v>
      </c>
      <c r="G488" s="226" t="n"/>
      <c r="H488" s="627" t="n"/>
      <c r="I488" s="627" t="n">
        <v>2890888</v>
      </c>
      <c r="J488" s="223" t="inlineStr">
        <is>
          <t>អនុញ្ញាត (បានប្រកាស)</t>
        </is>
      </c>
      <c r="K488" s="223" t="n"/>
      <c r="L488" s="626">
        <f>I488</f>
        <v/>
      </c>
      <c r="M488" s="598">
        <f>I488-L488</f>
        <v/>
      </c>
      <c r="N488" s="223" t="n"/>
      <c r="O488" s="228">
        <f>U488=E488</f>
        <v/>
      </c>
      <c r="P488" s="228">
        <f>MONTH(F488)-MONTH(T488)</f>
        <v/>
      </c>
      <c r="Q488" s="228">
        <f>$B$5=X488</f>
        <v/>
      </c>
      <c r="R488" s="228">
        <f>I488-AD488</f>
        <v/>
      </c>
      <c r="S488" s="371" t="n"/>
      <c r="T488" s="372" t="n">
        <v>45782</v>
      </c>
      <c r="U488" s="371" t="inlineStr">
        <is>
          <t>BTT25-0001049</t>
        </is>
      </c>
      <c r="V488" s="371" t="n"/>
      <c r="W488" s="371" t="n"/>
      <c r="X488" s="371" t="n"/>
      <c r="Y488" s="371" t="inlineStr">
        <is>
          <t>ហូលីដេ ឌីហ្សាញ (ខេមបូឌា) ឯ.ក</t>
        </is>
      </c>
      <c r="Z488" s="373" t="n"/>
      <c r="AA488" s="373" t="n"/>
      <c r="AB488" s="371" t="n"/>
      <c r="AC488" s="371" t="n"/>
      <c r="AD488" s="373" t="n">
        <v>2890888</v>
      </c>
      <c r="AE488" s="371" t="n"/>
      <c r="AF488" s="625" t="n"/>
      <c r="AN488" s="205" t="inlineStr">
        <is>
          <t>Truking / Service</t>
        </is>
      </c>
    </row>
    <row r="489">
      <c r="A489" s="222">
        <f>A488+1</f>
        <v/>
      </c>
      <c r="B489" s="224" t="inlineStr">
        <is>
          <t>Trucking &amp; Clearance-Im</t>
        </is>
      </c>
      <c r="C489" s="224" t="inlineStr">
        <is>
          <t>BRILLIANT TRANSPORT AND TRADING Co., Ltd.</t>
        </is>
      </c>
      <c r="D489" s="225" t="inlineStr">
        <is>
          <t>K002-100089305</t>
        </is>
      </c>
      <c r="E489" s="359" t="inlineStr">
        <is>
          <t>BTT25-0001048</t>
        </is>
      </c>
      <c r="F489" s="338" t="n">
        <v>45779</v>
      </c>
      <c r="G489" s="226" t="n"/>
      <c r="H489" s="627" t="n"/>
      <c r="I489" s="627" t="n">
        <v>1084542</v>
      </c>
      <c r="J489" s="223" t="inlineStr">
        <is>
          <t>អនុញ្ញាត (បានប្រកាស)</t>
        </is>
      </c>
      <c r="K489" s="223" t="n"/>
      <c r="L489" s="626">
        <f>I489</f>
        <v/>
      </c>
      <c r="M489" s="598">
        <f>I489-L489</f>
        <v/>
      </c>
      <c r="N489" s="223" t="n"/>
      <c r="O489" s="228">
        <f>U489=E489</f>
        <v/>
      </c>
      <c r="P489" s="228">
        <f>MONTH(F489)-MONTH(T489)</f>
        <v/>
      </c>
      <c r="Q489" s="228">
        <f>$B$5=X489</f>
        <v/>
      </c>
      <c r="R489" s="228">
        <f>I489-AD489</f>
        <v/>
      </c>
      <c r="S489" s="371" t="n"/>
      <c r="T489" s="372" t="n">
        <v>45779</v>
      </c>
      <c r="U489" s="371" t="inlineStr">
        <is>
          <t>BTT25-0001048</t>
        </is>
      </c>
      <c r="V489" s="371" t="n"/>
      <c r="W489" s="371" t="n"/>
      <c r="X489" s="371" t="n"/>
      <c r="Y489" s="371" t="inlineStr">
        <is>
          <t>ហូលីដេ ឌីហ្សាញ (ខេមបូឌា) ឯ.ក</t>
        </is>
      </c>
      <c r="Z489" s="373" t="n"/>
      <c r="AA489" s="373" t="n"/>
      <c r="AB489" s="371" t="n"/>
      <c r="AC489" s="371" t="n"/>
      <c r="AD489" s="373" t="n">
        <v>1084542</v>
      </c>
      <c r="AE489" s="371" t="n"/>
      <c r="AF489" s="625" t="n"/>
      <c r="AN489" s="205" t="inlineStr">
        <is>
          <t>Truking / Service</t>
        </is>
      </c>
    </row>
    <row r="490">
      <c r="A490" s="222">
        <f>A489+1</f>
        <v/>
      </c>
      <c r="B490" s="224" t="inlineStr">
        <is>
          <t>Trucking &amp; Clearance-Im</t>
        </is>
      </c>
      <c r="C490" s="224" t="inlineStr">
        <is>
          <t>BRILLIANT TRANSPORT AND TRADING Co., Ltd.</t>
        </is>
      </c>
      <c r="D490" s="225" t="inlineStr">
        <is>
          <t>K002-100089305</t>
        </is>
      </c>
      <c r="E490" s="359" t="inlineStr">
        <is>
          <t>BTT25-0001047</t>
        </is>
      </c>
      <c r="F490" s="338" t="n">
        <v>45779</v>
      </c>
      <c r="G490" s="226" t="n"/>
      <c r="H490" s="627" t="n"/>
      <c r="I490" s="627" t="n">
        <v>1084542</v>
      </c>
      <c r="J490" s="223" t="inlineStr">
        <is>
          <t>អនុញ្ញាត (បានប្រកាស)</t>
        </is>
      </c>
      <c r="K490" s="223" t="n"/>
      <c r="L490" s="626">
        <f>I490</f>
        <v/>
      </c>
      <c r="M490" s="598">
        <f>I490-L490</f>
        <v/>
      </c>
      <c r="N490" s="223" t="n"/>
      <c r="O490" s="228">
        <f>U490=E490</f>
        <v/>
      </c>
      <c r="P490" s="228">
        <f>MONTH(F490)-MONTH(T490)</f>
        <v/>
      </c>
      <c r="Q490" s="228">
        <f>$B$5=X490</f>
        <v/>
      </c>
      <c r="R490" s="228">
        <f>I490-AD490</f>
        <v/>
      </c>
      <c r="S490" s="371" t="n"/>
      <c r="T490" s="372" t="n">
        <v>45779</v>
      </c>
      <c r="U490" s="371" t="inlineStr">
        <is>
          <t>BTT25-0001047</t>
        </is>
      </c>
      <c r="V490" s="371" t="n"/>
      <c r="W490" s="371" t="n"/>
      <c r="X490" s="371" t="n"/>
      <c r="Y490" s="371" t="inlineStr">
        <is>
          <t>ហូលីដេ ឌីហ្សាញ (ខេមបូឌា) ឯ.ក</t>
        </is>
      </c>
      <c r="Z490" s="373" t="n"/>
      <c r="AA490" s="373" t="n"/>
      <c r="AB490" s="371" t="n"/>
      <c r="AC490" s="371" t="n"/>
      <c r="AD490" s="373" t="n">
        <v>1084542</v>
      </c>
      <c r="AE490" s="371" t="n"/>
      <c r="AF490" s="625" t="n"/>
      <c r="AN490" s="205" t="inlineStr">
        <is>
          <t>Truking / Service</t>
        </is>
      </c>
    </row>
    <row r="491">
      <c r="A491" s="222">
        <f>A490+1</f>
        <v/>
      </c>
      <c r="B491" s="224" t="inlineStr">
        <is>
          <t>Trucking &amp; Clearance-Im</t>
        </is>
      </c>
      <c r="C491" s="224" t="inlineStr">
        <is>
          <t>BRILLIANT TRANSPORT AND TRADING Co., Ltd.</t>
        </is>
      </c>
      <c r="D491" s="225" t="inlineStr">
        <is>
          <t>K002-100089305</t>
        </is>
      </c>
      <c r="E491" s="359" t="inlineStr">
        <is>
          <t>BTT25-0001046</t>
        </is>
      </c>
      <c r="F491" s="338" t="n">
        <v>45779</v>
      </c>
      <c r="G491" s="226" t="n"/>
      <c r="H491" s="627" t="n"/>
      <c r="I491" s="627" t="n">
        <v>2145072</v>
      </c>
      <c r="J491" s="223" t="inlineStr">
        <is>
          <t>អនុញ្ញាត (បានប្រកាស)</t>
        </is>
      </c>
      <c r="K491" s="223" t="n"/>
      <c r="L491" s="626">
        <f>I491</f>
        <v/>
      </c>
      <c r="M491" s="598">
        <f>I491-L491</f>
        <v/>
      </c>
      <c r="N491" s="223" t="n"/>
      <c r="O491" s="228">
        <f>U491=E491</f>
        <v/>
      </c>
      <c r="P491" s="228">
        <f>MONTH(F491)-MONTH(T491)</f>
        <v/>
      </c>
      <c r="Q491" s="228">
        <f>$B$5=X491</f>
        <v/>
      </c>
      <c r="R491" s="228">
        <f>I491-AD491</f>
        <v/>
      </c>
      <c r="S491" s="371" t="n"/>
      <c r="T491" s="372" t="n">
        <v>45779</v>
      </c>
      <c r="U491" s="371" t="inlineStr">
        <is>
          <t>BTT25-0001046</t>
        </is>
      </c>
      <c r="V491" s="371" t="n"/>
      <c r="W491" s="371" t="n"/>
      <c r="X491" s="371" t="n"/>
      <c r="Y491" s="371" t="inlineStr">
        <is>
          <t>ហូលីដេ ឌីហ្សាញ (ខេមបូឌា) ឯ.ក</t>
        </is>
      </c>
      <c r="Z491" s="373" t="n"/>
      <c r="AA491" s="373" t="n"/>
      <c r="AB491" s="371" t="n"/>
      <c r="AC491" s="371" t="n"/>
      <c r="AD491" s="373" t="n">
        <v>2145072</v>
      </c>
      <c r="AE491" s="371" t="n"/>
      <c r="AF491" s="625" t="n"/>
      <c r="AN491" s="205" t="inlineStr">
        <is>
          <t>Truking / Service</t>
        </is>
      </c>
    </row>
    <row r="492">
      <c r="A492" s="222">
        <f>A491+1</f>
        <v/>
      </c>
      <c r="B492" s="224" t="inlineStr">
        <is>
          <t>THC Fee-Ex</t>
        </is>
      </c>
      <c r="C492" s="224" t="inlineStr">
        <is>
          <t>APL LOGISTICS (CAMBODIA) PTE LTD.</t>
        </is>
      </c>
      <c r="D492" s="225" t="inlineStr">
        <is>
          <t>L001-100046460</t>
        </is>
      </c>
      <c r="E492" s="359" t="inlineStr">
        <is>
          <t>APLL25003015</t>
        </is>
      </c>
      <c r="F492" s="338" t="n">
        <v>45792</v>
      </c>
      <c r="G492" s="226" t="n"/>
      <c r="H492" s="627" t="n"/>
      <c r="I492" s="627" t="n">
        <v>132066</v>
      </c>
      <c r="J492" s="223" t="inlineStr">
        <is>
          <t>អនុញ្ញាត (បានប្រកាស)</t>
        </is>
      </c>
      <c r="K492" s="223" t="n"/>
      <c r="L492" s="626">
        <f>I492</f>
        <v/>
      </c>
      <c r="M492" s="598">
        <f>I492-L492</f>
        <v/>
      </c>
      <c r="N492" s="223" t="n"/>
      <c r="O492" s="228">
        <f>U492=E492</f>
        <v/>
      </c>
      <c r="P492" s="228">
        <f>MONTH(F492)-MONTH(T492)</f>
        <v/>
      </c>
      <c r="Q492" s="228">
        <f>$B$5=X492</f>
        <v/>
      </c>
      <c r="R492" s="228">
        <f>I492-AD492</f>
        <v/>
      </c>
      <c r="S492" s="371" t="n"/>
      <c r="T492" s="372" t="n">
        <v>45792</v>
      </c>
      <c r="U492" s="371" t="inlineStr">
        <is>
          <t>APLL25003015</t>
        </is>
      </c>
      <c r="V492" s="371" t="n"/>
      <c r="W492" s="371" t="n"/>
      <c r="X492" s="371" t="n"/>
      <c r="Y492" s="371" t="inlineStr">
        <is>
          <t>ហូលីដេ ឌីហ្សាញ (ខេមបូឌា) ឯ.ក</t>
        </is>
      </c>
      <c r="Z492" s="373" t="n"/>
      <c r="AA492" s="373" t="n"/>
      <c r="AB492" s="371" t="n"/>
      <c r="AC492" s="371" t="n"/>
      <c r="AD492" s="373" t="n">
        <v>132066</v>
      </c>
      <c r="AE492" s="371" t="n"/>
      <c r="AF492" s="625" t="n"/>
    </row>
    <row r="493">
      <c r="A493" s="222">
        <f>A492+1</f>
        <v/>
      </c>
      <c r="B493" s="224" t="inlineStr">
        <is>
          <t>Technical Review</t>
        </is>
      </c>
      <c r="C493" s="224" t="inlineStr">
        <is>
          <t>SGS (CAMBODIA) LIMITED</t>
        </is>
      </c>
      <c r="D493" s="225" t="inlineStr">
        <is>
          <t>L001-107030519</t>
        </is>
      </c>
      <c r="E493" s="359" t="n">
        <v>10044895</v>
      </c>
      <c r="F493" s="338" t="n">
        <v>45743</v>
      </c>
      <c r="G493" s="226" t="n"/>
      <c r="H493" s="627" t="n"/>
      <c r="I493" s="627" t="n">
        <v>124062</v>
      </c>
      <c r="J493" s="223" t="inlineStr">
        <is>
          <t>អនុញ្ញាត (បានប្រកាស)</t>
        </is>
      </c>
      <c r="K493" s="223" t="n"/>
      <c r="L493" s="626">
        <f>I493</f>
        <v/>
      </c>
      <c r="M493" s="598">
        <f>I493-L493</f>
        <v/>
      </c>
      <c r="N493" s="223" t="n"/>
      <c r="O493" s="228">
        <f>U493=E493</f>
        <v/>
      </c>
      <c r="P493" s="228">
        <f>MONTH(F493)-MONTH(T493)</f>
        <v/>
      </c>
      <c r="Q493" s="228">
        <f>$B$5=X493</f>
        <v/>
      </c>
      <c r="R493" s="228">
        <f>I493-AD493</f>
        <v/>
      </c>
      <c r="S493" s="371" t="n"/>
      <c r="T493" s="372" t="n">
        <v>45743</v>
      </c>
      <c r="U493" s="371" t="n">
        <v>10044895</v>
      </c>
      <c r="V493" s="371" t="n">
        <v>0</v>
      </c>
      <c r="W493" s="371" t="inlineStr">
        <is>
          <t>បុគ្គលជាប់អាករ</t>
        </is>
      </c>
      <c r="X493" s="371" t="inlineStr">
        <is>
          <t>L001-901640009</t>
        </is>
      </c>
      <c r="Y493" s="371" t="inlineStr">
        <is>
          <t>ហូលីដេ ឌីហ្សាញ (ខេមបូឌា) ឯ.ក</t>
        </is>
      </c>
      <c r="Z493" s="373" t="n">
        <v>1364682</v>
      </c>
      <c r="AA493" s="373" t="n">
        <v>1240620</v>
      </c>
      <c r="AB493" s="371" t="n">
        <v>0</v>
      </c>
      <c r="AC493" s="371" t="inlineStr">
        <is>
          <t>-</t>
        </is>
      </c>
      <c r="AD493" s="373" t="n">
        <v>124062</v>
      </c>
      <c r="AE493" s="371" t="n">
        <v>0</v>
      </c>
      <c r="AF493" s="625" t="n">
        <v>0</v>
      </c>
      <c r="AG493" s="205" t="n">
        <v>0</v>
      </c>
      <c r="AH493" s="205" t="n">
        <v>0</v>
      </c>
      <c r="AI493" s="205" t="n">
        <v>0</v>
      </c>
      <c r="AJ493" s="205" t="n">
        <v>0</v>
      </c>
      <c r="AK493" s="205" t="n">
        <v>0</v>
      </c>
      <c r="AL493" s="205" t="n">
        <v>0.01</v>
      </c>
      <c r="AM493" s="205" t="n">
        <v>0</v>
      </c>
      <c r="AN493" s="205" t="inlineStr">
        <is>
          <t>Technical Review - Ea - Other ind_RBS - BA</t>
        </is>
      </c>
      <c r="AO493" s="205" t="inlineStr">
        <is>
          <t>បានប្រកាសនិងបង់ពន្ធ</t>
        </is>
      </c>
    </row>
    <row r="494">
      <c r="A494" s="222">
        <f>A493+1</f>
        <v/>
      </c>
      <c r="B494" s="224" t="inlineStr">
        <is>
          <t>THC Fee-Ex</t>
        </is>
      </c>
      <c r="C494" s="224" t="inlineStr">
        <is>
          <t>APL LOGISTICS (CAMBODIA) PTE LTD.</t>
        </is>
      </c>
      <c r="D494" s="225" t="inlineStr">
        <is>
          <t>L001-100046460</t>
        </is>
      </c>
      <c r="E494" s="359" t="inlineStr">
        <is>
          <t>APLL25003537</t>
        </is>
      </c>
      <c r="F494" s="338" t="n">
        <v>45807</v>
      </c>
      <c r="G494" s="226" t="n"/>
      <c r="H494" s="627" t="n"/>
      <c r="I494" s="627" t="n">
        <v>164205</v>
      </c>
      <c r="J494" s="223" t="inlineStr">
        <is>
          <t>អនុញ្ញាត (បានប្រកាស)</t>
        </is>
      </c>
      <c r="K494" s="223" t="n"/>
      <c r="L494" s="626">
        <f>I494</f>
        <v/>
      </c>
      <c r="M494" s="598">
        <f>I494-L494</f>
        <v/>
      </c>
      <c r="N494" s="223" t="n"/>
      <c r="O494" s="228">
        <f>U494=E494</f>
        <v/>
      </c>
      <c r="P494" s="228">
        <f>MONTH(F494)-MONTH(T494)</f>
        <v/>
      </c>
      <c r="Q494" s="228">
        <f>$B$5=X494</f>
        <v/>
      </c>
      <c r="R494" s="228">
        <f>I494-AD494</f>
        <v/>
      </c>
      <c r="S494" s="371" t="n"/>
      <c r="T494" s="372" t="n">
        <v>45807</v>
      </c>
      <c r="U494" s="371" t="inlineStr">
        <is>
          <t>APLL25003537</t>
        </is>
      </c>
      <c r="V494" s="371" t="n"/>
      <c r="W494" s="371" t="n"/>
      <c r="X494" s="371" t="n"/>
      <c r="Y494" s="371" t="inlineStr">
        <is>
          <t>ហូលីដេ ឌីហ្សាញ (ខេមបូឌា) ឯ.ក</t>
        </is>
      </c>
      <c r="Z494" s="373" t="n"/>
      <c r="AA494" s="373" t="n"/>
      <c r="AB494" s="371" t="n"/>
      <c r="AC494" s="371" t="n"/>
      <c r="AD494" s="373" t="n">
        <v>164205</v>
      </c>
      <c r="AE494" s="371" t="n"/>
      <c r="AF494" s="625" t="n"/>
    </row>
    <row r="495">
      <c r="A495" s="222">
        <f>A494+1</f>
        <v/>
      </c>
      <c r="B495" s="224" t="inlineStr">
        <is>
          <t>THC Fee-Ex</t>
        </is>
      </c>
      <c r="C495" s="224" t="inlineStr">
        <is>
          <t>APL LOGISTICS (CAMBODIA) PTE LTD.</t>
        </is>
      </c>
      <c r="D495" s="225" t="inlineStr">
        <is>
          <t>L001-100046460</t>
        </is>
      </c>
      <c r="E495" s="359" t="inlineStr">
        <is>
          <t>APLL25003539</t>
        </is>
      </c>
      <c r="F495" s="338" t="n">
        <v>45807</v>
      </c>
      <c r="G495" s="226" t="n"/>
      <c r="H495" s="627" t="n"/>
      <c r="I495" s="627" t="n">
        <v>164205</v>
      </c>
      <c r="J495" s="223" t="inlineStr">
        <is>
          <t>អនុញ្ញាត (បានប្រកាស)</t>
        </is>
      </c>
      <c r="K495" s="223" t="n"/>
      <c r="L495" s="626">
        <f>I495</f>
        <v/>
      </c>
      <c r="M495" s="598">
        <f>I495-L495</f>
        <v/>
      </c>
      <c r="N495" s="223" t="n"/>
      <c r="O495" s="228">
        <f>U495=E495</f>
        <v/>
      </c>
      <c r="P495" s="228">
        <f>MONTH(F495)-MONTH(T495)</f>
        <v/>
      </c>
      <c r="Q495" s="228">
        <f>$B$5=X495</f>
        <v/>
      </c>
      <c r="R495" s="228">
        <f>I495-AD495</f>
        <v/>
      </c>
      <c r="S495" s="371" t="n"/>
      <c r="T495" s="372" t="n">
        <v>45807</v>
      </c>
      <c r="U495" s="371" t="inlineStr">
        <is>
          <t>APLL25003539</t>
        </is>
      </c>
      <c r="V495" s="371" t="n"/>
      <c r="W495" s="371" t="n"/>
      <c r="X495" s="371" t="n"/>
      <c r="Y495" s="371" t="inlineStr">
        <is>
          <t>ហូលីដេ ឌីហ្សាញ (ខេមបូឌា) ឯ.ក</t>
        </is>
      </c>
      <c r="Z495" s="373" t="n"/>
      <c r="AA495" s="373" t="n"/>
      <c r="AB495" s="371" t="n"/>
      <c r="AC495" s="371" t="n"/>
      <c r="AD495" s="373" t="n">
        <v>164205</v>
      </c>
      <c r="AE495" s="371" t="n"/>
      <c r="AF495" s="625" t="n"/>
    </row>
    <row r="496">
      <c r="A496" s="222">
        <f>A495+1</f>
        <v/>
      </c>
      <c r="B496" s="224" t="inlineStr">
        <is>
          <t>THC Fee-Ex</t>
        </is>
      </c>
      <c r="C496" s="224" t="inlineStr">
        <is>
          <t>APL LOGISTICS (CAMBODIA) PTE LTD.</t>
        </is>
      </c>
      <c r="D496" s="225" t="inlineStr">
        <is>
          <t>L001-100046460</t>
        </is>
      </c>
      <c r="E496" s="359" t="inlineStr">
        <is>
          <t>APLL25003541</t>
        </is>
      </c>
      <c r="F496" s="338" t="n">
        <v>45807</v>
      </c>
      <c r="G496" s="226" t="n"/>
      <c r="H496" s="627" t="n"/>
      <c r="I496" s="627" t="n">
        <v>164205</v>
      </c>
      <c r="J496" s="223" t="inlineStr">
        <is>
          <t>អនុញ្ញាត (បានប្រកាស)</t>
        </is>
      </c>
      <c r="K496" s="223" t="n"/>
      <c r="L496" s="626">
        <f>I496</f>
        <v/>
      </c>
      <c r="M496" s="598">
        <f>I496-L496</f>
        <v/>
      </c>
      <c r="N496" s="223" t="n"/>
      <c r="O496" s="228">
        <f>U496=E496</f>
        <v/>
      </c>
      <c r="P496" s="228">
        <f>MONTH(F496)-MONTH(T496)</f>
        <v/>
      </c>
      <c r="Q496" s="228">
        <f>$B$5=X496</f>
        <v/>
      </c>
      <c r="R496" s="228">
        <f>I496-AD496</f>
        <v/>
      </c>
      <c r="S496" s="371" t="n"/>
      <c r="T496" s="372" t="n">
        <v>45807</v>
      </c>
      <c r="U496" s="371" t="inlineStr">
        <is>
          <t>APLL25003541</t>
        </is>
      </c>
      <c r="V496" s="371" t="n"/>
      <c r="W496" s="371" t="n"/>
      <c r="X496" s="371" t="n"/>
      <c r="Y496" s="371" t="inlineStr">
        <is>
          <t>ហូលីដេ ឌីហ្សាញ (ខេមបូឌា) ឯ.ក</t>
        </is>
      </c>
      <c r="Z496" s="373" t="n"/>
      <c r="AA496" s="373" t="n"/>
      <c r="AB496" s="371" t="n"/>
      <c r="AC496" s="371" t="n"/>
      <c r="AD496" s="373" t="n">
        <v>164205</v>
      </c>
      <c r="AE496" s="371" t="n"/>
      <c r="AF496" s="625" t="n"/>
    </row>
    <row r="497">
      <c r="A497" s="222">
        <f>A496+1</f>
        <v/>
      </c>
      <c r="B497" s="224" t="inlineStr">
        <is>
          <t>THC Fee-Ex</t>
        </is>
      </c>
      <c r="C497" s="224" t="inlineStr">
        <is>
          <t>APL LOGISTICS (CAMBODIA) PTE LTD.</t>
        </is>
      </c>
      <c r="D497" s="225" t="inlineStr">
        <is>
          <t>L001-100046460</t>
        </is>
      </c>
      <c r="E497" s="359" t="inlineStr">
        <is>
          <t>APLL25003540</t>
        </is>
      </c>
      <c r="F497" s="338" t="n">
        <v>45807</v>
      </c>
      <c r="G497" s="226" t="n"/>
      <c r="H497" s="627" t="n"/>
      <c r="I497" s="627" t="n">
        <v>132165</v>
      </c>
      <c r="J497" s="223" t="inlineStr">
        <is>
          <t>អនុញ្ញាត (បានប្រកាស)</t>
        </is>
      </c>
      <c r="K497" s="223" t="n"/>
      <c r="L497" s="626">
        <f>I497</f>
        <v/>
      </c>
      <c r="M497" s="598">
        <f>I497-L497</f>
        <v/>
      </c>
      <c r="N497" s="223" t="n"/>
      <c r="O497" s="228">
        <f>U497=E497</f>
        <v/>
      </c>
      <c r="P497" s="228">
        <f>MONTH(F497)-MONTH(T497)</f>
        <v/>
      </c>
      <c r="Q497" s="228">
        <f>$B$5=X497</f>
        <v/>
      </c>
      <c r="R497" s="228">
        <f>I497-AD497</f>
        <v/>
      </c>
      <c r="S497" s="371" t="n"/>
      <c r="T497" s="372" t="n">
        <v>45807</v>
      </c>
      <c r="U497" s="371" t="inlineStr">
        <is>
          <t>APLL25003540</t>
        </is>
      </c>
      <c r="V497" s="371" t="n"/>
      <c r="W497" s="371" t="n"/>
      <c r="X497" s="371" t="n"/>
      <c r="Y497" s="371" t="inlineStr">
        <is>
          <t>ហូលីដេ ឌីហ្សាញ (ខេមបូឌា) ឯ.ក</t>
        </is>
      </c>
      <c r="Z497" s="373" t="n"/>
      <c r="AA497" s="373" t="n"/>
      <c r="AB497" s="371" t="n"/>
      <c r="AC497" s="371" t="n"/>
      <c r="AD497" s="373" t="n">
        <v>132165</v>
      </c>
      <c r="AE497" s="371" t="n"/>
      <c r="AF497" s="625" t="n"/>
    </row>
    <row r="498">
      <c r="A498" s="222">
        <f>A497+1</f>
        <v/>
      </c>
      <c r="B498" s="224" t="inlineStr">
        <is>
          <t>Terminal Handling Charge-Ex</t>
        </is>
      </c>
      <c r="C498" s="224" t="inlineStr">
        <is>
          <t>APL LOGISTICS (CAMBODIA) PTE LTD.</t>
        </is>
      </c>
      <c r="D498" s="225" t="inlineStr">
        <is>
          <t>L001-100046460</t>
        </is>
      </c>
      <c r="E498" s="359" t="inlineStr">
        <is>
          <t>APLL25003536</t>
        </is>
      </c>
      <c r="F498" s="338" t="n">
        <v>45807</v>
      </c>
      <c r="G498" s="226" t="n"/>
      <c r="H498" s="627" t="n"/>
      <c r="I498" s="627" t="n">
        <v>420966</v>
      </c>
      <c r="J498" s="223" t="inlineStr">
        <is>
          <t>អនុញ្ញាត (បានប្រកាស)</t>
        </is>
      </c>
      <c r="K498" s="628">
        <f>L498</f>
        <v/>
      </c>
      <c r="L498" s="626">
        <f>AD498</f>
        <v/>
      </c>
      <c r="M498" s="598">
        <f>I498-L498</f>
        <v/>
      </c>
      <c r="N498" s="223" t="n"/>
      <c r="O498" s="228">
        <f>U498=E498</f>
        <v/>
      </c>
      <c r="P498" s="228">
        <f>MONTH(F498)-MONTH(T498)</f>
        <v/>
      </c>
      <c r="Q498" s="228">
        <f>$B$5=X498</f>
        <v/>
      </c>
      <c r="R498" s="228">
        <f>I498-AD498</f>
        <v/>
      </c>
      <c r="S498" s="371" t="n"/>
      <c r="T498" s="372" t="n">
        <v>45807</v>
      </c>
      <c r="U498" s="371" t="inlineStr">
        <is>
          <t>APLL25003536</t>
        </is>
      </c>
      <c r="V498" s="371" t="n"/>
      <c r="W498" s="371" t="n"/>
      <c r="X498" s="371" t="n"/>
      <c r="Y498" s="371" t="inlineStr">
        <is>
          <t>ហូលីដេ ឌីហ្សាញ (ខេមបូឌា) ឯ.ក</t>
        </is>
      </c>
      <c r="Z498" s="373" t="n"/>
      <c r="AA498" s="373" t="n"/>
      <c r="AB498" s="371" t="n"/>
      <c r="AC498" s="371" t="n"/>
      <c r="AD498" s="373" t="n">
        <v>420947</v>
      </c>
      <c r="AE498" s="371" t="n"/>
      <c r="AF498" s="625" t="n"/>
    </row>
    <row r="499">
      <c r="A499" s="222">
        <f>A498+1</f>
        <v/>
      </c>
      <c r="B499" s="224" t="inlineStr">
        <is>
          <t>THC Fee-Ex</t>
        </is>
      </c>
      <c r="C499" s="224" t="inlineStr">
        <is>
          <t>APL LOGISTICS (CAMBODIA) PTE LTD.</t>
        </is>
      </c>
      <c r="D499" s="225" t="inlineStr">
        <is>
          <t>L001-100046460</t>
        </is>
      </c>
      <c r="E499" s="359" t="inlineStr">
        <is>
          <t>APLL25003542</t>
        </is>
      </c>
      <c r="F499" s="338" t="n">
        <v>45807</v>
      </c>
      <c r="G499" s="226" t="n"/>
      <c r="H499" s="627" t="n"/>
      <c r="I499" s="627" t="n">
        <v>132165</v>
      </c>
      <c r="J499" s="223" t="inlineStr">
        <is>
          <t>អនុញ្ញាត (បានប្រកាស)</t>
        </is>
      </c>
      <c r="K499" s="223" t="n"/>
      <c r="L499" s="626">
        <f>I499</f>
        <v/>
      </c>
      <c r="M499" s="598">
        <f>I499-L499</f>
        <v/>
      </c>
      <c r="N499" s="223" t="n"/>
      <c r="O499" s="228">
        <f>U499=E499</f>
        <v/>
      </c>
      <c r="P499" s="228">
        <f>MONTH(F499)-MONTH(T499)</f>
        <v/>
      </c>
      <c r="Q499" s="228">
        <f>$B$5=X499</f>
        <v/>
      </c>
      <c r="R499" s="228">
        <f>I499-AD499</f>
        <v/>
      </c>
      <c r="S499" s="371" t="n"/>
      <c r="T499" s="372" t="n">
        <v>45807</v>
      </c>
      <c r="U499" s="371" t="inlineStr">
        <is>
          <t>APLL25003542</t>
        </is>
      </c>
      <c r="V499" s="371" t="n"/>
      <c r="W499" s="371" t="n"/>
      <c r="X499" s="371" t="n"/>
      <c r="Y499" s="371" t="inlineStr">
        <is>
          <t>ហូលីដេ ឌីហ្សាញ (ខេមបូឌា) ឯ.ក</t>
        </is>
      </c>
      <c r="Z499" s="373" t="n"/>
      <c r="AA499" s="373" t="n"/>
      <c r="AB499" s="371" t="n"/>
      <c r="AC499" s="371" t="n"/>
      <c r="AD499" s="373" t="n">
        <v>132165</v>
      </c>
      <c r="AE499" s="371" t="n"/>
      <c r="AF499" s="625" t="n"/>
    </row>
    <row r="500">
      <c r="A500" s="222">
        <f>A499+1</f>
        <v/>
      </c>
      <c r="B500" s="224" t="inlineStr">
        <is>
          <t>THC Fee-Ex</t>
        </is>
      </c>
      <c r="C500" s="224" t="inlineStr">
        <is>
          <t>APL LOGISTICS (CAMBODIA) PTE LTD.</t>
        </is>
      </c>
      <c r="D500" s="225" t="inlineStr">
        <is>
          <t>L001-100046460</t>
        </is>
      </c>
      <c r="E500" s="359" t="inlineStr">
        <is>
          <t>APLL25003533</t>
        </is>
      </c>
      <c r="F500" s="338" t="n">
        <v>45807</v>
      </c>
      <c r="G500" s="226" t="n"/>
      <c r="H500" s="627" t="n"/>
      <c r="I500" s="627" t="n">
        <v>132165</v>
      </c>
      <c r="J500" s="223" t="inlineStr">
        <is>
          <t>អនុញ្ញាត (បានប្រកាស)</t>
        </is>
      </c>
      <c r="K500" s="223" t="n"/>
      <c r="L500" s="626">
        <f>I500</f>
        <v/>
      </c>
      <c r="M500" s="598">
        <f>I500-L500</f>
        <v/>
      </c>
      <c r="N500" s="223" t="n"/>
      <c r="O500" s="228">
        <f>U500=E500</f>
        <v/>
      </c>
      <c r="P500" s="228">
        <f>MONTH(F500)-MONTH(T500)</f>
        <v/>
      </c>
      <c r="Q500" s="228">
        <f>$B$5=X500</f>
        <v/>
      </c>
      <c r="R500" s="228">
        <f>I500-AD500</f>
        <v/>
      </c>
      <c r="S500" s="371" t="n"/>
      <c r="T500" s="372" t="n">
        <v>45807</v>
      </c>
      <c r="U500" s="371" t="inlineStr">
        <is>
          <t>APLL25003533</t>
        </is>
      </c>
      <c r="V500" s="371" t="n"/>
      <c r="W500" s="371" t="n"/>
      <c r="X500" s="371" t="n"/>
      <c r="Y500" s="371" t="inlineStr">
        <is>
          <t>ហូលីដេ ឌីហ្សាញ (ខេមបូឌា) ឯ.ក</t>
        </is>
      </c>
      <c r="Z500" s="373" t="n"/>
      <c r="AA500" s="373" t="n"/>
      <c r="AB500" s="371" t="n"/>
      <c r="AC500" s="371" t="n"/>
      <c r="AD500" s="373" t="n">
        <v>132165</v>
      </c>
      <c r="AE500" s="371" t="n"/>
      <c r="AF500" s="625" t="n"/>
    </row>
    <row r="501">
      <c r="A501" s="222">
        <f>A500+1</f>
        <v/>
      </c>
      <c r="B501" s="224" t="inlineStr">
        <is>
          <t>THC Fee-Ex</t>
        </is>
      </c>
      <c r="C501" s="224" t="inlineStr">
        <is>
          <t>APL LOGISTICS (CAMBODIA) PTE LTD.</t>
        </is>
      </c>
      <c r="D501" s="225" t="inlineStr">
        <is>
          <t>L001-100046460</t>
        </is>
      </c>
      <c r="E501" s="359" t="inlineStr">
        <is>
          <t>APLL25003568</t>
        </is>
      </c>
      <c r="F501" s="338" t="n">
        <v>45807</v>
      </c>
      <c r="G501" s="226" t="n"/>
      <c r="H501" s="627" t="n"/>
      <c r="I501" s="627" t="n">
        <v>104130</v>
      </c>
      <c r="J501" s="223" t="inlineStr">
        <is>
          <t>អនុញ្ញាត (បានប្រកាស)</t>
        </is>
      </c>
      <c r="K501" s="223" t="n"/>
      <c r="L501" s="626">
        <f>I501</f>
        <v/>
      </c>
      <c r="M501" s="598">
        <f>I501-L501</f>
        <v/>
      </c>
      <c r="N501" s="223" t="n"/>
      <c r="O501" s="228">
        <f>U501=E501</f>
        <v/>
      </c>
      <c r="P501" s="228">
        <f>MONTH(F501)-MONTH(T501)</f>
        <v/>
      </c>
      <c r="Q501" s="228">
        <f>$B$5=X501</f>
        <v/>
      </c>
      <c r="R501" s="228">
        <f>I501-AD501</f>
        <v/>
      </c>
      <c r="S501" s="371" t="n"/>
      <c r="T501" s="372" t="n">
        <v>45807</v>
      </c>
      <c r="U501" s="371" t="inlineStr">
        <is>
          <t>APLL25003568</t>
        </is>
      </c>
      <c r="V501" s="371" t="n"/>
      <c r="W501" s="371" t="n"/>
      <c r="X501" s="371" t="n"/>
      <c r="Y501" s="371" t="inlineStr">
        <is>
          <t>ហូលីដេ ឌីហ្សាញ (ខេមបូឌា) ឯ.ក</t>
        </is>
      </c>
      <c r="Z501" s="373" t="n"/>
      <c r="AA501" s="373" t="n"/>
      <c r="AB501" s="371" t="n"/>
      <c r="AC501" s="371" t="n"/>
      <c r="AD501" s="373" t="n">
        <v>104130</v>
      </c>
      <c r="AE501" s="371" t="n"/>
      <c r="AF501" s="625" t="n"/>
    </row>
    <row r="502">
      <c r="A502" s="222">
        <f>A501+1</f>
        <v/>
      </c>
      <c r="B502" s="224" t="inlineStr">
        <is>
          <t>THC Fee-Ex</t>
        </is>
      </c>
      <c r="C502" s="224" t="inlineStr">
        <is>
          <t>APL LOGISTICS (CAMBODIA) PTE LTD.</t>
        </is>
      </c>
      <c r="D502" s="225" t="inlineStr">
        <is>
          <t>L001-100046460</t>
        </is>
      </c>
      <c r="E502" s="359" t="inlineStr">
        <is>
          <t>APLL25003531</t>
        </is>
      </c>
      <c r="F502" s="338" t="n">
        <v>45807</v>
      </c>
      <c r="G502" s="226" t="n"/>
      <c r="H502" s="627" t="n"/>
      <c r="I502" s="627" t="n">
        <v>240300</v>
      </c>
      <c r="J502" s="223" t="inlineStr">
        <is>
          <t>អនុញ្ញាត (បានប្រកាស)</t>
        </is>
      </c>
      <c r="K502" s="628" t="n"/>
      <c r="L502" s="626">
        <f>I502</f>
        <v/>
      </c>
      <c r="M502" s="598">
        <f>I502-L502</f>
        <v/>
      </c>
      <c r="N502" s="223" t="n"/>
      <c r="O502" s="228">
        <f>U502=E502</f>
        <v/>
      </c>
      <c r="P502" s="228">
        <f>MONTH(F502)-MONTH(T502)</f>
        <v/>
      </c>
      <c r="Q502" s="228">
        <f>$B$5=X502</f>
        <v/>
      </c>
      <c r="R502" s="228">
        <f>I502-AD502</f>
        <v/>
      </c>
      <c r="S502" s="371" t="n"/>
      <c r="T502" s="372" t="n">
        <v>45807</v>
      </c>
      <c r="U502" s="371" t="inlineStr">
        <is>
          <t>APLL25003531</t>
        </is>
      </c>
      <c r="V502" s="371" t="n"/>
      <c r="W502" s="371" t="n"/>
      <c r="X502" s="371" t="n"/>
      <c r="Y502" s="371" t="inlineStr">
        <is>
          <t>ហូលីដេ ឌីហ្សាញ (ខេមបូឌា) ឯ.ក</t>
        </is>
      </c>
      <c r="Z502" s="373" t="n"/>
      <c r="AA502" s="373" t="n"/>
      <c r="AB502" s="371" t="n"/>
      <c r="AC502" s="371" t="n"/>
      <c r="AD502" s="373" t="n">
        <v>240300</v>
      </c>
      <c r="AE502" s="371" t="n"/>
      <c r="AF502" s="625" t="n"/>
    </row>
    <row r="503">
      <c r="A503" s="222">
        <f>A502+1</f>
        <v/>
      </c>
      <c r="B503" s="224" t="inlineStr">
        <is>
          <t>THC Fee-Ex</t>
        </is>
      </c>
      <c r="C503" s="224" t="inlineStr">
        <is>
          <t>APL LOGISTICS (CAMBODIA) PTE LTD.</t>
        </is>
      </c>
      <c r="D503" s="225" t="inlineStr">
        <is>
          <t>L001-100046460</t>
        </is>
      </c>
      <c r="E503" s="359" t="inlineStr">
        <is>
          <t>APLL25003532</t>
        </is>
      </c>
      <c r="F503" s="338" t="n">
        <v>45807</v>
      </c>
      <c r="G503" s="226" t="n"/>
      <c r="H503" s="627" t="n"/>
      <c r="I503" s="627" t="n">
        <v>456570</v>
      </c>
      <c r="J503" s="223" t="inlineStr">
        <is>
          <t>អនុញ្ញាត (បានប្រកាស)</t>
        </is>
      </c>
      <c r="K503" s="628" t="n"/>
      <c r="L503" s="626">
        <f>I503</f>
        <v/>
      </c>
      <c r="M503" s="598">
        <f>I503-L503</f>
        <v/>
      </c>
      <c r="N503" s="223" t="n"/>
      <c r="O503" s="228">
        <f>U503=E503</f>
        <v/>
      </c>
      <c r="P503" s="228">
        <f>MONTH(F503)-MONTH(T503)</f>
        <v/>
      </c>
      <c r="Q503" s="228">
        <f>$B$5=X503</f>
        <v/>
      </c>
      <c r="R503" s="228">
        <f>I503-AD503</f>
        <v/>
      </c>
      <c r="S503" s="371" t="n"/>
      <c r="T503" s="372" t="n">
        <v>45807</v>
      </c>
      <c r="U503" s="371" t="inlineStr">
        <is>
          <t>APLL25003532</t>
        </is>
      </c>
      <c r="V503" s="371" t="n"/>
      <c r="W503" s="371" t="n"/>
      <c r="X503" s="371" t="n"/>
      <c r="Y503" s="371" t="inlineStr">
        <is>
          <t>ហូលីដេ ឌីហ្សាញ (ខេមបូឌា) ឯ.ក</t>
        </is>
      </c>
      <c r="Z503" s="373" t="n"/>
      <c r="AA503" s="373" t="n"/>
      <c r="AB503" s="371" t="n"/>
      <c r="AC503" s="371" t="n"/>
      <c r="AD503" s="373" t="n">
        <v>456570</v>
      </c>
      <c r="AE503" s="371" t="n"/>
      <c r="AF503" s="625" t="n"/>
    </row>
    <row r="504">
      <c r="A504" s="222">
        <f>A503+1</f>
        <v/>
      </c>
      <c r="B504" s="224" t="inlineStr">
        <is>
          <t>Trucking &amp; Clearance-Im</t>
        </is>
      </c>
      <c r="C504" s="224" t="inlineStr">
        <is>
          <t>BRILLIANT TRANSPORT AND TRADING Co., Ltd.</t>
        </is>
      </c>
      <c r="D504" s="225" t="inlineStr">
        <is>
          <t>K002-100089305</t>
        </is>
      </c>
      <c r="E504" s="359" t="inlineStr">
        <is>
          <t>BTT25-0001050</t>
        </is>
      </c>
      <c r="F504" s="338" t="n">
        <v>45782</v>
      </c>
      <c r="G504" s="226" t="n"/>
      <c r="H504" s="627" t="n"/>
      <c r="I504" s="627" t="n">
        <v>2406404</v>
      </c>
      <c r="J504" s="223" t="inlineStr">
        <is>
          <t>អនុញ្ញាត (បានប្រកាស)</t>
        </is>
      </c>
      <c r="K504" s="628" t="n"/>
      <c r="L504" s="626">
        <f>I504</f>
        <v/>
      </c>
      <c r="M504" s="598">
        <f>I504-L504</f>
        <v/>
      </c>
      <c r="N504" s="223" t="n"/>
      <c r="O504" s="228">
        <f>U504=E504</f>
        <v/>
      </c>
      <c r="P504" s="228">
        <f>MONTH(F504)-MONTH(T504)</f>
        <v/>
      </c>
      <c r="Q504" s="228">
        <f>$B$5=X504</f>
        <v/>
      </c>
      <c r="R504" s="228">
        <f>I504-AD504</f>
        <v/>
      </c>
      <c r="S504" s="371" t="n"/>
      <c r="T504" s="372" t="n">
        <v>45782</v>
      </c>
      <c r="U504" s="371" t="inlineStr">
        <is>
          <t>BTT25-0001050</t>
        </is>
      </c>
      <c r="V504" s="371" t="n"/>
      <c r="W504" s="371" t="n"/>
      <c r="X504" s="371" t="n"/>
      <c r="Y504" s="371" t="inlineStr">
        <is>
          <t>ហូលីដេ ឌីហ្សាញ (ខេមបូឌា) ឯ.ក</t>
        </is>
      </c>
      <c r="Z504" s="373" t="n"/>
      <c r="AA504" s="373" t="n"/>
      <c r="AB504" s="371" t="n"/>
      <c r="AC504" s="371" t="n"/>
      <c r="AD504" s="373" t="n">
        <v>2406404</v>
      </c>
      <c r="AE504" s="371" t="n"/>
      <c r="AF504" s="625" t="n"/>
      <c r="AN504" s="205" t="inlineStr">
        <is>
          <t>Truking / Service</t>
        </is>
      </c>
    </row>
    <row r="505">
      <c r="A505" s="222">
        <f>A504+1</f>
        <v/>
      </c>
      <c r="B505" s="224" t="inlineStr">
        <is>
          <t>Terminal Handling Charge-Im</t>
        </is>
      </c>
      <c r="C505" s="224" t="inlineStr">
        <is>
          <t>SITC CONTAINER LINES (CAMBODIA) Co., Ltd.</t>
        </is>
      </c>
      <c r="D505" s="225" t="inlineStr">
        <is>
          <t>L001-107035863</t>
        </is>
      </c>
      <c r="E505" s="359" t="inlineStr">
        <is>
          <t>SITC2025-015110</t>
        </is>
      </c>
      <c r="F505" s="338" t="n">
        <v>45778</v>
      </c>
      <c r="G505" s="226" t="n"/>
      <c r="H505" s="627" t="n"/>
      <c r="I505" s="627" t="n">
        <v>2105578</v>
      </c>
      <c r="J505" s="223" t="inlineStr">
        <is>
          <t>អនុញ្ញាត (បានប្រកាស)</t>
        </is>
      </c>
      <c r="K505" s="628" t="n"/>
      <c r="L505" s="626">
        <f>I505</f>
        <v/>
      </c>
      <c r="M505" s="598">
        <f>I505-L505</f>
        <v/>
      </c>
      <c r="N505" s="223" t="n"/>
      <c r="O505" s="228">
        <f>U505=E505</f>
        <v/>
      </c>
      <c r="P505" s="228">
        <f>MONTH(F505)-MONTH(T505)</f>
        <v/>
      </c>
      <c r="Q505" s="228">
        <f>$B$5=X505</f>
        <v/>
      </c>
      <c r="R505" s="228">
        <f>I505-AD505</f>
        <v/>
      </c>
      <c r="S505" s="371" t="n"/>
      <c r="T505" s="372" t="n">
        <v>45778</v>
      </c>
      <c r="U505" s="371" t="inlineStr">
        <is>
          <t>SITC2025-015110</t>
        </is>
      </c>
      <c r="V505" s="371" t="n"/>
      <c r="W505" s="371" t="inlineStr">
        <is>
          <t>បុគ្គលជាប់អាករ</t>
        </is>
      </c>
      <c r="X505" s="371" t="inlineStr">
        <is>
          <t>L001-901640009</t>
        </is>
      </c>
      <c r="Y505" s="371" t="inlineStr">
        <is>
          <t>ហូលីដេ ឌីហ្សាញ (ខេមបូឌា) ឯ.ក</t>
        </is>
      </c>
      <c r="Z505" s="373" t="n">
        <v>23161358</v>
      </c>
      <c r="AA505" s="373" t="n">
        <v>21055780</v>
      </c>
      <c r="AB505" s="371" t="n">
        <v>0</v>
      </c>
      <c r="AC505" s="371" t="inlineStr">
        <is>
          <t>-</t>
        </is>
      </c>
      <c r="AD505" s="373" t="n">
        <v>2105578</v>
      </c>
      <c r="AE505" s="371" t="n">
        <v>0</v>
      </c>
      <c r="AF505" s="625" t="n">
        <v>0</v>
      </c>
      <c r="AG505" s="205" t="n">
        <v>0</v>
      </c>
      <c r="AH505" s="205" t="n">
        <v>0</v>
      </c>
      <c r="AI505" s="205" t="n">
        <v>0</v>
      </c>
      <c r="AJ505" s="205" t="n">
        <v>0</v>
      </c>
      <c r="AK505" s="205" t="n">
        <v>0</v>
      </c>
      <c r="AL505" s="205" t="n">
        <v>0.01</v>
      </c>
      <c r="AN505" s="205" t="inlineStr">
        <is>
          <t>KHCIC,KHDOC,EMF,KHTH</t>
        </is>
      </c>
    </row>
    <row r="506">
      <c r="A506" s="222">
        <f>A505+1</f>
        <v/>
      </c>
      <c r="B506" s="224" t="inlineStr">
        <is>
          <t>Rental Building for 10-2024</t>
        </is>
      </c>
      <c r="C506" s="224" t="inlineStr">
        <is>
          <t>HOLIDAY DESIGNS INTERNATIONAL Ltd.</t>
        </is>
      </c>
      <c r="D506" s="225" t="inlineStr">
        <is>
          <t>L001-901502196</t>
        </is>
      </c>
      <c r="E506" s="359" t="inlineStr">
        <is>
          <t>INT2401037</t>
        </is>
      </c>
      <c r="F506" s="338" t="n">
        <v>45596</v>
      </c>
      <c r="G506" s="226" t="n"/>
      <c r="H506" s="627" t="n"/>
      <c r="I506" s="627" t="n">
        <v>18698962</v>
      </c>
      <c r="J506" s="223" t="inlineStr">
        <is>
          <t>អនុញ្ញាត (បានប្រកាស)</t>
        </is>
      </c>
      <c r="K506" s="628" t="n"/>
      <c r="L506" s="626">
        <f>I506</f>
        <v/>
      </c>
      <c r="M506" s="598">
        <f>I506-L506</f>
        <v/>
      </c>
      <c r="N506" s="223" t="inlineStr">
        <is>
          <t>បានពិនិត្យវិក្កយបត្រ</t>
        </is>
      </c>
      <c r="O506" s="228">
        <f>U506=E506</f>
        <v/>
      </c>
      <c r="P506" s="228">
        <f>MONTH(F506)-MONTH(T506)</f>
        <v/>
      </c>
      <c r="Q506" s="228">
        <f>$B$5=X506</f>
        <v/>
      </c>
      <c r="R506" s="228">
        <f>I506-AD506</f>
        <v/>
      </c>
      <c r="S506" s="371" t="n"/>
      <c r="T506" s="372" t="n">
        <v>45596</v>
      </c>
      <c r="U506" s="371" t="inlineStr">
        <is>
          <t>INT2401037</t>
        </is>
      </c>
      <c r="V506" s="371" t="n">
        <v>0</v>
      </c>
      <c r="W506" s="371" t="inlineStr">
        <is>
          <t>បុគ្គលជាប់អាករ</t>
        </is>
      </c>
      <c r="X506" s="371" t="inlineStr">
        <is>
          <t>L001-901640009</t>
        </is>
      </c>
      <c r="Y506" s="371" t="inlineStr">
        <is>
          <t>ហូលីដេ ឌីហ្សាញ (ខេមបូឌា) ឯ.ក</t>
        </is>
      </c>
      <c r="Z506" s="373" t="n">
        <v>205688583</v>
      </c>
      <c r="AA506" s="373" t="n">
        <v>186989621</v>
      </c>
      <c r="AB506" s="371" t="n">
        <v>0</v>
      </c>
      <c r="AC506" s="371" t="inlineStr">
        <is>
          <t>-</t>
        </is>
      </c>
      <c r="AD506" s="373" t="n">
        <v>18698962</v>
      </c>
      <c r="AE506" s="371" t="n">
        <v>0</v>
      </c>
      <c r="AF506" s="625" t="n">
        <v>0</v>
      </c>
      <c r="AG506" s="205" t="n">
        <v>0</v>
      </c>
      <c r="AH506" s="205" t="n">
        <v>0</v>
      </c>
      <c r="AI506" s="205" t="n">
        <v>0</v>
      </c>
      <c r="AJ506" s="205" t="n">
        <v>0</v>
      </c>
      <c r="AK506" s="205" t="n">
        <v>0</v>
      </c>
      <c r="AL506" s="205" t="n">
        <v>0.01</v>
      </c>
      <c r="AM506" s="205" t="n">
        <v>0</v>
      </c>
      <c r="AN506" s="205" t="inlineStr">
        <is>
          <t>Rental Building 10-2024</t>
        </is>
      </c>
      <c r="AO506" s="205" t="inlineStr">
        <is>
          <t>បានប្រកាសនិងបង់ពន្ធ</t>
        </is>
      </c>
    </row>
    <row r="507">
      <c r="A507" s="222">
        <f>A506+1</f>
        <v/>
      </c>
      <c r="B507" s="224" t="inlineStr">
        <is>
          <t>Trucking &amp; Clearance-Im</t>
        </is>
      </c>
      <c r="C507" s="224" t="inlineStr">
        <is>
          <t>BRILLIANT TRANSPORT AND TRADING Co., Ltd.</t>
        </is>
      </c>
      <c r="D507" s="225" t="inlineStr">
        <is>
          <t>K002-100089305</t>
        </is>
      </c>
      <c r="E507" s="359" t="inlineStr">
        <is>
          <t>BTT25-0001168</t>
        </is>
      </c>
      <c r="F507" s="338" t="n">
        <v>45803</v>
      </c>
      <c r="G507" s="226" t="n"/>
      <c r="H507" s="627" t="n"/>
      <c r="I507" s="627" t="n">
        <v>236118</v>
      </c>
      <c r="J507" s="223" t="inlineStr">
        <is>
          <t>អនុញ្ញាត (បានប្រកាស)</t>
        </is>
      </c>
      <c r="K507" s="628" t="n"/>
      <c r="L507" s="626">
        <f>I507</f>
        <v/>
      </c>
      <c r="M507" s="598">
        <f>I507-L507</f>
        <v/>
      </c>
      <c r="N507" s="223" t="n"/>
      <c r="O507" s="228">
        <f>U507=E507</f>
        <v/>
      </c>
      <c r="P507" s="228">
        <f>MONTH(F507)-MONTH(T507)</f>
        <v/>
      </c>
      <c r="Q507" s="228">
        <f>$B$5=X507</f>
        <v/>
      </c>
      <c r="R507" s="228">
        <f>I507-AD507</f>
        <v/>
      </c>
      <c r="S507" s="371" t="n"/>
      <c r="T507" s="372" t="n">
        <v>45803</v>
      </c>
      <c r="U507" s="371" t="inlineStr">
        <is>
          <t>BTT25-0001168</t>
        </is>
      </c>
      <c r="V507" s="371" t="n"/>
      <c r="W507" s="371" t="n"/>
      <c r="X507" s="371" t="n"/>
      <c r="Y507" s="371" t="inlineStr">
        <is>
          <t>ហូលីដេ ឌីហ្សាញ (ខេមបូឌា) ឯ.ក</t>
        </is>
      </c>
      <c r="Z507" s="373" t="n"/>
      <c r="AA507" s="373" t="n"/>
      <c r="AB507" s="371" t="n"/>
      <c r="AC507" s="371" t="n"/>
      <c r="AD507" s="373" t="n">
        <v>236118</v>
      </c>
      <c r="AE507" s="371" t="n"/>
      <c r="AF507" s="625" t="n"/>
      <c r="AN507" s="205" t="inlineStr">
        <is>
          <t>Truking / Service</t>
        </is>
      </c>
    </row>
    <row r="508">
      <c r="A508" s="222">
        <f>A507+1</f>
        <v/>
      </c>
      <c r="B508" s="224" t="inlineStr">
        <is>
          <t>Lift-On &amp; Lift-On-Im</t>
        </is>
      </c>
      <c r="C508" s="224" t="inlineStr">
        <is>
          <t>Port Autonome Du Sihanoukville</t>
        </is>
      </c>
      <c r="D508" s="225" t="inlineStr">
        <is>
          <t>L001-100044638</t>
        </is>
      </c>
      <c r="E508" s="359" t="n">
        <v>202500122674</v>
      </c>
      <c r="F508" s="338" t="n">
        <v>45803</v>
      </c>
      <c r="G508" s="226" t="n"/>
      <c r="H508" s="627" t="n"/>
      <c r="I508" s="627" t="n">
        <v>22811</v>
      </c>
      <c r="J508" s="223" t="inlineStr">
        <is>
          <t>អនុញ្ញាត (បានប្រកាស)</t>
        </is>
      </c>
      <c r="K508" s="628" t="n"/>
      <c r="L508" s="626">
        <f>I508</f>
        <v/>
      </c>
      <c r="M508" s="598">
        <f>I508-L508</f>
        <v/>
      </c>
      <c r="N508" s="223" t="n"/>
      <c r="O508" s="228">
        <f>U508=E508</f>
        <v/>
      </c>
      <c r="P508" s="228">
        <f>MONTH(F508)-MONTH(T508)</f>
        <v/>
      </c>
      <c r="Q508" s="228">
        <f>$B$5=X508</f>
        <v/>
      </c>
      <c r="R508" s="228">
        <f>I508-AD508</f>
        <v/>
      </c>
      <c r="S508" s="371" t="n"/>
      <c r="T508" s="372" t="n">
        <v>45803</v>
      </c>
      <c r="U508" s="371" t="n">
        <v>202500122674</v>
      </c>
      <c r="V508" s="371" t="n"/>
      <c r="W508" s="371" t="inlineStr">
        <is>
          <t>បុគ្គលជាប់អាករ</t>
        </is>
      </c>
      <c r="X508" s="371" t="inlineStr">
        <is>
          <t>L001-901640009</t>
        </is>
      </c>
      <c r="Y508" s="371" t="inlineStr">
        <is>
          <t>ហូលីដេ ឌីហ្សាញ (ខេមបូឌា) ឯ.ក</t>
        </is>
      </c>
      <c r="Z508" s="373" t="n">
        <v>250925</v>
      </c>
      <c r="AA508" s="373" t="n">
        <v>228114</v>
      </c>
      <c r="AB508" s="371" t="n">
        <v>0</v>
      </c>
      <c r="AC508" s="371" t="inlineStr">
        <is>
          <t>-</t>
        </is>
      </c>
      <c r="AD508" s="373" t="n">
        <v>22811</v>
      </c>
      <c r="AE508" s="371" t="n"/>
      <c r="AF508" s="625" t="n"/>
    </row>
    <row r="509">
      <c r="A509" s="222">
        <f>A508+1</f>
        <v/>
      </c>
      <c r="B509" s="224" t="inlineStr">
        <is>
          <t>Terminal Handling Charge-Im</t>
        </is>
      </c>
      <c r="C509" s="224" t="inlineStr">
        <is>
          <t>SITC CONTAINER LINES (CAMBODIA) Co., Ltd.</t>
        </is>
      </c>
      <c r="D509" s="225" t="inlineStr">
        <is>
          <t>L001-107035863</t>
        </is>
      </c>
      <c r="E509" s="359" t="inlineStr">
        <is>
          <t>SITC2025-017651</t>
        </is>
      </c>
      <c r="F509" s="338" t="n">
        <v>45798</v>
      </c>
      <c r="G509" s="226" t="n"/>
      <c r="H509" s="627" t="n"/>
      <c r="I509" s="627" t="n">
        <v>144108</v>
      </c>
      <c r="J509" s="223" t="inlineStr">
        <is>
          <t>អនុញ្ញាត (បានប្រកាស)</t>
        </is>
      </c>
      <c r="K509" s="628" t="n"/>
      <c r="L509" s="626">
        <f>I509</f>
        <v/>
      </c>
      <c r="M509" s="598">
        <f>I509-L509</f>
        <v/>
      </c>
      <c r="N509" s="223" t="n"/>
      <c r="O509" s="228">
        <f>U509=E509</f>
        <v/>
      </c>
      <c r="P509" s="228">
        <f>MONTH(F509)-MONTH(T509)</f>
        <v/>
      </c>
      <c r="Q509" s="228">
        <f>$B$5=X509</f>
        <v/>
      </c>
      <c r="R509" s="228">
        <f>I509-AD509</f>
        <v/>
      </c>
      <c r="S509" s="371" t="n"/>
      <c r="T509" s="372" t="n">
        <v>45798</v>
      </c>
      <c r="U509" s="371" t="inlineStr">
        <is>
          <t>SITC2025-017651</t>
        </is>
      </c>
      <c r="V509" s="371" t="n"/>
      <c r="W509" s="371" t="inlineStr">
        <is>
          <t>បុគ្គលជាប់អាករ</t>
        </is>
      </c>
      <c r="X509" s="371" t="inlineStr">
        <is>
          <t>L001-901640009</t>
        </is>
      </c>
      <c r="Y509" s="371" t="inlineStr">
        <is>
          <t>ហូលីដេ ឌីហ្សាញ (ខេមបូឌា) ឯ.ក</t>
        </is>
      </c>
      <c r="Z509" s="373" t="n">
        <v>1585188</v>
      </c>
      <c r="AA509" s="373" t="n">
        <v>1441080</v>
      </c>
      <c r="AB509" s="371" t="n">
        <v>0</v>
      </c>
      <c r="AC509" s="371" t="inlineStr">
        <is>
          <t>-</t>
        </is>
      </c>
      <c r="AD509" s="373" t="n">
        <v>144108</v>
      </c>
      <c r="AE509" s="371" t="n">
        <v>0</v>
      </c>
      <c r="AF509" s="625" t="n">
        <v>0</v>
      </c>
      <c r="AG509" s="205" t="n">
        <v>0</v>
      </c>
      <c r="AH509" s="205" t="n">
        <v>0</v>
      </c>
      <c r="AI509" s="205" t="n">
        <v>0</v>
      </c>
      <c r="AJ509" s="205" t="n">
        <v>0</v>
      </c>
      <c r="AK509" s="205" t="n">
        <v>0</v>
      </c>
      <c r="AL509" s="205" t="n">
        <v>0.01</v>
      </c>
      <c r="AN509" s="205" t="inlineStr">
        <is>
          <t>KHTHC,KHCIC,EMF,KHDO</t>
        </is>
      </c>
    </row>
    <row r="510">
      <c r="A510" s="222">
        <f>A509+1</f>
        <v/>
      </c>
      <c r="B510" s="224" t="inlineStr">
        <is>
          <t>Trucking &amp; Clearance-Im</t>
        </is>
      </c>
      <c r="C510" s="224" t="inlineStr">
        <is>
          <t>BRILLIANT TRANSPORT AND TRADING Co., Ltd.</t>
        </is>
      </c>
      <c r="D510" s="225" t="inlineStr">
        <is>
          <t>K002-100089305</t>
        </is>
      </c>
      <c r="E510" s="359" t="inlineStr">
        <is>
          <t>BTT25-0001167</t>
        </is>
      </c>
      <c r="F510" s="338" t="n">
        <v>45803</v>
      </c>
      <c r="G510" s="226" t="n"/>
      <c r="H510" s="627" t="n"/>
      <c r="I510" s="627" t="n">
        <v>268134</v>
      </c>
      <c r="J510" s="223" t="inlineStr">
        <is>
          <t>អនុញ្ញាត (បានប្រកាស)</t>
        </is>
      </c>
      <c r="K510" s="628" t="n"/>
      <c r="L510" s="626">
        <f>I510</f>
        <v/>
      </c>
      <c r="M510" s="598">
        <f>I510-L510</f>
        <v/>
      </c>
      <c r="N510" s="223" t="n"/>
      <c r="O510" s="228">
        <f>U510=E510</f>
        <v/>
      </c>
      <c r="P510" s="228">
        <f>MONTH(F510)-MONTH(T510)</f>
        <v/>
      </c>
      <c r="Q510" s="228">
        <f>$B$5=X510</f>
        <v/>
      </c>
      <c r="R510" s="228">
        <f>I510-AD510</f>
        <v/>
      </c>
      <c r="S510" s="371" t="n"/>
      <c r="T510" s="372" t="n">
        <v>45803</v>
      </c>
      <c r="U510" s="371" t="inlineStr">
        <is>
          <t>BTT25-0001167</t>
        </is>
      </c>
      <c r="V510" s="371" t="n"/>
      <c r="W510" s="371" t="n"/>
      <c r="X510" s="371" t="n"/>
      <c r="Y510" s="371" t="inlineStr">
        <is>
          <t>ហូលីដេ ឌីហ្សាញ (ខេមបូឌា) ឯ.ក</t>
        </is>
      </c>
      <c r="Z510" s="373" t="n"/>
      <c r="AA510" s="373" t="n"/>
      <c r="AB510" s="371" t="n"/>
      <c r="AC510" s="371" t="n"/>
      <c r="AD510" s="373" t="n">
        <v>268134</v>
      </c>
      <c r="AE510" s="371" t="n"/>
      <c r="AF510" s="625" t="n"/>
      <c r="AN510" s="205" t="inlineStr">
        <is>
          <t>Truking / Service</t>
        </is>
      </c>
    </row>
    <row r="511">
      <c r="A511" s="222">
        <f>A510+1</f>
        <v/>
      </c>
      <c r="B511" s="224" t="inlineStr">
        <is>
          <t>Gate Charge &amp; Cleaning Container Fee-Im</t>
        </is>
      </c>
      <c r="C511" s="224" t="inlineStr">
        <is>
          <t>BRILLIANT TRANSPORT AND TRADING Co., Ltd.</t>
        </is>
      </c>
      <c r="D511" s="225" t="inlineStr">
        <is>
          <t>K002-100089305</t>
        </is>
      </c>
      <c r="E511" s="359" t="inlineStr">
        <is>
          <t>BTT25-0001150</t>
        </is>
      </c>
      <c r="F511" s="338" t="n">
        <v>45779</v>
      </c>
      <c r="G511" s="226" t="n"/>
      <c r="H511" s="627" t="n"/>
      <c r="I511" s="627" t="n">
        <v>129345</v>
      </c>
      <c r="J511" s="223" t="inlineStr">
        <is>
          <t>អនុញ្ញាត (បានប្រកាស)</t>
        </is>
      </c>
      <c r="K511" s="628" t="n"/>
      <c r="L511" s="626">
        <f>I511</f>
        <v/>
      </c>
      <c r="M511" s="598">
        <f>I511-L511</f>
        <v/>
      </c>
      <c r="N511" s="223" t="n"/>
      <c r="O511" s="228">
        <f>U511=E511</f>
        <v/>
      </c>
      <c r="P511" s="228">
        <f>MONTH(F511)-MONTH(T511)</f>
        <v/>
      </c>
      <c r="Q511" s="228">
        <f>$B$5=X511</f>
        <v/>
      </c>
      <c r="R511" s="228">
        <f>I511-AD511</f>
        <v/>
      </c>
      <c r="S511" s="371" t="n"/>
      <c r="T511" s="372" t="n">
        <v>45779</v>
      </c>
      <c r="U511" s="371" t="inlineStr">
        <is>
          <t>BTT25-0001150</t>
        </is>
      </c>
      <c r="V511" s="371" t="n"/>
      <c r="W511" s="371" t="n"/>
      <c r="X511" s="371" t="n"/>
      <c r="Y511" s="371" t="inlineStr">
        <is>
          <t>ហូលីដេ ឌីហ្សាញ (ខេមបូឌា) ឯ.ក</t>
        </is>
      </c>
      <c r="Z511" s="373" t="n"/>
      <c r="AA511" s="373" t="n"/>
      <c r="AB511" s="371" t="n"/>
      <c r="AC511" s="371" t="n"/>
      <c r="AD511" s="373" t="n">
        <v>129345</v>
      </c>
      <c r="AE511" s="371" t="n"/>
      <c r="AF511" s="625" t="n"/>
      <c r="AN511" s="205" t="inlineStr">
        <is>
          <t>Truking / Service</t>
        </is>
      </c>
    </row>
    <row r="512">
      <c r="A512" s="222">
        <f>A511+1</f>
        <v/>
      </c>
      <c r="B512" s="224" t="inlineStr">
        <is>
          <t>Lift-On &amp; Lift-On-Im</t>
        </is>
      </c>
      <c r="C512" s="224" t="inlineStr">
        <is>
          <t>Port Autonome Du Sihanoukville</t>
        </is>
      </c>
      <c r="D512" s="225" t="inlineStr">
        <is>
          <t>L001-100044638</t>
        </is>
      </c>
      <c r="E512" s="359" t="n">
        <v>202500109280</v>
      </c>
      <c r="F512" s="338" t="n">
        <v>45789</v>
      </c>
      <c r="G512" s="226" t="n"/>
      <c r="H512" s="627" t="n"/>
      <c r="I512" s="627" t="n">
        <v>159720</v>
      </c>
      <c r="J512" s="223" t="inlineStr">
        <is>
          <t>អនុញ្ញាត (បានប្រកាស)</t>
        </is>
      </c>
      <c r="K512" s="628" t="n"/>
      <c r="L512" s="626">
        <f>I512</f>
        <v/>
      </c>
      <c r="M512" s="598">
        <f>I512-L512</f>
        <v/>
      </c>
      <c r="N512" s="223" t="n"/>
      <c r="O512" s="228">
        <f>U512=E512</f>
        <v/>
      </c>
      <c r="P512" s="228">
        <f>MONTH(F512)-MONTH(T512)</f>
        <v/>
      </c>
      <c r="Q512" s="228">
        <f>$B$5=X512</f>
        <v/>
      </c>
      <c r="R512" s="228">
        <f>I512-AD512</f>
        <v/>
      </c>
      <c r="S512" s="371" t="n"/>
      <c r="T512" s="372" t="n">
        <v>45789</v>
      </c>
      <c r="U512" s="371" t="n">
        <v>202500109280</v>
      </c>
      <c r="V512" s="371" t="n"/>
      <c r="W512" s="371" t="inlineStr">
        <is>
          <t>បុគ្គលជាប់អាករ</t>
        </is>
      </c>
      <c r="X512" s="371" t="inlineStr">
        <is>
          <t>L001-901640009</t>
        </is>
      </c>
      <c r="Y512" s="371" t="inlineStr">
        <is>
          <t>ហូលីដេ ឌីហ្សាញ (ខេមបូឌា) ឯ.ក</t>
        </is>
      </c>
      <c r="Z512" s="373" t="n">
        <v>1756917</v>
      </c>
      <c r="AA512" s="373" t="n">
        <v>1597197</v>
      </c>
      <c r="AB512" s="371" t="n">
        <v>0</v>
      </c>
      <c r="AC512" s="371" t="inlineStr">
        <is>
          <t>-</t>
        </is>
      </c>
      <c r="AD512" s="373" t="n">
        <v>159720</v>
      </c>
      <c r="AE512" s="371" t="n"/>
      <c r="AF512" s="625" t="n"/>
    </row>
    <row r="513">
      <c r="A513" s="222">
        <f>A512+1</f>
        <v/>
      </c>
      <c r="B513" s="224" t="inlineStr">
        <is>
          <t>Lift-On &amp; Lift-On-Im</t>
        </is>
      </c>
      <c r="C513" s="224" t="inlineStr">
        <is>
          <t>Port Autonome Du Sihanoukville</t>
        </is>
      </c>
      <c r="D513" s="225" t="inlineStr">
        <is>
          <t>L001-100044638</t>
        </is>
      </c>
      <c r="E513" s="359" t="n">
        <v>202500101347</v>
      </c>
      <c r="F513" s="338" t="n">
        <v>45782</v>
      </c>
      <c r="G513" s="226" t="n"/>
      <c r="H513" s="627" t="n"/>
      <c r="I513" s="627" t="n">
        <v>348348</v>
      </c>
      <c r="J513" s="223" t="inlineStr">
        <is>
          <t>អនុញ្ញាត (បានប្រកាស)</t>
        </is>
      </c>
      <c r="K513" s="628" t="n"/>
      <c r="L513" s="626">
        <f>I513</f>
        <v/>
      </c>
      <c r="M513" s="598">
        <f>I513-L513</f>
        <v/>
      </c>
      <c r="N513" s="223" t="n"/>
      <c r="O513" s="228">
        <f>U513=E513</f>
        <v/>
      </c>
      <c r="P513" s="228">
        <f>MONTH(F513)-MONTH(T513)</f>
        <v/>
      </c>
      <c r="Q513" s="228">
        <f>$B$5=X513</f>
        <v/>
      </c>
      <c r="R513" s="228">
        <f>I513-AD513</f>
        <v/>
      </c>
      <c r="S513" s="371" t="n"/>
      <c r="T513" s="372" t="n">
        <v>45782</v>
      </c>
      <c r="U513" s="371" t="n">
        <v>202500101347</v>
      </c>
      <c r="V513" s="371" t="n"/>
      <c r="W513" s="371" t="inlineStr">
        <is>
          <t>បុគ្គលជាប់អាករ</t>
        </is>
      </c>
      <c r="X513" s="371" t="inlineStr">
        <is>
          <t>L001-901640009</t>
        </is>
      </c>
      <c r="Y513" s="371" t="inlineStr">
        <is>
          <t>ហូលីដេ ឌីហ្សាញ (ខេមបូឌា) ឯ.ក</t>
        </is>
      </c>
      <c r="Z513" s="373" t="n">
        <v>3831828</v>
      </c>
      <c r="AA513" s="373" t="n">
        <v>3483480</v>
      </c>
      <c r="AB513" s="371" t="n">
        <v>0</v>
      </c>
      <c r="AC513" s="371" t="inlineStr">
        <is>
          <t>-</t>
        </is>
      </c>
      <c r="AD513" s="373" t="n">
        <v>348348</v>
      </c>
      <c r="AE513" s="371" t="n"/>
      <c r="AF513" s="625" t="n"/>
    </row>
    <row r="514">
      <c r="A514" s="222">
        <f>A513+1</f>
        <v/>
      </c>
      <c r="B514" s="224" t="inlineStr">
        <is>
          <t>Terminal Handling Charge-Im</t>
        </is>
      </c>
      <c r="C514" s="224" t="inlineStr">
        <is>
          <t>SITC CONTAINER LINES (CAMBODIA) Co., Ltd.</t>
        </is>
      </c>
      <c r="D514" s="225" t="inlineStr">
        <is>
          <t>L001-107035863</t>
        </is>
      </c>
      <c r="E514" s="359" t="inlineStr">
        <is>
          <t>SITC2025-016019</t>
        </is>
      </c>
      <c r="F514" s="338" t="n">
        <v>45785</v>
      </c>
      <c r="G514" s="226" t="n"/>
      <c r="H514" s="627" t="n"/>
      <c r="I514" s="627" t="n">
        <v>864864</v>
      </c>
      <c r="J514" s="223" t="inlineStr">
        <is>
          <t>អនុញ្ញាត (បានប្រកាស)</t>
        </is>
      </c>
      <c r="K514" s="628" t="n"/>
      <c r="L514" s="626">
        <f>I514</f>
        <v/>
      </c>
      <c r="M514" s="598">
        <f>I514-L514</f>
        <v/>
      </c>
      <c r="N514" s="223" t="n"/>
      <c r="O514" s="228">
        <f>U514=E514</f>
        <v/>
      </c>
      <c r="P514" s="228">
        <f>MONTH(F514)-MONTH(T514)</f>
        <v/>
      </c>
      <c r="Q514" s="228">
        <f>$B$5=X514</f>
        <v/>
      </c>
      <c r="R514" s="228">
        <f>I514-AD514</f>
        <v/>
      </c>
      <c r="S514" s="371" t="n"/>
      <c r="T514" s="372" t="n">
        <v>45785</v>
      </c>
      <c r="U514" s="371" t="inlineStr">
        <is>
          <t>SITC2025-016019</t>
        </is>
      </c>
      <c r="V514" s="371" t="n"/>
      <c r="W514" s="371" t="inlineStr">
        <is>
          <t>បុគ្គលជាប់អាករ</t>
        </is>
      </c>
      <c r="X514" s="371" t="inlineStr">
        <is>
          <t>L001-901640009</t>
        </is>
      </c>
      <c r="Y514" s="371" t="inlineStr">
        <is>
          <t>ហូលីដេ ឌីហ្សាញ (ខេមបូឌា) ឯ.ក</t>
        </is>
      </c>
      <c r="Z514" s="373" t="n">
        <v>9513504</v>
      </c>
      <c r="AA514" s="373" t="n">
        <v>8648640</v>
      </c>
      <c r="AB514" s="371" t="n">
        <v>0</v>
      </c>
      <c r="AC514" s="371" t="inlineStr">
        <is>
          <t>-</t>
        </is>
      </c>
      <c r="AD514" s="373" t="n">
        <v>864864</v>
      </c>
      <c r="AE514" s="371" t="n">
        <v>0</v>
      </c>
      <c r="AF514" s="625" t="n">
        <v>0</v>
      </c>
      <c r="AG514" s="205" t="n">
        <v>0</v>
      </c>
      <c r="AH514" s="205" t="n">
        <v>0</v>
      </c>
      <c r="AI514" s="205" t="n">
        <v>0</v>
      </c>
      <c r="AJ514" s="205" t="n">
        <v>0</v>
      </c>
      <c r="AK514" s="205" t="n">
        <v>0</v>
      </c>
      <c r="AL514" s="205" t="n">
        <v>0.01</v>
      </c>
      <c r="AN514" s="205" t="inlineStr">
        <is>
          <t>KHTHC,EIB,KHCIC,EMF</t>
        </is>
      </c>
    </row>
    <row r="515">
      <c r="A515" s="222">
        <f>A514+1</f>
        <v/>
      </c>
      <c r="B515" s="224" t="inlineStr">
        <is>
          <t>Trucking &amp; Clearance-Im</t>
        </is>
      </c>
      <c r="C515" s="224" t="inlineStr">
        <is>
          <t>BRILLIANT TRANSPORT AND TRADING Co., Ltd.</t>
        </is>
      </c>
      <c r="D515" s="225" t="inlineStr">
        <is>
          <t>K002-100089305</t>
        </is>
      </c>
      <c r="E515" s="359" t="inlineStr">
        <is>
          <t>BTT25-0001058</t>
        </is>
      </c>
      <c r="F515" s="338" t="n">
        <v>45789</v>
      </c>
      <c r="G515" s="226" t="n"/>
      <c r="H515" s="627" t="n"/>
      <c r="I515" s="627" t="n">
        <v>1733299</v>
      </c>
      <c r="J515" s="223" t="inlineStr">
        <is>
          <t>អនុញ្ញាត (បានប្រកាស)</t>
        </is>
      </c>
      <c r="K515" s="628" t="n"/>
      <c r="L515" s="626">
        <f>I515</f>
        <v/>
      </c>
      <c r="M515" s="598">
        <f>I515-L515</f>
        <v/>
      </c>
      <c r="N515" s="223" t="n"/>
      <c r="O515" s="228">
        <f>U515=E515</f>
        <v/>
      </c>
      <c r="P515" s="228">
        <f>MONTH(F515)-MONTH(T515)</f>
        <v/>
      </c>
      <c r="Q515" s="228">
        <f>$B$5=X515</f>
        <v/>
      </c>
      <c r="R515" s="228">
        <f>I515-AD515</f>
        <v/>
      </c>
      <c r="S515" s="371" t="n"/>
      <c r="T515" s="372" t="n">
        <v>45789</v>
      </c>
      <c r="U515" s="371" t="inlineStr">
        <is>
          <t>BTT25-0001058</t>
        </is>
      </c>
      <c r="V515" s="371" t="n"/>
      <c r="W515" s="371" t="n"/>
      <c r="X515" s="371" t="n"/>
      <c r="Y515" s="371" t="inlineStr">
        <is>
          <t>ហូលីដេ ឌីហ្សាញ (ខេមបូឌា) ឯ.ក</t>
        </is>
      </c>
      <c r="Z515" s="373" t="n"/>
      <c r="AA515" s="373" t="n"/>
      <c r="AB515" s="371" t="n"/>
      <c r="AC515" s="371" t="n"/>
      <c r="AD515" s="373" t="n">
        <v>1733299</v>
      </c>
      <c r="AE515" s="371" t="n"/>
      <c r="AF515" s="625" t="n"/>
      <c r="AN515" s="205" t="inlineStr">
        <is>
          <t>Truking / Service</t>
        </is>
      </c>
    </row>
    <row r="516">
      <c r="A516" s="222">
        <f>A515+1</f>
        <v/>
      </c>
      <c r="B516" s="224" t="inlineStr">
        <is>
          <t>Lift-On &amp; Lift-On-Im</t>
        </is>
      </c>
      <c r="C516" s="224" t="inlineStr">
        <is>
          <t>Port Autonome Du Sihanoukville</t>
        </is>
      </c>
      <c r="D516" s="225" t="inlineStr">
        <is>
          <t>L001-100044638</t>
        </is>
      </c>
      <c r="E516" s="359" t="n">
        <v>202500109284</v>
      </c>
      <c r="F516" s="338" t="n">
        <v>45789</v>
      </c>
      <c r="G516" s="226" t="n"/>
      <c r="H516" s="627" t="n"/>
      <c r="I516" s="627" t="n">
        <v>405904</v>
      </c>
      <c r="J516" s="223" t="inlineStr">
        <is>
          <t>អនុញ្ញាត (បានប្រកាស)</t>
        </is>
      </c>
      <c r="K516" s="628" t="n"/>
      <c r="L516" s="626">
        <f>I516</f>
        <v/>
      </c>
      <c r="M516" s="598">
        <f>I516-L516</f>
        <v/>
      </c>
      <c r="N516" s="223" t="n"/>
      <c r="O516" s="228">
        <f>U516=E516</f>
        <v/>
      </c>
      <c r="P516" s="228">
        <f>MONTH(F516)-MONTH(T516)</f>
        <v/>
      </c>
      <c r="Q516" s="228">
        <f>$B$5=X516</f>
        <v/>
      </c>
      <c r="R516" s="228">
        <f>I516-AD516</f>
        <v/>
      </c>
      <c r="S516" s="371" t="n"/>
      <c r="T516" s="372" t="n">
        <v>45789</v>
      </c>
      <c r="U516" s="371" t="n">
        <v>202500109284</v>
      </c>
      <c r="V516" s="371" t="n"/>
      <c r="W516" s="371" t="inlineStr">
        <is>
          <t>បុគ្គលជាប់អាករ</t>
        </is>
      </c>
      <c r="X516" s="371" t="inlineStr">
        <is>
          <t>L001-901640009</t>
        </is>
      </c>
      <c r="Y516" s="371" t="inlineStr">
        <is>
          <t>ហូលីដេ ឌីហ្សាញ (ខេមបូឌា) ឯ.ក</t>
        </is>
      </c>
      <c r="Z516" s="373" t="n">
        <v>4464946</v>
      </c>
      <c r="AA516" s="373" t="n">
        <v>4059042</v>
      </c>
      <c r="AB516" s="371" t="n">
        <v>0</v>
      </c>
      <c r="AC516" s="371" t="inlineStr">
        <is>
          <t>-</t>
        </is>
      </c>
      <c r="AD516" s="373" t="n">
        <v>405904</v>
      </c>
      <c r="AE516" s="371" t="n"/>
      <c r="AF516" s="625" t="n"/>
    </row>
    <row r="517">
      <c r="A517" s="222">
        <f>A516+1</f>
        <v/>
      </c>
      <c r="B517" s="224" t="inlineStr">
        <is>
          <t>Terminal Handling Charge-Im</t>
        </is>
      </c>
      <c r="C517" s="224" t="inlineStr">
        <is>
          <t>SITC CONTAINER LINES (CAMBODIA) Co., Ltd.</t>
        </is>
      </c>
      <c r="D517" s="225" t="inlineStr">
        <is>
          <t>L001-107035863</t>
        </is>
      </c>
      <c r="E517" s="359" t="inlineStr">
        <is>
          <t>SITC2025-015872</t>
        </is>
      </c>
      <c r="F517" s="338" t="n">
        <v>45784</v>
      </c>
      <c r="G517" s="226" t="n"/>
      <c r="H517" s="627" t="n"/>
      <c r="I517" s="627" t="n">
        <v>2433824</v>
      </c>
      <c r="J517" s="223" t="inlineStr">
        <is>
          <t>អនុញ្ញាត (បានប្រកាស)</t>
        </is>
      </c>
      <c r="K517" s="628" t="n"/>
      <c r="L517" s="626">
        <f>I517</f>
        <v/>
      </c>
      <c r="M517" s="598">
        <f>I517-L517</f>
        <v/>
      </c>
      <c r="N517" s="223" t="n"/>
      <c r="O517" s="228">
        <f>U517=E517</f>
        <v/>
      </c>
      <c r="P517" s="228">
        <f>MONTH(F517)-MONTH(T517)</f>
        <v/>
      </c>
      <c r="Q517" s="228">
        <f>$B$5=X517</f>
        <v/>
      </c>
      <c r="R517" s="228">
        <f>I517-AD517</f>
        <v/>
      </c>
      <c r="S517" s="371" t="n"/>
      <c r="T517" s="372" t="n">
        <v>45784</v>
      </c>
      <c r="U517" s="371" t="inlineStr">
        <is>
          <t>SITC2025-015872</t>
        </is>
      </c>
      <c r="V517" s="371" t="n"/>
      <c r="W517" s="371" t="inlineStr">
        <is>
          <t>បុគ្គលជាប់អាករ</t>
        </is>
      </c>
      <c r="X517" s="371" t="inlineStr">
        <is>
          <t>L001-901640009</t>
        </is>
      </c>
      <c r="Y517" s="371" t="inlineStr">
        <is>
          <t>ហូលីដេ ឌីហ្សាញ (ខេមបូឌា) ឯ.ក</t>
        </is>
      </c>
      <c r="Z517" s="373" t="n">
        <v>26772064</v>
      </c>
      <c r="AA517" s="373" t="n">
        <v>24338240</v>
      </c>
      <c r="AB517" s="371" t="n">
        <v>0</v>
      </c>
      <c r="AC517" s="371" t="inlineStr">
        <is>
          <t>-</t>
        </is>
      </c>
      <c r="AD517" s="373" t="n">
        <v>2433824</v>
      </c>
      <c r="AE517" s="371" t="n">
        <v>0</v>
      </c>
      <c r="AF517" s="625" t="n">
        <v>0</v>
      </c>
      <c r="AG517" s="205" t="n">
        <v>0</v>
      </c>
      <c r="AH517" s="205" t="n">
        <v>0</v>
      </c>
      <c r="AI517" s="205" t="n">
        <v>0</v>
      </c>
      <c r="AJ517" s="205" t="n">
        <v>0</v>
      </c>
      <c r="AK517" s="205" t="n">
        <v>0</v>
      </c>
      <c r="AL517" s="205" t="n">
        <v>0.01</v>
      </c>
      <c r="AN517" s="205" t="inlineStr">
        <is>
          <t>KHDOC,KHTHC</t>
        </is>
      </c>
    </row>
    <row r="518">
      <c r="A518" s="222">
        <f>A517+1</f>
        <v/>
      </c>
      <c r="B518" s="224" t="inlineStr">
        <is>
          <t>Trucking &amp; Clearance-Im</t>
        </is>
      </c>
      <c r="C518" s="224" t="inlineStr">
        <is>
          <t>BRILLIANT TRANSPORT AND TRADING Co., Ltd.</t>
        </is>
      </c>
      <c r="D518" s="225" t="inlineStr">
        <is>
          <t>K002-100089305</t>
        </is>
      </c>
      <c r="E518" s="359" t="inlineStr">
        <is>
          <t>BTT25-0001057</t>
        </is>
      </c>
      <c r="F518" s="338" t="n">
        <v>45789</v>
      </c>
      <c r="G518" s="226" t="n"/>
      <c r="H518" s="627" t="n"/>
      <c r="I518" s="627" t="n">
        <v>2774079</v>
      </c>
      <c r="J518" s="223" t="inlineStr">
        <is>
          <t>អនុញ្ញាត (បានប្រកាស)</t>
        </is>
      </c>
      <c r="K518" s="628" t="n"/>
      <c r="L518" s="626">
        <f>I518</f>
        <v/>
      </c>
      <c r="M518" s="598">
        <f>I518-L518</f>
        <v/>
      </c>
      <c r="N518" s="223" t="n"/>
      <c r="O518" s="228">
        <f>U518=E518</f>
        <v/>
      </c>
      <c r="P518" s="228">
        <f>MONTH(F518)-MONTH(T518)</f>
        <v/>
      </c>
      <c r="Q518" s="228">
        <f>$B$5=X518</f>
        <v/>
      </c>
      <c r="R518" s="228">
        <f>I518-AD518</f>
        <v/>
      </c>
      <c r="S518" s="371" t="n"/>
      <c r="T518" s="372" t="n">
        <v>45789</v>
      </c>
      <c r="U518" s="371" t="inlineStr">
        <is>
          <t>BTT25-0001057</t>
        </is>
      </c>
      <c r="V518" s="371" t="n"/>
      <c r="W518" s="371" t="n"/>
      <c r="X518" s="371" t="n"/>
      <c r="Y518" s="371" t="inlineStr">
        <is>
          <t>ហូលីដេ ឌីហ្សាញ (ខេមបូឌា) ឯ.ក</t>
        </is>
      </c>
      <c r="Z518" s="373" t="n"/>
      <c r="AA518" s="373" t="n"/>
      <c r="AB518" s="371" t="n"/>
      <c r="AC518" s="371" t="n"/>
      <c r="AD518" s="373" t="n">
        <v>2774079</v>
      </c>
      <c r="AE518" s="371" t="n"/>
      <c r="AF518" s="625" t="n"/>
      <c r="AN518" s="205" t="inlineStr">
        <is>
          <t>Truking / Service</t>
        </is>
      </c>
    </row>
    <row r="519">
      <c r="A519" s="222">
        <f>A518+1</f>
        <v/>
      </c>
      <c r="B519" s="224" t="inlineStr">
        <is>
          <t>Rental Building for 11-2024</t>
        </is>
      </c>
      <c r="C519" s="224" t="inlineStr">
        <is>
          <t>HOLIDAY DESIGNS INTERNATIONAL Ltd.</t>
        </is>
      </c>
      <c r="D519" s="225" t="inlineStr">
        <is>
          <t>L001-901502196</t>
        </is>
      </c>
      <c r="E519" s="359" t="inlineStr">
        <is>
          <t>INT2401041</t>
        </is>
      </c>
      <c r="F519" s="338" t="n">
        <v>45626</v>
      </c>
      <c r="G519" s="226" t="n"/>
      <c r="H519" s="627" t="n"/>
      <c r="I519" s="627" t="n">
        <v>18537883</v>
      </c>
      <c r="J519" s="223" t="inlineStr">
        <is>
          <t>អនុញ្ញាត (បានប្រកាស)</t>
        </is>
      </c>
      <c r="K519" s="628" t="n"/>
      <c r="L519" s="626">
        <f>I519</f>
        <v/>
      </c>
      <c r="M519" s="598">
        <f>I519-L519</f>
        <v/>
      </c>
      <c r="N519" s="223" t="inlineStr">
        <is>
          <t>បានពិនិត្យវិក្កយបត្រ</t>
        </is>
      </c>
      <c r="O519" s="228">
        <f>U519=E519</f>
        <v/>
      </c>
      <c r="P519" s="228">
        <f>MONTH(F519)-MONTH(T519)</f>
        <v/>
      </c>
      <c r="Q519" s="228">
        <f>$B$5=X519</f>
        <v/>
      </c>
      <c r="R519" s="228">
        <f>I519-AD519</f>
        <v/>
      </c>
      <c r="S519" s="371" t="n"/>
      <c r="T519" s="372" t="n">
        <v>45626</v>
      </c>
      <c r="U519" s="371" t="inlineStr">
        <is>
          <t>INT2401041</t>
        </is>
      </c>
      <c r="V519" s="371" t="n">
        <v>0</v>
      </c>
      <c r="W519" s="371" t="inlineStr">
        <is>
          <t>បុគ្គលជាប់អាករ</t>
        </is>
      </c>
      <c r="X519" s="371" t="inlineStr">
        <is>
          <t>L001-901640009</t>
        </is>
      </c>
      <c r="Y519" s="371" t="inlineStr">
        <is>
          <t>ហូលីដេ ឌីហ្សាញ (ខេមបូឌា) ឯ.ក</t>
        </is>
      </c>
      <c r="Z519" s="373" t="n">
        <v>203916714</v>
      </c>
      <c r="AA519" s="373" t="n">
        <v>185378831</v>
      </c>
      <c r="AB519" s="371" t="n">
        <v>0</v>
      </c>
      <c r="AC519" s="371" t="inlineStr">
        <is>
          <t>-</t>
        </is>
      </c>
      <c r="AD519" s="373" t="n">
        <v>18537883</v>
      </c>
      <c r="AE519" s="371" t="n">
        <v>0</v>
      </c>
      <c r="AF519" s="625" t="n">
        <v>0</v>
      </c>
      <c r="AG519" s="205" t="n">
        <v>0</v>
      </c>
      <c r="AH519" s="205" t="n">
        <v>0</v>
      </c>
      <c r="AI519" s="205" t="n">
        <v>0</v>
      </c>
      <c r="AJ519" s="205" t="n">
        <v>0</v>
      </c>
      <c r="AK519" s="205" t="n">
        <v>0</v>
      </c>
      <c r="AL519" s="205" t="n">
        <v>0.01</v>
      </c>
      <c r="AM519" s="205" t="n">
        <v>0</v>
      </c>
      <c r="AN519" s="205" t="inlineStr">
        <is>
          <t>Rental Building 11-2024</t>
        </is>
      </c>
      <c r="AO519" s="205" t="inlineStr">
        <is>
          <t>បានប្រកាសនិងបង់ពន្ធ</t>
        </is>
      </c>
    </row>
    <row r="520">
      <c r="A520" s="222">
        <f>A519+1</f>
        <v/>
      </c>
      <c r="B520" s="224" t="inlineStr">
        <is>
          <t>Rental Building for 12-2024</t>
        </is>
      </c>
      <c r="C520" s="224" t="inlineStr">
        <is>
          <t>HOLIDAY DESIGNS INTERNATIONAL Ltd.</t>
        </is>
      </c>
      <c r="D520" s="225" t="inlineStr">
        <is>
          <t>L001-901502196</t>
        </is>
      </c>
      <c r="E520" s="359" t="inlineStr">
        <is>
          <t>INT2401045</t>
        </is>
      </c>
      <c r="F520" s="338" t="n">
        <v>45657</v>
      </c>
      <c r="G520" s="226" t="n"/>
      <c r="H520" s="627" t="n"/>
      <c r="I520" s="627" t="n">
        <v>18524076</v>
      </c>
      <c r="J520" s="223" t="inlineStr">
        <is>
          <t>អនុញ្ញាត (បានប្រកាស)</t>
        </is>
      </c>
      <c r="K520" s="628" t="n"/>
      <c r="L520" s="626">
        <f>I520</f>
        <v/>
      </c>
      <c r="M520" s="598">
        <f>I520-L520</f>
        <v/>
      </c>
      <c r="N520" s="223" t="inlineStr">
        <is>
          <t>បានពិនិត្យវិក្កយបត្រ</t>
        </is>
      </c>
      <c r="O520" s="228">
        <f>U520=E520</f>
        <v/>
      </c>
      <c r="P520" s="228">
        <f>MONTH(F520)-MONTH(T520)</f>
        <v/>
      </c>
      <c r="Q520" s="228">
        <f>$B$5=X520</f>
        <v/>
      </c>
      <c r="R520" s="228">
        <f>I520-AD520</f>
        <v/>
      </c>
      <c r="S520" s="371" t="n"/>
      <c r="T520" s="372" t="n">
        <v>45657</v>
      </c>
      <c r="U520" s="371" t="inlineStr">
        <is>
          <t>INT2401045</t>
        </is>
      </c>
      <c r="V520" s="371" t="n">
        <v>0</v>
      </c>
      <c r="W520" s="371" t="inlineStr">
        <is>
          <t>បុគ្គលជាប់អាករ</t>
        </is>
      </c>
      <c r="X520" s="371" t="inlineStr">
        <is>
          <t>L001-901640009</t>
        </is>
      </c>
      <c r="Y520" s="371" t="inlineStr">
        <is>
          <t>ហូលីដេ ឌីហ្សាញ (ខេមបូឌា) ឯ.ក</t>
        </is>
      </c>
      <c r="Z520" s="373" t="n">
        <v>203764840</v>
      </c>
      <c r="AA520" s="373" t="n">
        <v>185240764</v>
      </c>
      <c r="AB520" s="371" t="n">
        <v>0</v>
      </c>
      <c r="AC520" s="371" t="inlineStr">
        <is>
          <t>-</t>
        </is>
      </c>
      <c r="AD520" s="373" t="n">
        <v>18524076</v>
      </c>
      <c r="AE520" s="371" t="n">
        <v>0</v>
      </c>
      <c r="AF520" s="625" t="n">
        <v>0</v>
      </c>
      <c r="AG520" s="205" t="n">
        <v>0</v>
      </c>
      <c r="AH520" s="205" t="n">
        <v>0</v>
      </c>
      <c r="AI520" s="205" t="n">
        <v>0</v>
      </c>
      <c r="AJ520" s="205" t="n">
        <v>0</v>
      </c>
      <c r="AK520" s="205" t="n">
        <v>0</v>
      </c>
      <c r="AL520" s="205" t="n">
        <v>0.01</v>
      </c>
      <c r="AM520" s="205" t="n">
        <v>0</v>
      </c>
      <c r="AN520" s="205" t="inlineStr">
        <is>
          <t>Rental Building 12-2024</t>
        </is>
      </c>
      <c r="AO520" s="205" t="inlineStr">
        <is>
          <t>បានប្រកាសនិងបង់ពន្ធ</t>
        </is>
      </c>
    </row>
    <row r="521">
      <c r="A521" s="222">
        <f>A520+1</f>
        <v/>
      </c>
      <c r="B521" s="224" t="inlineStr">
        <is>
          <t>Rental Building for 01-2025</t>
        </is>
      </c>
      <c r="C521" s="224" t="inlineStr">
        <is>
          <t>HOLIDAY DESIGNS INTERNATIONAL Ltd.</t>
        </is>
      </c>
      <c r="D521" s="225" t="inlineStr">
        <is>
          <t>L001-901502196</t>
        </is>
      </c>
      <c r="E521" s="359" t="inlineStr">
        <is>
          <t>INT2501001</t>
        </is>
      </c>
      <c r="F521" s="338" t="n">
        <v>45688</v>
      </c>
      <c r="G521" s="226" t="n"/>
      <c r="H521" s="627" t="n"/>
      <c r="I521" s="627" t="n">
        <v>18519474</v>
      </c>
      <c r="J521" s="223" t="inlineStr">
        <is>
          <t>អនុញ្ញាត (បានប្រកាស)</t>
        </is>
      </c>
      <c r="K521" s="628" t="n"/>
      <c r="L521" s="626">
        <f>I521</f>
        <v/>
      </c>
      <c r="M521" s="598">
        <f>I521-L521</f>
        <v/>
      </c>
      <c r="N521" s="223" t="inlineStr">
        <is>
          <t>បានពិនិត្យវិក្កយបត្រ</t>
        </is>
      </c>
      <c r="O521" s="228">
        <f>U521=E521</f>
        <v/>
      </c>
      <c r="P521" s="228">
        <f>MONTH(F521)-MONTH(T521)</f>
        <v/>
      </c>
      <c r="Q521" s="228">
        <f>$B$5=X521</f>
        <v/>
      </c>
      <c r="R521" s="228">
        <f>I521-AD521</f>
        <v/>
      </c>
      <c r="S521" s="371" t="n"/>
      <c r="T521" s="372" t="n">
        <v>45688</v>
      </c>
      <c r="U521" s="371" t="inlineStr">
        <is>
          <t>INT2501001</t>
        </is>
      </c>
      <c r="V521" s="371" t="n">
        <v>0</v>
      </c>
      <c r="W521" s="371" t="inlineStr">
        <is>
          <t>បុគ្គលជាប់អាករ</t>
        </is>
      </c>
      <c r="X521" s="371" t="inlineStr">
        <is>
          <t>L001-901640009</t>
        </is>
      </c>
      <c r="Y521" s="371" t="inlineStr">
        <is>
          <t>ហូលីដេ ឌីហ្សាញ (ខេមបូឌា) ឯ.ក</t>
        </is>
      </c>
      <c r="Z521" s="373" t="n">
        <v>203714215</v>
      </c>
      <c r="AA521" s="373" t="n">
        <v>185194741</v>
      </c>
      <c r="AB521" s="371" t="n">
        <v>0</v>
      </c>
      <c r="AC521" s="371" t="inlineStr">
        <is>
          <t>-</t>
        </is>
      </c>
      <c r="AD521" s="373" t="n">
        <v>18519474</v>
      </c>
      <c r="AE521" s="371" t="n">
        <v>0</v>
      </c>
      <c r="AF521" s="625" t="n">
        <v>0</v>
      </c>
      <c r="AG521" s="205" t="n">
        <v>0</v>
      </c>
      <c r="AH521" s="205" t="n">
        <v>0</v>
      </c>
      <c r="AI521" s="205" t="n">
        <v>0</v>
      </c>
      <c r="AJ521" s="205" t="n">
        <v>0</v>
      </c>
      <c r="AK521" s="205" t="n">
        <v>0</v>
      </c>
      <c r="AL521" s="205" t="n">
        <v>0.01</v>
      </c>
      <c r="AM521" s="205" t="n">
        <v>0</v>
      </c>
      <c r="AN521" s="205" t="inlineStr">
        <is>
          <t>Rental Building 2025-01</t>
        </is>
      </c>
      <c r="AO521" s="205" t="inlineStr">
        <is>
          <t>បានប្រកាសនិងបង់ពន្ធ</t>
        </is>
      </c>
    </row>
    <row r="522">
      <c r="A522" s="222">
        <f>A521+1</f>
        <v/>
      </c>
      <c r="B522" s="224" t="inlineStr">
        <is>
          <t>Rental Building for 02-2025</t>
        </is>
      </c>
      <c r="C522" s="224" t="inlineStr">
        <is>
          <t>HOLIDAY DESIGNS INTERNATIONAL Ltd.</t>
        </is>
      </c>
      <c r="D522" s="225" t="inlineStr">
        <is>
          <t>L001-901502196</t>
        </is>
      </c>
      <c r="E522" s="359" t="inlineStr">
        <is>
          <t>INT2501005</t>
        </is>
      </c>
      <c r="F522" s="338" t="n">
        <v>45716</v>
      </c>
      <c r="G522" s="226" t="n"/>
      <c r="H522" s="627" t="n"/>
      <c r="I522" s="627" t="n">
        <v>18459645</v>
      </c>
      <c r="J522" s="223" t="inlineStr">
        <is>
          <t>អនុញ្ញាត (បានប្រកាស)</t>
        </is>
      </c>
      <c r="K522" s="628" t="n"/>
      <c r="L522" s="626">
        <f>I522</f>
        <v/>
      </c>
      <c r="M522" s="598">
        <f>I522-L522</f>
        <v/>
      </c>
      <c r="N522" s="223" t="inlineStr">
        <is>
          <t>បានពិនិត្យវិក្កយបត្រ</t>
        </is>
      </c>
      <c r="O522" s="228">
        <f>U522=E522</f>
        <v/>
      </c>
      <c r="P522" s="228">
        <f>MONTH(F522)-MONTH(T522)</f>
        <v/>
      </c>
      <c r="Q522" s="228">
        <f>$B$5=X522</f>
        <v/>
      </c>
      <c r="R522" s="228">
        <f>I522-AD522</f>
        <v/>
      </c>
      <c r="S522" s="371" t="n"/>
      <c r="T522" s="372" t="n">
        <v>45716</v>
      </c>
      <c r="U522" s="371" t="inlineStr">
        <is>
          <t>INT2501005</t>
        </is>
      </c>
      <c r="V522" s="371" t="n">
        <v>0</v>
      </c>
      <c r="W522" s="371" t="inlineStr">
        <is>
          <t>បុគ្គលជាប់អាករ</t>
        </is>
      </c>
      <c r="X522" s="371" t="inlineStr">
        <is>
          <t>L001-901640009</t>
        </is>
      </c>
      <c r="Y522" s="371" t="inlineStr">
        <is>
          <t>ហូលីដេ ឌីហ្សាញ (ខេមបូឌា) ឯ.ក</t>
        </is>
      </c>
      <c r="Z522" s="373" t="n">
        <v>203056093</v>
      </c>
      <c r="AA522" s="373" t="n">
        <v>184596448</v>
      </c>
      <c r="AB522" s="371" t="n">
        <v>0</v>
      </c>
      <c r="AC522" s="371" t="inlineStr">
        <is>
          <t>-</t>
        </is>
      </c>
      <c r="AD522" s="373" t="n">
        <v>18459645</v>
      </c>
      <c r="AE522" s="371" t="n">
        <v>0</v>
      </c>
      <c r="AF522" s="625" t="n">
        <v>0</v>
      </c>
      <c r="AG522" s="205" t="n">
        <v>0</v>
      </c>
      <c r="AH522" s="205" t="n">
        <v>0</v>
      </c>
      <c r="AI522" s="205" t="n">
        <v>0</v>
      </c>
      <c r="AJ522" s="205" t="n">
        <v>0</v>
      </c>
      <c r="AK522" s="205" t="n">
        <v>0</v>
      </c>
      <c r="AL522" s="205" t="n">
        <v>0.01</v>
      </c>
      <c r="AM522" s="205" t="n">
        <v>0</v>
      </c>
      <c r="AN522" s="205" t="inlineStr">
        <is>
          <t>Rental Building 2025-02</t>
        </is>
      </c>
      <c r="AO522" s="205" t="inlineStr">
        <is>
          <t>បានប្រកាសនិងបង់ពន្ធ</t>
        </is>
      </c>
    </row>
    <row r="523">
      <c r="A523" s="222">
        <f>A522+1</f>
        <v/>
      </c>
      <c r="B523" s="224" t="inlineStr">
        <is>
          <t>Rental Building for 03-2025</t>
        </is>
      </c>
      <c r="C523" s="224" t="inlineStr">
        <is>
          <t>HOLIDAY DESIGNS INTERNATIONAL Ltd.</t>
        </is>
      </c>
      <c r="D523" s="225" t="inlineStr">
        <is>
          <t>L001-901502196</t>
        </is>
      </c>
      <c r="E523" s="359" t="inlineStr">
        <is>
          <t>INT2501009</t>
        </is>
      </c>
      <c r="F523" s="338" t="n">
        <v>45747</v>
      </c>
      <c r="G523" s="226" t="n"/>
      <c r="H523" s="627" t="n"/>
      <c r="I523" s="627" t="n">
        <v>18409020</v>
      </c>
      <c r="J523" s="223" t="inlineStr">
        <is>
          <t>អនុញ្ញាត (បានប្រកាស)</t>
        </is>
      </c>
      <c r="K523" s="628" t="n"/>
      <c r="L523" s="626">
        <f>I523</f>
        <v/>
      </c>
      <c r="M523" s="598">
        <f>I523-L523</f>
        <v/>
      </c>
      <c r="N523" s="223" t="inlineStr">
        <is>
          <t>បានពិនិត្យវិក្កយបត្រ</t>
        </is>
      </c>
      <c r="O523" s="228">
        <f>U523=E523</f>
        <v/>
      </c>
      <c r="P523" s="228">
        <f>MONTH(F523)-MONTH(T523)</f>
        <v/>
      </c>
      <c r="Q523" s="228">
        <f>$B$5=X523</f>
        <v/>
      </c>
      <c r="R523" s="228">
        <f>I523-AD523</f>
        <v/>
      </c>
      <c r="S523" s="371" t="n"/>
      <c r="T523" s="372" t="n">
        <v>45747</v>
      </c>
      <c r="U523" s="371" t="inlineStr">
        <is>
          <t>INT2501009</t>
        </is>
      </c>
      <c r="V523" s="371" t="n">
        <v>0</v>
      </c>
      <c r="W523" s="371" t="inlineStr">
        <is>
          <t>បុគ្គលជាប់អាករ</t>
        </is>
      </c>
      <c r="X523" s="371" t="inlineStr">
        <is>
          <t>L001-901640009</t>
        </is>
      </c>
      <c r="Y523" s="371" t="inlineStr">
        <is>
          <t>ហូលីដេ ឌីហ្សាញ (ខេមបូឌា) ឯ.ក</t>
        </is>
      </c>
      <c r="Z523" s="373" t="n">
        <v>202499220</v>
      </c>
      <c r="AA523" s="373" t="n">
        <v>184090200</v>
      </c>
      <c r="AB523" s="371" t="n">
        <v>0</v>
      </c>
      <c r="AC523" s="371" t="inlineStr">
        <is>
          <t>-</t>
        </is>
      </c>
      <c r="AD523" s="373" t="n">
        <v>18409020</v>
      </c>
      <c r="AE523" s="371" t="n">
        <v>0</v>
      </c>
      <c r="AF523" s="625" t="n">
        <v>0</v>
      </c>
      <c r="AG523" s="205" t="n">
        <v>0</v>
      </c>
      <c r="AH523" s="205" t="n">
        <v>0</v>
      </c>
      <c r="AI523" s="205" t="n">
        <v>0</v>
      </c>
      <c r="AJ523" s="205" t="n">
        <v>0</v>
      </c>
      <c r="AK523" s="205" t="n">
        <v>0</v>
      </c>
      <c r="AL523" s="205" t="n">
        <v>0.01</v>
      </c>
      <c r="AM523" s="205" t="n">
        <v>0</v>
      </c>
      <c r="AN523" s="205" t="inlineStr">
        <is>
          <t>Rental Building 2025-03</t>
        </is>
      </c>
      <c r="AO523" s="205" t="inlineStr">
        <is>
          <t>បានប្រកាសនិងបង់ពន្ធ</t>
        </is>
      </c>
    </row>
    <row r="524">
      <c r="A524" s="222">
        <f>A523+1</f>
        <v/>
      </c>
      <c r="B524" s="224" t="inlineStr">
        <is>
          <t>Rental Building for 04-2025</t>
        </is>
      </c>
      <c r="C524" s="224" t="inlineStr">
        <is>
          <t>HOLIDAY DESIGNS INTERNATIONAL Ltd.</t>
        </is>
      </c>
      <c r="D524" s="225" t="inlineStr">
        <is>
          <t>L001-901502196</t>
        </is>
      </c>
      <c r="E524" s="359" t="inlineStr">
        <is>
          <t>INT2501013</t>
        </is>
      </c>
      <c r="F524" s="338" t="n">
        <v>45777</v>
      </c>
      <c r="G524" s="226" t="n"/>
      <c r="H524" s="627" t="n"/>
      <c r="I524" s="627" t="n">
        <v>18422827</v>
      </c>
      <c r="J524" s="223" t="inlineStr">
        <is>
          <t>អនុញ្ញាត (បានប្រកាស)</t>
        </is>
      </c>
      <c r="K524" s="628" t="n"/>
      <c r="L524" s="626">
        <f>I524</f>
        <v/>
      </c>
      <c r="M524" s="598">
        <f>I524-L524</f>
        <v/>
      </c>
      <c r="N524" s="223" t="inlineStr">
        <is>
          <t>បានពិនិត្យវិក្កយបត្រ</t>
        </is>
      </c>
      <c r="O524" s="228">
        <f>U524=E524</f>
        <v/>
      </c>
      <c r="P524" s="228">
        <f>MONTH(F524)-MONTH(T524)</f>
        <v/>
      </c>
      <c r="Q524" s="228">
        <f>$B$5=X524</f>
        <v/>
      </c>
      <c r="R524" s="228">
        <f>I524-AD524</f>
        <v/>
      </c>
      <c r="S524" s="371" t="n"/>
      <c r="T524" s="372" t="n">
        <v>45777</v>
      </c>
      <c r="U524" s="371" t="inlineStr">
        <is>
          <t>INT2501013</t>
        </is>
      </c>
      <c r="V524" s="371" t="n">
        <v>0</v>
      </c>
      <c r="W524" s="371" t="inlineStr">
        <is>
          <t>បុគ្គលជាប់អាករ</t>
        </is>
      </c>
      <c r="X524" s="371" t="inlineStr">
        <is>
          <t>L001-901640009</t>
        </is>
      </c>
      <c r="Y524" s="371" t="inlineStr">
        <is>
          <t>ហូលីដេ ឌីហ្សាញ (ខេមបូឌា) ឯ.ក</t>
        </is>
      </c>
      <c r="Z524" s="373" t="n">
        <v>202651095</v>
      </c>
      <c r="AA524" s="373" t="n">
        <v>184228268</v>
      </c>
      <c r="AB524" s="371" t="n">
        <v>0</v>
      </c>
      <c r="AC524" s="371" t="inlineStr">
        <is>
          <t>-</t>
        </is>
      </c>
      <c r="AD524" s="373" t="n">
        <v>18422827</v>
      </c>
      <c r="AE524" s="371" t="n">
        <v>0</v>
      </c>
      <c r="AF524" s="625" t="n">
        <v>0</v>
      </c>
      <c r="AG524" s="205" t="n">
        <v>0</v>
      </c>
      <c r="AH524" s="205" t="n">
        <v>0</v>
      </c>
      <c r="AI524" s="205" t="n">
        <v>0</v>
      </c>
      <c r="AJ524" s="205" t="n">
        <v>0</v>
      </c>
      <c r="AK524" s="205" t="n">
        <v>0</v>
      </c>
      <c r="AL524" s="205" t="n">
        <v>0.01</v>
      </c>
      <c r="AM524" s="205" t="n">
        <v>0</v>
      </c>
      <c r="AN524" s="205" t="inlineStr">
        <is>
          <t>Rental Building 2025-04</t>
        </is>
      </c>
      <c r="AO524" s="205" t="inlineStr">
        <is>
          <t>បានប្រកាសនិងបង់ពន្ធ</t>
        </is>
      </c>
    </row>
    <row r="525">
      <c r="A525" s="222">
        <f>A524+1</f>
        <v/>
      </c>
      <c r="B525" s="224" t="inlineStr">
        <is>
          <t>Rental Building for 05-2025</t>
        </is>
      </c>
      <c r="C525" s="224" t="inlineStr">
        <is>
          <t>HOLIDAY DESIGNS INTERNATIONAL Ltd.</t>
        </is>
      </c>
      <c r="D525" s="225" t="inlineStr">
        <is>
          <t>L001-901502196</t>
        </is>
      </c>
      <c r="E525" s="359" t="inlineStr">
        <is>
          <t>INT2501017</t>
        </is>
      </c>
      <c r="F525" s="338" t="n">
        <v>45808</v>
      </c>
      <c r="G525" s="226" t="n"/>
      <c r="H525" s="627" t="n"/>
      <c r="I525" s="627" t="n">
        <v>18432031</v>
      </c>
      <c r="J525" s="223" t="inlineStr">
        <is>
          <t>អនុញ្ញាត (បានប្រកាស)</t>
        </is>
      </c>
      <c r="K525" s="628" t="n"/>
      <c r="L525" s="626">
        <f>I525</f>
        <v/>
      </c>
      <c r="M525" s="598">
        <f>I525-L525</f>
        <v/>
      </c>
      <c r="N525" s="223" t="inlineStr">
        <is>
          <t>បានពិនិត្យវិក្កយបត្រ</t>
        </is>
      </c>
      <c r="O525" s="228">
        <f>U525=E525</f>
        <v/>
      </c>
      <c r="P525" s="228">
        <f>MONTH(F525)-MONTH(T525)</f>
        <v/>
      </c>
      <c r="Q525" s="228">
        <f>$B$5=X525</f>
        <v/>
      </c>
      <c r="R525" s="228">
        <f>I525-AD525</f>
        <v/>
      </c>
      <c r="S525" s="371" t="n"/>
      <c r="T525" s="372" t="n">
        <v>45808</v>
      </c>
      <c r="U525" s="371" t="inlineStr">
        <is>
          <t>INT2501017</t>
        </is>
      </c>
      <c r="V525" s="371" t="n">
        <v>0</v>
      </c>
      <c r="W525" s="371" t="inlineStr">
        <is>
          <t>បុគ្គលជាប់អាករ</t>
        </is>
      </c>
      <c r="X525" s="371" t="inlineStr">
        <is>
          <t>L001-901640009</t>
        </is>
      </c>
      <c r="Y525" s="371" t="inlineStr">
        <is>
          <t>ហូលីដេ ឌីហ្សាញ (ខេមបូឌា) ឯ.ក</t>
        </is>
      </c>
      <c r="Z525" s="373" t="n">
        <v>202752344</v>
      </c>
      <c r="AA525" s="373" t="n">
        <v>184320313</v>
      </c>
      <c r="AB525" s="371" t="n">
        <v>0</v>
      </c>
      <c r="AC525" s="371" t="inlineStr">
        <is>
          <t>-</t>
        </is>
      </c>
      <c r="AD525" s="373" t="n">
        <v>18432031</v>
      </c>
      <c r="AE525" s="371" t="n">
        <v>0</v>
      </c>
      <c r="AF525" s="625" t="n">
        <v>0</v>
      </c>
      <c r="AG525" s="205" t="n">
        <v>0</v>
      </c>
      <c r="AH525" s="205" t="n">
        <v>0</v>
      </c>
      <c r="AI525" s="205" t="n">
        <v>0</v>
      </c>
      <c r="AJ525" s="205" t="n">
        <v>0</v>
      </c>
      <c r="AK525" s="205" t="n">
        <v>0</v>
      </c>
      <c r="AL525" s="205" t="n">
        <v>0.01</v>
      </c>
      <c r="AM525" s="205" t="n">
        <v>0</v>
      </c>
      <c r="AN525" s="205" t="inlineStr">
        <is>
          <t>Rental Building 2025-05</t>
        </is>
      </c>
      <c r="AO525" s="205" t="inlineStr">
        <is>
          <t>បានប្រកាសនិងបង់ពន្ធ</t>
        </is>
      </c>
    </row>
    <row r="526">
      <c r="A526" s="222">
        <f>A525+1</f>
        <v/>
      </c>
      <c r="B526" s="224" t="inlineStr">
        <is>
          <t>Terminal Handling Charge</t>
        </is>
      </c>
      <c r="C526" s="224" t="inlineStr">
        <is>
          <t>EVERGREEN SHIPPING SERVICES (CAMBODIA) CO., LTD.</t>
        </is>
      </c>
      <c r="D526" s="225" t="inlineStr">
        <is>
          <t>L001-901705421</t>
        </is>
      </c>
      <c r="E526" s="359" t="inlineStr">
        <is>
          <t>IY25005352</t>
        </is>
      </c>
      <c r="F526" s="338" t="n">
        <v>45777</v>
      </c>
      <c r="G526" s="226" t="n"/>
      <c r="H526" s="627" t="n"/>
      <c r="I526" s="627" t="n">
        <v>502377</v>
      </c>
      <c r="J526" s="223" t="inlineStr">
        <is>
          <t>អនុញ្ញាត (បានប្រកាស)</t>
        </is>
      </c>
      <c r="K526" s="628" t="n"/>
      <c r="L526" s="626">
        <f>I526</f>
        <v/>
      </c>
      <c r="M526" s="598">
        <f>I526-L526</f>
        <v/>
      </c>
      <c r="N526" s="223" t="n"/>
      <c r="O526" s="228">
        <f>U526=E526</f>
        <v/>
      </c>
      <c r="P526" s="228">
        <f>MONTH(F526)-MONTH(T526)</f>
        <v/>
      </c>
      <c r="Q526" s="228">
        <f>$B$5=X526</f>
        <v/>
      </c>
      <c r="R526" s="228">
        <f>I526-AD526</f>
        <v/>
      </c>
      <c r="S526" s="371" t="n"/>
      <c r="T526" s="372" t="n">
        <v>45777</v>
      </c>
      <c r="U526" s="371" t="inlineStr">
        <is>
          <t>IY25005352</t>
        </is>
      </c>
      <c r="V526" s="371" t="n"/>
      <c r="W526" s="371" t="inlineStr">
        <is>
          <t>បុគ្គលជាប់អាករ</t>
        </is>
      </c>
      <c r="X526" s="371" t="inlineStr">
        <is>
          <t>L001-901640009</t>
        </is>
      </c>
      <c r="Y526" s="371" t="inlineStr">
        <is>
          <t>ហូលីដេ ឌីហ្សាញ (ខេមបូឌា) ឯ.ក</t>
        </is>
      </c>
      <c r="Z526" s="373" t="n">
        <v>5526142</v>
      </c>
      <c r="AA526" s="373" t="n">
        <v>5023765</v>
      </c>
      <c r="AB526" s="371" t="n">
        <v>0</v>
      </c>
      <c r="AC526" s="371" t="inlineStr">
        <is>
          <t>-</t>
        </is>
      </c>
      <c r="AD526" s="373" t="n">
        <v>502377</v>
      </c>
      <c r="AE526" s="371" t="n">
        <v>0</v>
      </c>
      <c r="AF526" s="625" t="n">
        <v>0</v>
      </c>
      <c r="AG526" s="205" t="n">
        <v>0</v>
      </c>
      <c r="AH526" s="205" t="n">
        <v>0</v>
      </c>
      <c r="AI526" s="205" t="n">
        <v>0</v>
      </c>
      <c r="AJ526" s="205" t="n">
        <v>0</v>
      </c>
      <c r="AK526" s="205" t="n">
        <v>0</v>
      </c>
      <c r="AL526" s="205" t="n">
        <v>0.01</v>
      </c>
      <c r="AN526" s="205" t="inlineStr">
        <is>
          <t>THC, Doc fee….</t>
        </is>
      </c>
    </row>
    <row r="527">
      <c r="A527" s="222">
        <f>A526+1</f>
        <v/>
      </c>
      <c r="B527" s="224" t="inlineStr">
        <is>
          <t>Lift-On &amp; Lift-On-Im</t>
        </is>
      </c>
      <c r="C527" s="224" t="inlineStr">
        <is>
          <t>Port Autonome Du Sihanoukville</t>
        </is>
      </c>
      <c r="D527" s="225" t="inlineStr">
        <is>
          <t>L001-100044638</t>
        </is>
      </c>
      <c r="E527" s="359" t="n">
        <v>202500100313</v>
      </c>
      <c r="F527" s="338" t="n">
        <v>45780</v>
      </c>
      <c r="G527" s="226" t="n"/>
      <c r="H527" s="627" t="n"/>
      <c r="I527" s="627" t="n">
        <v>174087</v>
      </c>
      <c r="J527" s="223" t="inlineStr">
        <is>
          <t>អនុញ្ញាត (បានប្រកាស)</t>
        </is>
      </c>
      <c r="K527" s="628" t="n"/>
      <c r="L527" s="626">
        <f>I527</f>
        <v/>
      </c>
      <c r="M527" s="598">
        <f>I527-L527</f>
        <v/>
      </c>
      <c r="N527" s="223" t="n"/>
      <c r="O527" s="228">
        <f>U527=E527</f>
        <v/>
      </c>
      <c r="P527" s="228">
        <f>MONTH(F527)-MONTH(T527)</f>
        <v/>
      </c>
      <c r="Q527" s="228">
        <f>$B$5=X527</f>
        <v/>
      </c>
      <c r="R527" s="228">
        <f>I527-AD527</f>
        <v/>
      </c>
      <c r="S527" s="371" t="n"/>
      <c r="T527" s="372" t="n">
        <v>45780</v>
      </c>
      <c r="U527" s="371" t="n">
        <v>202500100313</v>
      </c>
      <c r="V527" s="371" t="n"/>
      <c r="W527" s="371" t="inlineStr">
        <is>
          <t>បុគ្គលជាប់អាករ</t>
        </is>
      </c>
      <c r="X527" s="371" t="inlineStr">
        <is>
          <t>L001-901640009</t>
        </is>
      </c>
      <c r="Y527" s="371" t="inlineStr">
        <is>
          <t>ហូលីដេ ឌីហ្សាញ (ខេមបូឌា) ឯ.ក</t>
        </is>
      </c>
      <c r="Z527" s="373" t="n">
        <v>1914957</v>
      </c>
      <c r="AA527" s="373" t="n">
        <v>1740870</v>
      </c>
      <c r="AB527" s="371" t="n">
        <v>0</v>
      </c>
      <c r="AC527" s="371" t="inlineStr">
        <is>
          <t>-</t>
        </is>
      </c>
      <c r="AD527" s="373" t="n">
        <v>174087</v>
      </c>
      <c r="AE527" s="371" t="n"/>
      <c r="AF527" s="625" t="n"/>
    </row>
    <row r="528">
      <c r="A528" s="222">
        <f>A527+1</f>
        <v/>
      </c>
      <c r="B528" s="224" t="inlineStr">
        <is>
          <t>Lift-Off-Ex</t>
        </is>
      </c>
      <c r="C528" s="224" t="inlineStr">
        <is>
          <t>PHNOM PENH AUTONOMOUS PORT "PPAP"</t>
        </is>
      </c>
      <c r="D528" s="225" t="inlineStr">
        <is>
          <t>L001-100044999</t>
        </is>
      </c>
      <c r="E528" s="359" t="inlineStr">
        <is>
          <t>INV20250539151</t>
        </is>
      </c>
      <c r="F528" s="338" t="n">
        <v>45796</v>
      </c>
      <c r="G528" s="226" t="n"/>
      <c r="H528" s="627" t="n"/>
      <c r="I528" s="627" t="n">
        <v>252126</v>
      </c>
      <c r="J528" s="223" t="inlineStr">
        <is>
          <t>អនុញ្ញាត (បានប្រកាស)</t>
        </is>
      </c>
      <c r="K528" s="628" t="n"/>
      <c r="L528" s="626">
        <f>I528</f>
        <v/>
      </c>
      <c r="M528" s="598">
        <f>I528-L528</f>
        <v/>
      </c>
      <c r="N528" s="223" t="n"/>
      <c r="O528" s="228">
        <f>U528=E528</f>
        <v/>
      </c>
      <c r="P528" s="228">
        <f>MONTH(F528)-MONTH(T528)</f>
        <v/>
      </c>
      <c r="Q528" s="228">
        <f>$B$5=X528</f>
        <v/>
      </c>
      <c r="R528" s="228">
        <f>I528-AD528</f>
        <v/>
      </c>
      <c r="S528" s="371" t="n"/>
      <c r="T528" s="372" t="n">
        <v>45796</v>
      </c>
      <c r="U528" s="371" t="inlineStr">
        <is>
          <t>INV20250539151</t>
        </is>
      </c>
      <c r="V528" s="371" t="n">
        <v>0</v>
      </c>
      <c r="W528" s="371" t="inlineStr">
        <is>
          <t>បុគ្គលជាប់អាករ</t>
        </is>
      </c>
      <c r="X528" s="371" t="inlineStr">
        <is>
          <t>L001-901640009</t>
        </is>
      </c>
      <c r="Y528" s="371" t="inlineStr">
        <is>
          <t>ហូលីដេ ឌីហ្សាញ (ខេមបូឌា) ឯ.ក</t>
        </is>
      </c>
      <c r="Z528" s="373" t="n">
        <v>2773386</v>
      </c>
      <c r="AA528" s="373" t="n">
        <v>2521260</v>
      </c>
      <c r="AB528" s="371" t="n">
        <v>0</v>
      </c>
      <c r="AC528" s="371" t="inlineStr">
        <is>
          <t>-</t>
        </is>
      </c>
      <c r="AD528" s="373" t="n">
        <v>252126</v>
      </c>
      <c r="AE528" s="371" t="n">
        <v>0</v>
      </c>
      <c r="AF528" s="625" t="n">
        <v>0</v>
      </c>
      <c r="AG528" s="205" t="n">
        <v>0</v>
      </c>
      <c r="AH528" s="205" t="n">
        <v>0</v>
      </c>
      <c r="AI528" s="205" t="n">
        <v>0</v>
      </c>
      <c r="AJ528" s="205" t="n">
        <v>0</v>
      </c>
      <c r="AK528" s="205" t="n">
        <v>0</v>
      </c>
      <c r="AL528" s="205" t="n">
        <v>0.01</v>
      </c>
      <c r="AM528" s="205" t="n">
        <v>0</v>
      </c>
      <c r="AN528" s="205" t="inlineStr">
        <is>
          <t>ចំណូលពីសេវាកម្ម (លើកដាក់ទំនិញ)</t>
        </is>
      </c>
    </row>
    <row r="529">
      <c r="A529" s="222">
        <f>A528+1</f>
        <v/>
      </c>
      <c r="B529" s="224" t="inlineStr">
        <is>
          <t>Trucking &amp; Clearance-Ex</t>
        </is>
      </c>
      <c r="C529" s="224" t="inlineStr">
        <is>
          <t>BRILLIANT TRANSPORT AND TRADING Co., Ltd.</t>
        </is>
      </c>
      <c r="D529" s="225" t="inlineStr">
        <is>
          <t>K002-100089305</t>
        </is>
      </c>
      <c r="E529" s="359" t="inlineStr">
        <is>
          <t>BTT25-0001154</t>
        </is>
      </c>
      <c r="F529" s="338" t="n">
        <v>45806</v>
      </c>
      <c r="G529" s="226" t="n"/>
      <c r="H529" s="627" t="n"/>
      <c r="I529" s="627" t="n">
        <v>1830629</v>
      </c>
      <c r="J529" s="223" t="inlineStr">
        <is>
          <t>អនុញ្ញាត (បានប្រកាស)</t>
        </is>
      </c>
      <c r="K529" s="628" t="n"/>
      <c r="L529" s="626">
        <f>I529</f>
        <v/>
      </c>
      <c r="M529" s="598">
        <f>I529-L529</f>
        <v/>
      </c>
      <c r="N529" s="223" t="n"/>
      <c r="O529" s="228">
        <f>U529=E529</f>
        <v/>
      </c>
      <c r="P529" s="228">
        <f>MONTH(F529)-MONTH(T529)</f>
        <v/>
      </c>
      <c r="Q529" s="228">
        <f>$B$5=X529</f>
        <v/>
      </c>
      <c r="R529" s="228">
        <f>I529-AD529</f>
        <v/>
      </c>
      <c r="S529" s="371" t="n"/>
      <c r="T529" s="372" t="n">
        <v>45806</v>
      </c>
      <c r="U529" s="371" t="inlineStr">
        <is>
          <t>BTT25-0001154</t>
        </is>
      </c>
      <c r="V529" s="371" t="n"/>
      <c r="W529" s="371" t="n"/>
      <c r="X529" s="371" t="n"/>
      <c r="Y529" s="371" t="inlineStr">
        <is>
          <t>ហូលីដេ ឌីហ្សាញ (ខេមបូឌា) ឯ.ក</t>
        </is>
      </c>
      <c r="Z529" s="373" t="n"/>
      <c r="AA529" s="373" t="n"/>
      <c r="AB529" s="371" t="n"/>
      <c r="AC529" s="371" t="n"/>
      <c r="AD529" s="373" t="n">
        <v>1830629</v>
      </c>
      <c r="AE529" s="371" t="n"/>
      <c r="AF529" s="625" t="n"/>
      <c r="AN529" s="205" t="inlineStr">
        <is>
          <t>Truking / Service</t>
        </is>
      </c>
    </row>
    <row r="530">
      <c r="A530" s="222">
        <f>A529+1</f>
        <v/>
      </c>
      <c r="B530" s="224" t="inlineStr">
        <is>
          <t>Lift-Off-Ex</t>
        </is>
      </c>
      <c r="C530" s="224" t="inlineStr">
        <is>
          <t>Port Autonome Du Sihanoukville</t>
        </is>
      </c>
      <c r="D530" s="225" t="inlineStr">
        <is>
          <t>L001-100044638</t>
        </is>
      </c>
      <c r="E530" s="359" t="n">
        <v>202500105838</v>
      </c>
      <c r="F530" s="338" t="n">
        <v>45785</v>
      </c>
      <c r="G530" s="226" t="n"/>
      <c r="H530" s="627" t="n"/>
      <c r="I530" s="627" t="n">
        <v>15215</v>
      </c>
      <c r="J530" s="223" t="inlineStr">
        <is>
          <t>អនុញ្ញាត (បានប្រកាស)</t>
        </is>
      </c>
      <c r="K530" s="628" t="n"/>
      <c r="L530" s="626">
        <f>I530</f>
        <v/>
      </c>
      <c r="M530" s="598">
        <f>I530-L530</f>
        <v/>
      </c>
      <c r="N530" s="223" t="n"/>
      <c r="O530" s="228">
        <f>U530=E530</f>
        <v/>
      </c>
      <c r="P530" s="228">
        <f>MONTH(F530)-MONTH(T530)</f>
        <v/>
      </c>
      <c r="Q530" s="228">
        <f>$B$5=X530</f>
        <v/>
      </c>
      <c r="R530" s="228">
        <f>I530-AD530</f>
        <v/>
      </c>
      <c r="S530" s="371" t="n"/>
      <c r="T530" s="372" t="n">
        <v>45785</v>
      </c>
      <c r="U530" s="371" t="n">
        <v>202500105838</v>
      </c>
      <c r="V530" s="371" t="n"/>
      <c r="W530" s="371" t="inlineStr">
        <is>
          <t>បុគ្គលជាប់អាករ</t>
        </is>
      </c>
      <c r="X530" s="371" t="inlineStr">
        <is>
          <t>L001-901640009</t>
        </is>
      </c>
      <c r="Y530" s="371" t="inlineStr">
        <is>
          <t>ហូលីដេ ឌីហ្សាញ (ខេមបូឌា) ឯ.ក</t>
        </is>
      </c>
      <c r="Z530" s="373" t="n">
        <v>167367</v>
      </c>
      <c r="AA530" s="373" t="n">
        <v>152152</v>
      </c>
      <c r="AB530" s="371" t="n">
        <v>0</v>
      </c>
      <c r="AC530" s="371" t="inlineStr">
        <is>
          <t>-</t>
        </is>
      </c>
      <c r="AD530" s="373" t="n">
        <v>15215</v>
      </c>
      <c r="AE530" s="371" t="n"/>
      <c r="AF530" s="625" t="n"/>
    </row>
    <row r="531">
      <c r="A531" s="222">
        <f>A530+1</f>
        <v/>
      </c>
      <c r="B531" s="224" t="inlineStr">
        <is>
          <t>Lift-Off-Ex</t>
        </is>
      </c>
      <c r="C531" s="224" t="inlineStr">
        <is>
          <t>PHNOM PENH AUTONOMOUS PORT "PPAP"</t>
        </is>
      </c>
      <c r="D531" s="225" t="inlineStr">
        <is>
          <t>L001-100044999</t>
        </is>
      </c>
      <c r="E531" s="359" t="inlineStr">
        <is>
          <t>INV20250539582</t>
        </is>
      </c>
      <c r="F531" s="338" t="n">
        <v>45797</v>
      </c>
      <c r="G531" s="226" t="n"/>
      <c r="H531" s="627" t="n"/>
      <c r="I531" s="627" t="n">
        <v>28021</v>
      </c>
      <c r="J531" s="223" t="inlineStr">
        <is>
          <t>អនុញ្ញាត (បានប្រកាស)</t>
        </is>
      </c>
      <c r="K531" s="628">
        <f>L531</f>
        <v/>
      </c>
      <c r="L531" s="626">
        <f>AD531</f>
        <v/>
      </c>
      <c r="M531" s="598">
        <f>I531-L531</f>
        <v/>
      </c>
      <c r="N531" s="223" t="n"/>
      <c r="O531" s="228">
        <f>U531=E531</f>
        <v/>
      </c>
      <c r="P531" s="228">
        <f>MONTH(F531)-MONTH(T531)</f>
        <v/>
      </c>
      <c r="Q531" s="228">
        <f>$B$5=X531</f>
        <v/>
      </c>
      <c r="R531" s="228">
        <f>I531-AD531</f>
        <v/>
      </c>
      <c r="S531" s="371" t="n"/>
      <c r="T531" s="372" t="n">
        <v>45797</v>
      </c>
      <c r="U531" s="371" t="inlineStr">
        <is>
          <t>INV20250539582</t>
        </is>
      </c>
      <c r="V531" s="371" t="n">
        <v>0</v>
      </c>
      <c r="W531" s="371" t="inlineStr">
        <is>
          <t>បុគ្គលជាប់អាករ</t>
        </is>
      </c>
      <c r="X531" s="371" t="inlineStr">
        <is>
          <t>L001-901640009</t>
        </is>
      </c>
      <c r="Y531" s="371" t="inlineStr">
        <is>
          <t>ហូលីដេ ឌីហ្សាញ (ខេមបូឌា) ឯ.ក</t>
        </is>
      </c>
      <c r="Z531" s="373" t="n">
        <v>308154</v>
      </c>
      <c r="AA531" s="373" t="n">
        <v>280140</v>
      </c>
      <c r="AB531" s="371" t="n">
        <v>0</v>
      </c>
      <c r="AC531" s="371" t="inlineStr">
        <is>
          <t>-</t>
        </is>
      </c>
      <c r="AD531" s="373" t="n">
        <v>28014</v>
      </c>
      <c r="AE531" s="371" t="n">
        <v>0</v>
      </c>
      <c r="AF531" s="625" t="n">
        <v>0</v>
      </c>
      <c r="AG531" s="205" t="n">
        <v>0</v>
      </c>
      <c r="AH531" s="205" t="n">
        <v>0</v>
      </c>
      <c r="AI531" s="205" t="n">
        <v>0</v>
      </c>
      <c r="AJ531" s="205" t="n">
        <v>0</v>
      </c>
      <c r="AK531" s="205" t="n">
        <v>0</v>
      </c>
      <c r="AL531" s="205" t="n">
        <v>0.01</v>
      </c>
      <c r="AM531" s="205" t="n">
        <v>0</v>
      </c>
      <c r="AN531" s="205" t="inlineStr">
        <is>
          <t>ចំណូលពីសេវាកម្ម (លើកដាក់ទំនិញ)</t>
        </is>
      </c>
    </row>
    <row r="532">
      <c r="A532" s="222">
        <f>A531+1</f>
        <v/>
      </c>
      <c r="B532" s="224" t="inlineStr">
        <is>
          <t>Trucking &amp; Clearance-Ex</t>
        </is>
      </c>
      <c r="C532" s="224" t="inlineStr">
        <is>
          <t>BRILLIANT TRANSPORT AND TRADING Co., Ltd.</t>
        </is>
      </c>
      <c r="D532" s="225" t="inlineStr">
        <is>
          <t>K002-100089305</t>
        </is>
      </c>
      <c r="E532" s="359" t="inlineStr">
        <is>
          <t>BTT25-0001014</t>
        </is>
      </c>
      <c r="F532" s="338" t="n">
        <v>45793</v>
      </c>
      <c r="G532" s="226" t="n"/>
      <c r="H532" s="627" t="n"/>
      <c r="I532" s="627" t="n">
        <v>203302</v>
      </c>
      <c r="J532" s="223" t="inlineStr">
        <is>
          <t>អនុញ្ញាត (បានប្រកាស)</t>
        </is>
      </c>
      <c r="K532" s="628" t="n"/>
      <c r="L532" s="626">
        <f>I532</f>
        <v/>
      </c>
      <c r="M532" s="598">
        <f>I532-L532</f>
        <v/>
      </c>
      <c r="N532" s="223" t="n"/>
      <c r="O532" s="228">
        <f>U532=E532</f>
        <v/>
      </c>
      <c r="P532" s="228">
        <f>MONTH(F532)-MONTH(T532)</f>
        <v/>
      </c>
      <c r="Q532" s="228">
        <f>$B$5=X532</f>
        <v/>
      </c>
      <c r="R532" s="228">
        <f>I532-AD532</f>
        <v/>
      </c>
      <c r="S532" s="371" t="n"/>
      <c r="T532" s="372" t="n">
        <v>45793</v>
      </c>
      <c r="U532" s="371" t="inlineStr">
        <is>
          <t>BTT25-0001014</t>
        </is>
      </c>
      <c r="V532" s="371" t="n"/>
      <c r="W532" s="371" t="n"/>
      <c r="X532" s="371" t="n"/>
      <c r="Y532" s="371" t="inlineStr">
        <is>
          <t>ហូលីដេ ឌីហ្សាញ (ខេមបូឌា) ឯ.ក</t>
        </is>
      </c>
      <c r="Z532" s="373" t="n"/>
      <c r="AA532" s="373" t="n"/>
      <c r="AB532" s="371" t="n"/>
      <c r="AC532" s="371" t="n"/>
      <c r="AD532" s="373" t="n">
        <v>203302</v>
      </c>
      <c r="AE532" s="371" t="n"/>
      <c r="AF532" s="625" t="n"/>
      <c r="AN532" s="205" t="inlineStr">
        <is>
          <t>Truking / Service</t>
        </is>
      </c>
    </row>
    <row r="533">
      <c r="A533" s="222">
        <f>A532+1</f>
        <v/>
      </c>
      <c r="B533" s="224" t="inlineStr">
        <is>
          <t>Lift-Off-Ex</t>
        </is>
      </c>
      <c r="C533" s="224" t="inlineStr">
        <is>
          <t>PHNOM PENH AUTONOMOUS PORT "PPAP"</t>
        </is>
      </c>
      <c r="D533" s="225" t="inlineStr">
        <is>
          <t>L001-100044999</t>
        </is>
      </c>
      <c r="E533" s="359" t="inlineStr">
        <is>
          <t>INV20250539573</t>
        </is>
      </c>
      <c r="F533" s="338" t="n">
        <v>45797</v>
      </c>
      <c r="G533" s="226" t="n"/>
      <c r="H533" s="627" t="n"/>
      <c r="I533" s="627" t="n">
        <v>56042</v>
      </c>
      <c r="J533" s="223" t="inlineStr">
        <is>
          <t>អនុញ្ញាត (បានប្រកាស)</t>
        </is>
      </c>
      <c r="K533" s="628">
        <f>L533</f>
        <v/>
      </c>
      <c r="L533" s="626">
        <f>AD533</f>
        <v/>
      </c>
      <c r="M533" s="598">
        <f>I533-L533</f>
        <v/>
      </c>
      <c r="N533" s="223" t="n"/>
      <c r="O533" s="228">
        <f>U533=E533</f>
        <v/>
      </c>
      <c r="P533" s="228">
        <f>MONTH(F533)-MONTH(T533)</f>
        <v/>
      </c>
      <c r="Q533" s="228">
        <f>$B$5=X533</f>
        <v/>
      </c>
      <c r="R533" s="228">
        <f>I533-AD533</f>
        <v/>
      </c>
      <c r="S533" s="371" t="n"/>
      <c r="T533" s="372" t="n">
        <v>45797</v>
      </c>
      <c r="U533" s="371" t="inlineStr">
        <is>
          <t>INV20250539573</t>
        </is>
      </c>
      <c r="V533" s="371" t="n">
        <v>0</v>
      </c>
      <c r="W533" s="371" t="inlineStr">
        <is>
          <t>បុគ្គលជាប់អាករ</t>
        </is>
      </c>
      <c r="X533" s="371" t="inlineStr">
        <is>
          <t>L001-901640009</t>
        </is>
      </c>
      <c r="Y533" s="371" t="inlineStr">
        <is>
          <t>ហូលីដេ ឌីហ្សាញ (ខេមបូឌា) ឯ.ក</t>
        </is>
      </c>
      <c r="Z533" s="373" t="n">
        <v>616308</v>
      </c>
      <c r="AA533" s="373" t="n">
        <v>560280</v>
      </c>
      <c r="AB533" s="371" t="n">
        <v>0</v>
      </c>
      <c r="AC533" s="371" t="inlineStr">
        <is>
          <t>-</t>
        </is>
      </c>
      <c r="AD533" s="373" t="n">
        <v>56028</v>
      </c>
      <c r="AE533" s="371" t="n">
        <v>0</v>
      </c>
      <c r="AF533" s="625" t="n">
        <v>0</v>
      </c>
      <c r="AG533" s="205" t="n">
        <v>0</v>
      </c>
      <c r="AH533" s="205" t="n">
        <v>0</v>
      </c>
      <c r="AI533" s="205" t="n">
        <v>0</v>
      </c>
      <c r="AJ533" s="205" t="n">
        <v>0</v>
      </c>
      <c r="AK533" s="205" t="n">
        <v>0</v>
      </c>
      <c r="AL533" s="205" t="n">
        <v>0.01</v>
      </c>
      <c r="AM533" s="205" t="n">
        <v>0</v>
      </c>
      <c r="AN533" s="205" t="inlineStr">
        <is>
          <t>ចំណូលពីសេវាកម្ម (លើកដាក់ទំនិញ)</t>
        </is>
      </c>
    </row>
    <row r="534">
      <c r="A534" s="222">
        <f>A533+1</f>
        <v/>
      </c>
      <c r="B534" s="224" t="inlineStr">
        <is>
          <t>Trucking &amp; Clearance-Ex</t>
        </is>
      </c>
      <c r="C534" s="224" t="inlineStr">
        <is>
          <t>BRILLIANT TRANSPORT AND TRADING Co., Ltd.</t>
        </is>
      </c>
      <c r="D534" s="225" t="inlineStr">
        <is>
          <t>K002-100089305</t>
        </is>
      </c>
      <c r="E534" s="359" t="inlineStr">
        <is>
          <t>BTT25-0001012</t>
        </is>
      </c>
      <c r="F534" s="338" t="n">
        <v>45793</v>
      </c>
      <c r="G534" s="226" t="n"/>
      <c r="H534" s="627" t="n"/>
      <c r="I534" s="627" t="n">
        <v>406603</v>
      </c>
      <c r="J534" s="223" t="inlineStr">
        <is>
          <t>អនុញ្ញាត (បានប្រកាស)</t>
        </is>
      </c>
      <c r="K534" s="628" t="n"/>
      <c r="L534" s="626">
        <f>I534</f>
        <v/>
      </c>
      <c r="M534" s="598">
        <f>I534-L534</f>
        <v/>
      </c>
      <c r="N534" s="223" t="n"/>
      <c r="O534" s="228">
        <f>U534=E534</f>
        <v/>
      </c>
      <c r="P534" s="228">
        <f>MONTH(F534)-MONTH(T534)</f>
        <v/>
      </c>
      <c r="Q534" s="228">
        <f>$B$5=X534</f>
        <v/>
      </c>
      <c r="R534" s="228">
        <f>I534-AD534</f>
        <v/>
      </c>
      <c r="S534" s="371" t="n"/>
      <c r="T534" s="372" t="n">
        <v>45793</v>
      </c>
      <c r="U534" s="371" t="inlineStr">
        <is>
          <t>BTT25-0001012</t>
        </is>
      </c>
      <c r="V534" s="371" t="n"/>
      <c r="W534" s="371" t="n"/>
      <c r="X534" s="371" t="n"/>
      <c r="Y534" s="371" t="inlineStr">
        <is>
          <t>ហូលីដេ ឌីហ្សាញ (ខេមបូឌា) ឯ.ក</t>
        </is>
      </c>
      <c r="Z534" s="373" t="n"/>
      <c r="AA534" s="373" t="n"/>
      <c r="AB534" s="371" t="n"/>
      <c r="AC534" s="371" t="n"/>
      <c r="AD534" s="373" t="n">
        <v>406603</v>
      </c>
      <c r="AE534" s="371" t="n"/>
      <c r="AF534" s="625" t="n"/>
      <c r="AN534" s="205" t="inlineStr">
        <is>
          <t>Truking / Service</t>
        </is>
      </c>
    </row>
    <row r="535">
      <c r="A535" s="222">
        <f>A534+1</f>
        <v/>
      </c>
      <c r="B535" s="224" t="inlineStr">
        <is>
          <t>Lift-Off-Ex</t>
        </is>
      </c>
      <c r="C535" s="224" t="inlineStr">
        <is>
          <t>PHNOM PENH AUTONOMOUS PORT "PPAP"</t>
        </is>
      </c>
      <c r="D535" s="225" t="inlineStr">
        <is>
          <t>L001-100044999</t>
        </is>
      </c>
      <c r="E535" s="359" t="inlineStr">
        <is>
          <t>INV20250539574</t>
        </is>
      </c>
      <c r="F535" s="338" t="n">
        <v>45797</v>
      </c>
      <c r="G535" s="226" t="n"/>
      <c r="H535" s="627" t="n"/>
      <c r="I535" s="627" t="n">
        <v>56042</v>
      </c>
      <c r="J535" s="223" t="inlineStr">
        <is>
          <t>អនុញ្ញាត (បានប្រកាស)</t>
        </is>
      </c>
      <c r="K535" s="628">
        <f>L535</f>
        <v/>
      </c>
      <c r="L535" s="626">
        <f>AD535</f>
        <v/>
      </c>
      <c r="M535" s="598">
        <f>I535-L535</f>
        <v/>
      </c>
      <c r="N535" s="223" t="n"/>
      <c r="O535" s="228">
        <f>U535=E535</f>
        <v/>
      </c>
      <c r="P535" s="228">
        <f>MONTH(F535)-MONTH(T535)</f>
        <v/>
      </c>
      <c r="Q535" s="228">
        <f>$B$5=X535</f>
        <v/>
      </c>
      <c r="R535" s="228">
        <f>I535-AD535</f>
        <v/>
      </c>
      <c r="S535" s="371" t="n"/>
      <c r="T535" s="372" t="n">
        <v>45797</v>
      </c>
      <c r="U535" s="371" t="inlineStr">
        <is>
          <t>INV20250539574</t>
        </is>
      </c>
      <c r="V535" s="371" t="n">
        <v>0</v>
      </c>
      <c r="W535" s="371" t="inlineStr">
        <is>
          <t>បុគ្គលជាប់អាករ</t>
        </is>
      </c>
      <c r="X535" s="371" t="inlineStr">
        <is>
          <t>L001-901640009</t>
        </is>
      </c>
      <c r="Y535" s="371" t="inlineStr">
        <is>
          <t>ហូលីដេ ឌីហ្សាញ (ខេមបូឌា) ឯ.ក</t>
        </is>
      </c>
      <c r="Z535" s="373" t="n">
        <v>616308</v>
      </c>
      <c r="AA535" s="373" t="n">
        <v>560280</v>
      </c>
      <c r="AB535" s="371" t="n">
        <v>0</v>
      </c>
      <c r="AC535" s="371" t="inlineStr">
        <is>
          <t>-</t>
        </is>
      </c>
      <c r="AD535" s="373" t="n">
        <v>56028</v>
      </c>
      <c r="AE535" s="371" t="n">
        <v>0</v>
      </c>
      <c r="AF535" s="625" t="n">
        <v>0</v>
      </c>
      <c r="AG535" s="205" t="n">
        <v>0</v>
      </c>
      <c r="AH535" s="205" t="n">
        <v>0</v>
      </c>
      <c r="AI535" s="205" t="n">
        <v>0</v>
      </c>
      <c r="AJ535" s="205" t="n">
        <v>0</v>
      </c>
      <c r="AK535" s="205" t="n">
        <v>0</v>
      </c>
      <c r="AL535" s="205" t="n">
        <v>0.01</v>
      </c>
      <c r="AM535" s="205" t="n">
        <v>0</v>
      </c>
      <c r="AN535" s="205" t="inlineStr">
        <is>
          <t>ចំណូលពីសេវាកម្ម (លើកដាក់ទំនិញ)</t>
        </is>
      </c>
    </row>
    <row r="536">
      <c r="A536" s="222">
        <f>A535+1</f>
        <v/>
      </c>
      <c r="B536" s="224" t="inlineStr">
        <is>
          <t>Trucking &amp; Clearance-Ex</t>
        </is>
      </c>
      <c r="C536" s="224" t="inlineStr">
        <is>
          <t>BRILLIANT TRANSPORT AND TRADING Co., Ltd.</t>
        </is>
      </c>
      <c r="D536" s="225" t="inlineStr">
        <is>
          <t>K002-100089305</t>
        </is>
      </c>
      <c r="E536" s="359" t="inlineStr">
        <is>
          <t>BTT25-0001010</t>
        </is>
      </c>
      <c r="F536" s="338" t="n">
        <v>45793</v>
      </c>
      <c r="G536" s="226" t="n"/>
      <c r="H536" s="627" t="n"/>
      <c r="I536" s="627" t="n">
        <v>406603</v>
      </c>
      <c r="J536" s="223" t="inlineStr">
        <is>
          <t>អនុញ្ញាត (បានប្រកាស)</t>
        </is>
      </c>
      <c r="K536" s="628" t="n"/>
      <c r="L536" s="626">
        <f>I536</f>
        <v/>
      </c>
      <c r="M536" s="598">
        <f>I536-L536</f>
        <v/>
      </c>
      <c r="N536" s="223" t="n"/>
      <c r="O536" s="228">
        <f>U536=E536</f>
        <v/>
      </c>
      <c r="P536" s="228">
        <f>MONTH(F536)-MONTH(T536)</f>
        <v/>
      </c>
      <c r="Q536" s="228">
        <f>$B$5=X536</f>
        <v/>
      </c>
      <c r="R536" s="228">
        <f>I536-AD536</f>
        <v/>
      </c>
      <c r="S536" s="371" t="n"/>
      <c r="T536" s="372" t="n">
        <v>45793</v>
      </c>
      <c r="U536" s="371" t="inlineStr">
        <is>
          <t>BTT25-0001010</t>
        </is>
      </c>
      <c r="V536" s="371" t="n"/>
      <c r="W536" s="371" t="n"/>
      <c r="X536" s="371" t="n"/>
      <c r="Y536" s="371" t="inlineStr">
        <is>
          <t>ហូលីដេ ឌីហ្សាញ (ខេមបូឌា) ឯ.ក</t>
        </is>
      </c>
      <c r="Z536" s="373" t="n"/>
      <c r="AA536" s="373" t="n"/>
      <c r="AB536" s="371" t="n"/>
      <c r="AC536" s="371" t="n"/>
      <c r="AD536" s="373" t="n">
        <v>406603</v>
      </c>
      <c r="AE536" s="371" t="n"/>
      <c r="AF536" s="625" t="n"/>
      <c r="AN536" s="205" t="inlineStr">
        <is>
          <t>Truking / Service</t>
        </is>
      </c>
    </row>
    <row r="537">
      <c r="A537" s="222">
        <f>A536+1</f>
        <v/>
      </c>
      <c r="B537" s="224" t="inlineStr">
        <is>
          <t>Lift-Off-Ex</t>
        </is>
      </c>
      <c r="C537" s="224" t="inlineStr">
        <is>
          <t>PHNOM PENH AUTONOMOUS PORT "PPAP"</t>
        </is>
      </c>
      <c r="D537" s="225" t="inlineStr">
        <is>
          <t>L001-100044999</t>
        </is>
      </c>
      <c r="E537" s="359" t="inlineStr">
        <is>
          <t>INV20250539575</t>
        </is>
      </c>
      <c r="F537" s="338" t="n">
        <v>45797</v>
      </c>
      <c r="G537" s="226" t="n"/>
      <c r="H537" s="627" t="n"/>
      <c r="I537" s="627" t="n">
        <v>56042</v>
      </c>
      <c r="J537" s="223" t="inlineStr">
        <is>
          <t>អនុញ្ញាត (បានប្រកាស)</t>
        </is>
      </c>
      <c r="K537" s="628">
        <f>L537</f>
        <v/>
      </c>
      <c r="L537" s="626">
        <f>AD537</f>
        <v/>
      </c>
      <c r="M537" s="598">
        <f>I537-L537</f>
        <v/>
      </c>
      <c r="N537" s="223" t="n"/>
      <c r="O537" s="228">
        <f>U537=E537</f>
        <v/>
      </c>
      <c r="P537" s="228">
        <f>MONTH(F537)-MONTH(T537)</f>
        <v/>
      </c>
      <c r="Q537" s="228">
        <f>$B$5=X537</f>
        <v/>
      </c>
      <c r="R537" s="228">
        <f>I537-AD537</f>
        <v/>
      </c>
      <c r="S537" s="371" t="n"/>
      <c r="T537" s="372" t="n">
        <v>45797</v>
      </c>
      <c r="U537" s="371" t="inlineStr">
        <is>
          <t>INV20250539575</t>
        </is>
      </c>
      <c r="V537" s="371" t="n">
        <v>0</v>
      </c>
      <c r="W537" s="371" t="inlineStr">
        <is>
          <t>បុគ្គលជាប់អាករ</t>
        </is>
      </c>
      <c r="X537" s="371" t="inlineStr">
        <is>
          <t>L001-901640009</t>
        </is>
      </c>
      <c r="Y537" s="371" t="inlineStr">
        <is>
          <t>ហូលីដេ ឌីហ្សាញ (ខេមបូឌា) ឯ.ក</t>
        </is>
      </c>
      <c r="Z537" s="373" t="n">
        <v>616308</v>
      </c>
      <c r="AA537" s="373" t="n">
        <v>560280</v>
      </c>
      <c r="AB537" s="371" t="n">
        <v>0</v>
      </c>
      <c r="AC537" s="371" t="inlineStr">
        <is>
          <t>-</t>
        </is>
      </c>
      <c r="AD537" s="373" t="n">
        <v>56028</v>
      </c>
      <c r="AE537" s="371" t="n">
        <v>0</v>
      </c>
      <c r="AF537" s="625" t="n">
        <v>0</v>
      </c>
      <c r="AG537" s="205" t="n">
        <v>0</v>
      </c>
      <c r="AH537" s="205" t="n">
        <v>0</v>
      </c>
      <c r="AI537" s="205" t="n">
        <v>0</v>
      </c>
      <c r="AJ537" s="205" t="n">
        <v>0</v>
      </c>
      <c r="AK537" s="205" t="n">
        <v>0</v>
      </c>
      <c r="AL537" s="205" t="n">
        <v>0.01</v>
      </c>
      <c r="AM537" s="205" t="n">
        <v>0</v>
      </c>
      <c r="AN537" s="205" t="inlineStr">
        <is>
          <t>ចំណូលពីសេវាកម្ម (លើកដាក់ទំនិញ)</t>
        </is>
      </c>
    </row>
    <row r="538">
      <c r="A538" s="222">
        <f>A537+1</f>
        <v/>
      </c>
      <c r="B538" s="224" t="inlineStr">
        <is>
          <t>Trucking &amp; Clearance-Ex</t>
        </is>
      </c>
      <c r="C538" s="224" t="inlineStr">
        <is>
          <t>BRILLIANT TRANSPORT AND TRADING Co., Ltd.</t>
        </is>
      </c>
      <c r="D538" s="225" t="inlineStr">
        <is>
          <t>K002-100089305</t>
        </is>
      </c>
      <c r="E538" s="359" t="inlineStr">
        <is>
          <t>BTT25-0001008</t>
        </is>
      </c>
      <c r="F538" s="338" t="n">
        <v>45793</v>
      </c>
      <c r="G538" s="226" t="n"/>
      <c r="H538" s="627" t="n"/>
      <c r="I538" s="627" t="n">
        <v>406603</v>
      </c>
      <c r="J538" s="223" t="inlineStr">
        <is>
          <t>អនុញ្ញាត (បានប្រកាស)</t>
        </is>
      </c>
      <c r="K538" s="628" t="n"/>
      <c r="L538" s="626">
        <f>I538</f>
        <v/>
      </c>
      <c r="M538" s="598">
        <f>I538-L538</f>
        <v/>
      </c>
      <c r="N538" s="223" t="n"/>
      <c r="O538" s="228">
        <f>U538=E538</f>
        <v/>
      </c>
      <c r="P538" s="228">
        <f>MONTH(F538)-MONTH(T538)</f>
        <v/>
      </c>
      <c r="Q538" s="228">
        <f>$B$5=X538</f>
        <v/>
      </c>
      <c r="R538" s="228">
        <f>I538-AD538</f>
        <v/>
      </c>
      <c r="S538" s="371" t="n"/>
      <c r="T538" s="372" t="n">
        <v>45793</v>
      </c>
      <c r="U538" s="371" t="inlineStr">
        <is>
          <t>BTT25-0001008</t>
        </is>
      </c>
      <c r="V538" s="371" t="n"/>
      <c r="W538" s="371" t="n"/>
      <c r="X538" s="371" t="n"/>
      <c r="Y538" s="371" t="inlineStr">
        <is>
          <t>ហូលីដេ ឌីហ្សាញ (ខេមបូឌា) ឯ.ក</t>
        </is>
      </c>
      <c r="Z538" s="373" t="n"/>
      <c r="AA538" s="373" t="n"/>
      <c r="AB538" s="371" t="n"/>
      <c r="AC538" s="371" t="n"/>
      <c r="AD538" s="373" t="n">
        <v>406603</v>
      </c>
      <c r="AE538" s="371" t="n"/>
      <c r="AF538" s="625" t="n"/>
      <c r="AN538" s="205" t="inlineStr">
        <is>
          <t>Truking / Service</t>
        </is>
      </c>
    </row>
    <row r="539">
      <c r="A539" s="222">
        <f>A538+1</f>
        <v/>
      </c>
      <c r="B539" s="224" t="inlineStr">
        <is>
          <t>Lift-Off-Ex</t>
        </is>
      </c>
      <c r="C539" s="224" t="inlineStr">
        <is>
          <t>PHNOM PENH AUTONOMOUS PORT "PPAP"</t>
        </is>
      </c>
      <c r="D539" s="225" t="inlineStr">
        <is>
          <t>L001-100044999</t>
        </is>
      </c>
      <c r="E539" s="359" t="inlineStr">
        <is>
          <t>INV20250539576</t>
        </is>
      </c>
      <c r="F539" s="338" t="n">
        <v>45797</v>
      </c>
      <c r="G539" s="226" t="n"/>
      <c r="H539" s="627" t="n"/>
      <c r="I539" s="627" t="n">
        <v>28021</v>
      </c>
      <c r="J539" s="223" t="inlineStr">
        <is>
          <t>អនុញ្ញាត (បានប្រកាស)</t>
        </is>
      </c>
      <c r="K539" s="628">
        <f>L539</f>
        <v/>
      </c>
      <c r="L539" s="626">
        <f>AD539</f>
        <v/>
      </c>
      <c r="M539" s="598">
        <f>I539-L539</f>
        <v/>
      </c>
      <c r="N539" s="223" t="n"/>
      <c r="O539" s="228">
        <f>U539=E539</f>
        <v/>
      </c>
      <c r="P539" s="228">
        <f>MONTH(F539)-MONTH(T539)</f>
        <v/>
      </c>
      <c r="Q539" s="228">
        <f>$B$5=X539</f>
        <v/>
      </c>
      <c r="R539" s="228">
        <f>I539-AD539</f>
        <v/>
      </c>
      <c r="S539" s="371" t="n"/>
      <c r="T539" s="372" t="n">
        <v>45797</v>
      </c>
      <c r="U539" s="371" t="inlineStr">
        <is>
          <t>INV20250539576</t>
        </is>
      </c>
      <c r="V539" s="371" t="n">
        <v>0</v>
      </c>
      <c r="W539" s="371" t="inlineStr">
        <is>
          <t>បុគ្គលជាប់អាករ</t>
        </is>
      </c>
      <c r="X539" s="371" t="inlineStr">
        <is>
          <t>L001-901640009</t>
        </is>
      </c>
      <c r="Y539" s="371" t="inlineStr">
        <is>
          <t>ហូលីដេ ឌីហ្សាញ (ខេមបូឌា) ឯ.ក</t>
        </is>
      </c>
      <c r="Z539" s="373" t="n">
        <v>308154</v>
      </c>
      <c r="AA539" s="373" t="n">
        <v>280140</v>
      </c>
      <c r="AB539" s="371" t="n">
        <v>0</v>
      </c>
      <c r="AC539" s="371" t="inlineStr">
        <is>
          <t>-</t>
        </is>
      </c>
      <c r="AD539" s="373" t="n">
        <v>28014</v>
      </c>
      <c r="AE539" s="371" t="n">
        <v>0</v>
      </c>
      <c r="AF539" s="625" t="n">
        <v>0</v>
      </c>
      <c r="AG539" s="205" t="n">
        <v>0</v>
      </c>
      <c r="AH539" s="205" t="n">
        <v>0</v>
      </c>
      <c r="AI539" s="205" t="n">
        <v>0</v>
      </c>
      <c r="AJ539" s="205" t="n">
        <v>0</v>
      </c>
      <c r="AK539" s="205" t="n">
        <v>0</v>
      </c>
      <c r="AL539" s="205" t="n">
        <v>0.01</v>
      </c>
      <c r="AM539" s="205" t="n">
        <v>0</v>
      </c>
      <c r="AN539" s="205" t="inlineStr">
        <is>
          <t>ចំណូលពីសេវាកម្ម (លើកដាក់ទំនិញ)</t>
        </is>
      </c>
    </row>
    <row r="540">
      <c r="A540" s="222">
        <f>A539+1</f>
        <v/>
      </c>
      <c r="B540" s="224" t="inlineStr">
        <is>
          <t>Trucking &amp; Clearance-Ex</t>
        </is>
      </c>
      <c r="C540" s="224" t="inlineStr">
        <is>
          <t>BRILLIANT TRANSPORT AND TRADING Co., Ltd.</t>
        </is>
      </c>
      <c r="D540" s="225" t="inlineStr">
        <is>
          <t>K002-100089305</t>
        </is>
      </c>
      <c r="E540" s="359" t="inlineStr">
        <is>
          <t>BTT25-0001006</t>
        </is>
      </c>
      <c r="F540" s="338" t="n">
        <v>45793</v>
      </c>
      <c r="G540" s="226" t="n"/>
      <c r="H540" s="627" t="n"/>
      <c r="I540" s="627" t="n">
        <v>203302</v>
      </c>
      <c r="J540" s="223" t="inlineStr">
        <is>
          <t>អនុញ្ញាត (បានប្រកាស)</t>
        </is>
      </c>
      <c r="K540" s="628" t="n"/>
      <c r="L540" s="626">
        <f>I540</f>
        <v/>
      </c>
      <c r="M540" s="598">
        <f>I540-L540</f>
        <v/>
      </c>
      <c r="N540" s="223" t="n"/>
      <c r="O540" s="228">
        <f>U540=E540</f>
        <v/>
      </c>
      <c r="P540" s="228">
        <f>MONTH(F540)-MONTH(T540)</f>
        <v/>
      </c>
      <c r="Q540" s="228">
        <f>$B$5=X540</f>
        <v/>
      </c>
      <c r="R540" s="228">
        <f>I540-AD540</f>
        <v/>
      </c>
      <c r="S540" s="371" t="n"/>
      <c r="T540" s="372" t="n">
        <v>45793</v>
      </c>
      <c r="U540" s="371" t="inlineStr">
        <is>
          <t>BTT25-0001006</t>
        </is>
      </c>
      <c r="V540" s="371" t="n"/>
      <c r="W540" s="371" t="n"/>
      <c r="X540" s="371" t="n"/>
      <c r="Y540" s="371" t="inlineStr">
        <is>
          <t>ហូលីដេ ឌីហ្សាញ (ខេមបូឌា) ឯ.ក</t>
        </is>
      </c>
      <c r="Z540" s="373" t="n"/>
      <c r="AA540" s="373" t="n"/>
      <c r="AB540" s="371" t="n"/>
      <c r="AC540" s="371" t="n"/>
      <c r="AD540" s="373" t="n">
        <v>203302</v>
      </c>
      <c r="AE540" s="371" t="n"/>
      <c r="AF540" s="625" t="n"/>
      <c r="AN540" s="205" t="inlineStr">
        <is>
          <t>Truking / Service</t>
        </is>
      </c>
    </row>
    <row r="541">
      <c r="A541" s="222">
        <f>A540+1</f>
        <v/>
      </c>
      <c r="B541" s="224" t="inlineStr">
        <is>
          <t>Lift-Off-Ex</t>
        </is>
      </c>
      <c r="C541" s="224" t="inlineStr">
        <is>
          <t>Port Autonome Du Sihanoukville</t>
        </is>
      </c>
      <c r="D541" s="225" t="inlineStr">
        <is>
          <t>L001-100044638</t>
        </is>
      </c>
      <c r="E541" s="359" t="n">
        <v>202500108638</v>
      </c>
      <c r="F541" s="338" t="n">
        <v>45789</v>
      </c>
      <c r="G541" s="226" t="n"/>
      <c r="H541" s="627" t="n"/>
      <c r="I541" s="627" t="n">
        <v>6805</v>
      </c>
      <c r="J541" s="223" t="inlineStr">
        <is>
          <t>អនុញ្ញាត (បានប្រកាស)</t>
        </is>
      </c>
      <c r="K541" s="628" t="n"/>
      <c r="L541" s="626">
        <f>I541</f>
        <v/>
      </c>
      <c r="M541" s="598">
        <f>I541-L541</f>
        <v/>
      </c>
      <c r="N541" s="223" t="n"/>
      <c r="O541" s="228">
        <f>U541=E541</f>
        <v/>
      </c>
      <c r="P541" s="228">
        <f>MONTH(F541)-MONTH(T541)</f>
        <v/>
      </c>
      <c r="Q541" s="228">
        <f>$B$5=X541</f>
        <v/>
      </c>
      <c r="R541" s="228">
        <f>I541-AD541</f>
        <v/>
      </c>
      <c r="S541" s="371" t="n"/>
      <c r="T541" s="372" t="n">
        <v>45789</v>
      </c>
      <c r="U541" s="371" t="n">
        <v>202500108638</v>
      </c>
      <c r="V541" s="371" t="n"/>
      <c r="W541" s="371" t="inlineStr">
        <is>
          <t>បុគ្គលជាប់អាករ</t>
        </is>
      </c>
      <c r="X541" s="371" t="inlineStr">
        <is>
          <t>L001-901640009</t>
        </is>
      </c>
      <c r="Y541" s="371" t="inlineStr">
        <is>
          <t>ហូលីដេ ឌីហ្សាញ (ខេមបូឌា) ឯ.ក</t>
        </is>
      </c>
      <c r="Z541" s="373" t="n">
        <v>74856</v>
      </c>
      <c r="AA541" s="373" t="n">
        <v>68051</v>
      </c>
      <c r="AB541" s="371" t="n">
        <v>0</v>
      </c>
      <c r="AC541" s="371" t="inlineStr">
        <is>
          <t>-</t>
        </is>
      </c>
      <c r="AD541" s="373" t="n">
        <v>6805</v>
      </c>
      <c r="AE541" s="371" t="n"/>
      <c r="AF541" s="625" t="n"/>
    </row>
    <row r="542">
      <c r="A542" s="222">
        <f>A541+1</f>
        <v/>
      </c>
      <c r="B542" s="224" t="inlineStr">
        <is>
          <t>Trucking &amp; Clearance-Ex</t>
        </is>
      </c>
      <c r="C542" s="224" t="inlineStr">
        <is>
          <t>BRILLIANT TRANSPORT AND TRADING Co., Ltd.</t>
        </is>
      </c>
      <c r="D542" s="225" t="inlineStr">
        <is>
          <t>K002-100089305</t>
        </is>
      </c>
      <c r="E542" s="359" t="inlineStr">
        <is>
          <t>BTT25-0001003</t>
        </is>
      </c>
      <c r="F542" s="338" t="n">
        <v>45793</v>
      </c>
      <c r="G542" s="226" t="n"/>
      <c r="H542" s="627" t="n"/>
      <c r="I542" s="627" t="n">
        <v>255328</v>
      </c>
      <c r="J542" s="223" t="inlineStr">
        <is>
          <t>អនុញ្ញាត (បានប្រកាស)</t>
        </is>
      </c>
      <c r="K542" s="628" t="n"/>
      <c r="L542" s="626">
        <f>I542</f>
        <v/>
      </c>
      <c r="M542" s="598">
        <f>I542-L542</f>
        <v/>
      </c>
      <c r="N542" s="223" t="n"/>
      <c r="O542" s="228">
        <f>U542=E542</f>
        <v/>
      </c>
      <c r="P542" s="228">
        <f>MONTH(F542)-MONTH(T542)</f>
        <v/>
      </c>
      <c r="Q542" s="228">
        <f>$B$5=X542</f>
        <v/>
      </c>
      <c r="R542" s="228">
        <f>I542-AD542</f>
        <v/>
      </c>
      <c r="S542" s="371" t="n"/>
      <c r="T542" s="372" t="n">
        <v>45793</v>
      </c>
      <c r="U542" s="371" t="inlineStr">
        <is>
          <t>BTT25-0001003</t>
        </is>
      </c>
      <c r="V542" s="371" t="n"/>
      <c r="W542" s="371" t="n"/>
      <c r="X542" s="371" t="n"/>
      <c r="Y542" s="371" t="inlineStr">
        <is>
          <t>ហូលីដេ ឌីហ្សាញ (ខេមបូឌា) ឯ.ក</t>
        </is>
      </c>
      <c r="Z542" s="373" t="n"/>
      <c r="AA542" s="373" t="n"/>
      <c r="AB542" s="371" t="n"/>
      <c r="AC542" s="371" t="n"/>
      <c r="AD542" s="373" t="n">
        <v>255328</v>
      </c>
      <c r="AE542" s="371" t="n"/>
      <c r="AF542" s="625" t="n"/>
      <c r="AN542" s="205" t="inlineStr">
        <is>
          <t>Truking / Service</t>
        </is>
      </c>
    </row>
    <row r="543">
      <c r="A543" s="222">
        <f>A542+1</f>
        <v/>
      </c>
      <c r="B543" s="224" t="inlineStr">
        <is>
          <t>Trucking &amp; Clearance-Ex</t>
        </is>
      </c>
      <c r="C543" s="224" t="inlineStr">
        <is>
          <t>BRILLIANT TRANSPORT AND TRADING Co., Ltd.</t>
        </is>
      </c>
      <c r="D543" s="225" t="inlineStr">
        <is>
          <t>K002-100089305</t>
        </is>
      </c>
      <c r="E543" s="359" t="inlineStr">
        <is>
          <t>BTT25-0001016</t>
        </is>
      </c>
      <c r="F543" s="338" t="n">
        <v>45793</v>
      </c>
      <c r="G543" s="226" t="n"/>
      <c r="H543" s="627" t="n"/>
      <c r="I543" s="627" t="n">
        <v>203302</v>
      </c>
      <c r="J543" s="223" t="inlineStr">
        <is>
          <t>អនុញ្ញាត (បានប្រកាស)</t>
        </is>
      </c>
      <c r="K543" s="628" t="n"/>
      <c r="L543" s="626">
        <f>I543</f>
        <v/>
      </c>
      <c r="M543" s="598">
        <f>I543-L543</f>
        <v/>
      </c>
      <c r="N543" s="223" t="n"/>
      <c r="O543" s="228">
        <f>U543=E543</f>
        <v/>
      </c>
      <c r="P543" s="228">
        <f>MONTH(F543)-MONTH(T543)</f>
        <v/>
      </c>
      <c r="Q543" s="228">
        <f>$B$5=X543</f>
        <v/>
      </c>
      <c r="R543" s="228">
        <f>I543-AD543</f>
        <v/>
      </c>
      <c r="S543" s="371" t="n"/>
      <c r="T543" s="372" t="n">
        <v>45793</v>
      </c>
      <c r="U543" s="371" t="inlineStr">
        <is>
          <t>BTT25-0001016</t>
        </is>
      </c>
      <c r="V543" s="371" t="n"/>
      <c r="W543" s="371" t="n"/>
      <c r="X543" s="371" t="n"/>
      <c r="Y543" s="371" t="inlineStr">
        <is>
          <t>ហូលីដេ ឌីហ្សាញ (ខេមបូឌា) ឯ.ក</t>
        </is>
      </c>
      <c r="Z543" s="373" t="n"/>
      <c r="AA543" s="373" t="n"/>
      <c r="AB543" s="371" t="n"/>
      <c r="AC543" s="371" t="n"/>
      <c r="AD543" s="373" t="n">
        <v>203302</v>
      </c>
      <c r="AE543" s="371" t="n"/>
      <c r="AF543" s="625" t="n"/>
      <c r="AN543" s="205" t="inlineStr">
        <is>
          <t>Truking / Service</t>
        </is>
      </c>
    </row>
    <row r="544">
      <c r="A544" s="222">
        <f>A543+1</f>
        <v/>
      </c>
      <c r="B544" s="224" t="inlineStr">
        <is>
          <t>Lift-Off-Ex</t>
        </is>
      </c>
      <c r="C544" s="224" t="inlineStr">
        <is>
          <t>PHNOM PENH AUTONOMOUS PORT "PPAP"</t>
        </is>
      </c>
      <c r="D544" s="225" t="inlineStr">
        <is>
          <t>L001-100044999</t>
        </is>
      </c>
      <c r="E544" s="359" t="inlineStr">
        <is>
          <t>INV20250539581</t>
        </is>
      </c>
      <c r="F544" s="338" t="n">
        <v>45797</v>
      </c>
      <c r="G544" s="226" t="n"/>
      <c r="H544" s="627" t="n"/>
      <c r="I544" s="627" t="n">
        <v>28021</v>
      </c>
      <c r="J544" s="223" t="inlineStr">
        <is>
          <t>អនុញ្ញាត (បានប្រកាស)</t>
        </is>
      </c>
      <c r="K544" s="628">
        <f>L544</f>
        <v/>
      </c>
      <c r="L544" s="626">
        <f>AD544</f>
        <v/>
      </c>
      <c r="M544" s="598">
        <f>I544-L544</f>
        <v/>
      </c>
      <c r="N544" s="223" t="n"/>
      <c r="O544" s="228">
        <f>U544=E544</f>
        <v/>
      </c>
      <c r="P544" s="228">
        <f>MONTH(F544)-MONTH(T544)</f>
        <v/>
      </c>
      <c r="Q544" s="228">
        <f>$B$5=X544</f>
        <v/>
      </c>
      <c r="R544" s="228">
        <f>I544-AD544</f>
        <v/>
      </c>
      <c r="S544" s="371" t="n"/>
      <c r="T544" s="372" t="n">
        <v>45797</v>
      </c>
      <c r="U544" s="371" t="inlineStr">
        <is>
          <t>INV20250539581</t>
        </is>
      </c>
      <c r="V544" s="371" t="n">
        <v>0</v>
      </c>
      <c r="W544" s="371" t="inlineStr">
        <is>
          <t>បុគ្គលជាប់អាករ</t>
        </is>
      </c>
      <c r="X544" s="371" t="inlineStr">
        <is>
          <t>L001-901640009</t>
        </is>
      </c>
      <c r="Y544" s="371" t="inlineStr">
        <is>
          <t>ហូលីដេ ឌីហ្សាញ (ខេមបូឌា) ឯ.ក</t>
        </is>
      </c>
      <c r="Z544" s="373" t="n">
        <v>308154</v>
      </c>
      <c r="AA544" s="373" t="n">
        <v>280140</v>
      </c>
      <c r="AB544" s="371" t="n">
        <v>0</v>
      </c>
      <c r="AC544" s="371" t="inlineStr">
        <is>
          <t>-</t>
        </is>
      </c>
      <c r="AD544" s="373" t="n">
        <v>28014</v>
      </c>
      <c r="AE544" s="371" t="n">
        <v>0</v>
      </c>
      <c r="AF544" s="625" t="n">
        <v>0</v>
      </c>
      <c r="AG544" s="205" t="n">
        <v>0</v>
      </c>
      <c r="AH544" s="205" t="n">
        <v>0</v>
      </c>
      <c r="AI544" s="205" t="n">
        <v>0</v>
      </c>
      <c r="AJ544" s="205" t="n">
        <v>0</v>
      </c>
      <c r="AK544" s="205" t="n">
        <v>0</v>
      </c>
      <c r="AL544" s="205" t="n">
        <v>0.01</v>
      </c>
      <c r="AM544" s="205" t="n">
        <v>0</v>
      </c>
      <c r="AN544" s="205" t="inlineStr">
        <is>
          <t>ចំណូលពីសេវាកម្ម (លើកដាក់ទំនិញ)</t>
        </is>
      </c>
    </row>
    <row r="545">
      <c r="A545" s="222">
        <f>A544+1</f>
        <v/>
      </c>
      <c r="B545" s="224" t="inlineStr">
        <is>
          <t>Lift-Off-Ex</t>
        </is>
      </c>
      <c r="C545" s="224" t="inlineStr">
        <is>
          <t>PHNOM PENH AUTONOMOUS PORT "PPAP"</t>
        </is>
      </c>
      <c r="D545" s="225" t="inlineStr">
        <is>
          <t>L001-100044999</t>
        </is>
      </c>
      <c r="E545" s="359" t="inlineStr">
        <is>
          <t>INV20250539569</t>
        </is>
      </c>
      <c r="F545" s="338" t="n">
        <v>45797</v>
      </c>
      <c r="G545" s="226" t="n"/>
      <c r="H545" s="627" t="n"/>
      <c r="I545" s="627" t="n">
        <v>18414</v>
      </c>
      <c r="J545" s="223" t="inlineStr">
        <is>
          <t>អនុញ្ញាត (បានប្រកាស)</t>
        </is>
      </c>
      <c r="K545" s="628">
        <f>L545</f>
        <v/>
      </c>
      <c r="L545" s="626">
        <f>AD545</f>
        <v/>
      </c>
      <c r="M545" s="598">
        <f>I545-L545</f>
        <v/>
      </c>
      <c r="N545" s="223" t="n"/>
      <c r="O545" s="228">
        <f>U545=E545</f>
        <v/>
      </c>
      <c r="P545" s="228">
        <f>MONTH(F545)-MONTH(T545)</f>
        <v/>
      </c>
      <c r="Q545" s="228">
        <f>$B$5=X545</f>
        <v/>
      </c>
      <c r="R545" s="228">
        <f>I545-AD545</f>
        <v/>
      </c>
      <c r="S545" s="371" t="n"/>
      <c r="T545" s="372" t="n">
        <v>45797</v>
      </c>
      <c r="U545" s="371" t="inlineStr">
        <is>
          <t>INV20250539569</t>
        </is>
      </c>
      <c r="V545" s="371" t="n">
        <v>0</v>
      </c>
      <c r="W545" s="371" t="inlineStr">
        <is>
          <t>បុគ្គលជាប់អាករ</t>
        </is>
      </c>
      <c r="X545" s="371" t="inlineStr">
        <is>
          <t>L001-901640009</t>
        </is>
      </c>
      <c r="Y545" s="371" t="inlineStr">
        <is>
          <t>ហូលីដេ ឌីហ្សាញ (ខេមបូឌា) ឯ.ក</t>
        </is>
      </c>
      <c r="Z545" s="373" t="n">
        <v>202499</v>
      </c>
      <c r="AA545" s="373" t="n">
        <v>184090</v>
      </c>
      <c r="AB545" s="371" t="n">
        <v>0</v>
      </c>
      <c r="AC545" s="371" t="inlineStr">
        <is>
          <t>-</t>
        </is>
      </c>
      <c r="AD545" s="373" t="n">
        <v>18409</v>
      </c>
      <c r="AE545" s="371" t="n">
        <v>0</v>
      </c>
      <c r="AF545" s="625" t="n">
        <v>0</v>
      </c>
      <c r="AG545" s="205" t="n">
        <v>0</v>
      </c>
      <c r="AH545" s="205" t="n">
        <v>0</v>
      </c>
      <c r="AI545" s="205" t="n">
        <v>0</v>
      </c>
      <c r="AJ545" s="205" t="n">
        <v>0</v>
      </c>
      <c r="AK545" s="205" t="n">
        <v>0</v>
      </c>
      <c r="AL545" s="205" t="n">
        <v>0.01</v>
      </c>
      <c r="AM545" s="205" t="n">
        <v>0</v>
      </c>
      <c r="AN545" s="205" t="inlineStr">
        <is>
          <t>ចំណូលពីសេវាកម្ម (លើកដាក់ទំនិញ)</t>
        </is>
      </c>
    </row>
    <row r="546">
      <c r="A546" s="222">
        <f>A545+1</f>
        <v/>
      </c>
      <c r="B546" s="224" t="inlineStr">
        <is>
          <t>Trucking &amp; Clearance-Ex</t>
        </is>
      </c>
      <c r="C546" s="224" t="inlineStr">
        <is>
          <t>BRILLIANT TRANSPORT AND TRADING Co., Ltd.</t>
        </is>
      </c>
      <c r="D546" s="225" t="inlineStr">
        <is>
          <t>K002-100089305</t>
        </is>
      </c>
      <c r="E546" s="359" t="inlineStr">
        <is>
          <t>BTT25-0001025</t>
        </is>
      </c>
      <c r="F546" s="338" t="n">
        <v>45793</v>
      </c>
      <c r="G546" s="226" t="n"/>
      <c r="H546" s="627" t="n"/>
      <c r="I546" s="627" t="n">
        <v>203302</v>
      </c>
      <c r="J546" s="223" t="inlineStr">
        <is>
          <t>អនុញ្ញាត (បានប្រកាស)</t>
        </is>
      </c>
      <c r="K546" s="628" t="n"/>
      <c r="L546" s="626">
        <f>I546</f>
        <v/>
      </c>
      <c r="M546" s="598">
        <f>I546-L546</f>
        <v/>
      </c>
      <c r="N546" s="223" t="n"/>
      <c r="O546" s="228">
        <f>U546=E546</f>
        <v/>
      </c>
      <c r="P546" s="228">
        <f>MONTH(F546)-MONTH(T546)</f>
        <v/>
      </c>
      <c r="Q546" s="228">
        <f>$B$5=X546</f>
        <v/>
      </c>
      <c r="R546" s="228">
        <f>I546-AD546</f>
        <v/>
      </c>
      <c r="S546" s="371" t="n"/>
      <c r="T546" s="372" t="n">
        <v>45793</v>
      </c>
      <c r="U546" s="371" t="inlineStr">
        <is>
          <t>BTT25-0001025</t>
        </is>
      </c>
      <c r="V546" s="371" t="n"/>
      <c r="W546" s="371" t="n"/>
      <c r="X546" s="371" t="n"/>
      <c r="Y546" s="371" t="inlineStr">
        <is>
          <t>ហូលីដេ ឌីហ្សាញ (ខេមបូឌា) ឯ.ក</t>
        </is>
      </c>
      <c r="Z546" s="373" t="n"/>
      <c r="AA546" s="373" t="n"/>
      <c r="AB546" s="371" t="n"/>
      <c r="AC546" s="371" t="n"/>
      <c r="AD546" s="373" t="n">
        <v>203302</v>
      </c>
      <c r="AE546" s="371" t="n"/>
      <c r="AF546" s="625" t="n"/>
      <c r="AN546" s="205" t="inlineStr">
        <is>
          <t>Truking / Service</t>
        </is>
      </c>
    </row>
    <row r="547">
      <c r="A547" s="222">
        <f>A546+1</f>
        <v/>
      </c>
      <c r="B547" s="224" t="inlineStr">
        <is>
          <t>Lift-Off-Ex</t>
        </is>
      </c>
      <c r="C547" s="224" t="inlineStr">
        <is>
          <t>PHNOM PENH AUTONOMOUS PORT "PPAP"</t>
        </is>
      </c>
      <c r="D547" s="225" t="inlineStr">
        <is>
          <t>L001-100044999</t>
        </is>
      </c>
      <c r="E547" s="359" t="inlineStr">
        <is>
          <t>INV20250539566</t>
        </is>
      </c>
      <c r="F547" s="338" t="n">
        <v>45797</v>
      </c>
      <c r="G547" s="226" t="n"/>
      <c r="H547" s="627" t="n"/>
      <c r="I547" s="627" t="n">
        <v>28021</v>
      </c>
      <c r="J547" s="223" t="inlineStr">
        <is>
          <t>អនុញ្ញាត (បានប្រកាស)</t>
        </is>
      </c>
      <c r="K547" s="628">
        <f>L547</f>
        <v/>
      </c>
      <c r="L547" s="626">
        <f>AD547</f>
        <v/>
      </c>
      <c r="M547" s="598">
        <f>I547-L547</f>
        <v/>
      </c>
      <c r="N547" s="223" t="n"/>
      <c r="O547" s="228">
        <f>U547=E547</f>
        <v/>
      </c>
      <c r="P547" s="228">
        <f>MONTH(F547)-MONTH(T547)</f>
        <v/>
      </c>
      <c r="Q547" s="228">
        <f>$B$5=X547</f>
        <v/>
      </c>
      <c r="R547" s="228">
        <f>I547-AD547</f>
        <v/>
      </c>
      <c r="S547" s="371" t="n"/>
      <c r="T547" s="372" t="n">
        <v>45797</v>
      </c>
      <c r="U547" s="371" t="inlineStr">
        <is>
          <t>INV20250539566</t>
        </is>
      </c>
      <c r="V547" s="371" t="n">
        <v>0</v>
      </c>
      <c r="W547" s="371" t="inlineStr">
        <is>
          <t>បុគ្គលជាប់អាករ</t>
        </is>
      </c>
      <c r="X547" s="371" t="inlineStr">
        <is>
          <t>L001-901640009</t>
        </is>
      </c>
      <c r="Y547" s="371" t="inlineStr">
        <is>
          <t>ហូលីដេ ឌីហ្សាញ (ខេមបូឌា) ឯ.ក</t>
        </is>
      </c>
      <c r="Z547" s="373" t="n">
        <v>308154</v>
      </c>
      <c r="AA547" s="373" t="n">
        <v>280140</v>
      </c>
      <c r="AB547" s="371" t="n">
        <v>0</v>
      </c>
      <c r="AC547" s="371" t="inlineStr">
        <is>
          <t>-</t>
        </is>
      </c>
      <c r="AD547" s="373" t="n">
        <v>28014</v>
      </c>
      <c r="AE547" s="371" t="n">
        <v>0</v>
      </c>
      <c r="AF547" s="625" t="n">
        <v>0</v>
      </c>
      <c r="AG547" s="205" t="n">
        <v>0</v>
      </c>
      <c r="AH547" s="205" t="n">
        <v>0</v>
      </c>
      <c r="AI547" s="205" t="n">
        <v>0</v>
      </c>
      <c r="AJ547" s="205" t="n">
        <v>0</v>
      </c>
      <c r="AK547" s="205" t="n">
        <v>0</v>
      </c>
      <c r="AL547" s="205" t="n">
        <v>0.01</v>
      </c>
      <c r="AM547" s="205" t="n">
        <v>0</v>
      </c>
      <c r="AN547" s="205" t="inlineStr">
        <is>
          <t>ចំណូលពីសេវាកម្ម (លើកដាក់ទំនិញ)</t>
        </is>
      </c>
    </row>
    <row r="548">
      <c r="A548" s="222">
        <f>A547+1</f>
        <v/>
      </c>
      <c r="B548" s="224" t="inlineStr">
        <is>
          <t>Trucking &amp; Clearance-Ex</t>
        </is>
      </c>
      <c r="C548" s="224" t="inlineStr">
        <is>
          <t>BRILLIANT TRANSPORT AND TRADING Co., Ltd.</t>
        </is>
      </c>
      <c r="D548" s="225" t="inlineStr">
        <is>
          <t>K002-100089305</t>
        </is>
      </c>
      <c r="E548" s="359" t="inlineStr">
        <is>
          <t>BTT25-0001024</t>
        </is>
      </c>
      <c r="F548" s="338" t="n">
        <v>45793</v>
      </c>
      <c r="G548" s="226" t="n"/>
      <c r="H548" s="627" t="n"/>
      <c r="I548" s="627" t="n">
        <v>203302</v>
      </c>
      <c r="J548" s="223" t="inlineStr">
        <is>
          <t>អនុញ្ញាត (បានប្រកាស)</t>
        </is>
      </c>
      <c r="K548" s="628" t="n"/>
      <c r="L548" s="626">
        <f>I548</f>
        <v/>
      </c>
      <c r="M548" s="598">
        <f>I548-L548</f>
        <v/>
      </c>
      <c r="N548" s="223" t="n"/>
      <c r="O548" s="228">
        <f>U548=E548</f>
        <v/>
      </c>
      <c r="P548" s="228">
        <f>MONTH(F548)-MONTH(T548)</f>
        <v/>
      </c>
      <c r="Q548" s="228">
        <f>$B$5=X548</f>
        <v/>
      </c>
      <c r="R548" s="228">
        <f>I548-AD548</f>
        <v/>
      </c>
      <c r="S548" s="371" t="n"/>
      <c r="T548" s="372" t="n">
        <v>45793</v>
      </c>
      <c r="U548" s="371" t="inlineStr">
        <is>
          <t>BTT25-0001024</t>
        </is>
      </c>
      <c r="V548" s="371" t="n"/>
      <c r="W548" s="371" t="n"/>
      <c r="X548" s="371" t="n"/>
      <c r="Y548" s="371" t="inlineStr">
        <is>
          <t>ហូលីដេ ឌីហ្សាញ (ខេមបូឌា) ឯ.ក</t>
        </is>
      </c>
      <c r="Z548" s="373" t="n"/>
      <c r="AA548" s="373" t="n"/>
      <c r="AB548" s="371" t="n"/>
      <c r="AC548" s="371" t="n"/>
      <c r="AD548" s="373" t="n">
        <v>203302</v>
      </c>
      <c r="AE548" s="371" t="n"/>
      <c r="AF548" s="625" t="n"/>
      <c r="AN548" s="205" t="inlineStr">
        <is>
          <t>Truking / Service</t>
        </is>
      </c>
    </row>
    <row r="549">
      <c r="A549" s="222">
        <f>A548+1</f>
        <v/>
      </c>
      <c r="B549" s="224" t="inlineStr">
        <is>
          <t>Lift-Off-Ex</t>
        </is>
      </c>
      <c r="C549" s="224" t="inlineStr">
        <is>
          <t>PHNOM PENH AUTONOMOUS PORT "PPAP"</t>
        </is>
      </c>
      <c r="D549" s="225" t="inlineStr">
        <is>
          <t>L001-100044999</t>
        </is>
      </c>
      <c r="E549" s="359" t="inlineStr">
        <is>
          <t>INV20250539567</t>
        </is>
      </c>
      <c r="F549" s="338" t="n">
        <v>45797</v>
      </c>
      <c r="G549" s="226" t="n"/>
      <c r="H549" s="627" t="n"/>
      <c r="I549" s="627" t="n">
        <v>18414</v>
      </c>
      <c r="J549" s="223" t="inlineStr">
        <is>
          <t>អនុញ្ញាត (បានប្រកាស)</t>
        </is>
      </c>
      <c r="K549" s="628">
        <f>L549</f>
        <v/>
      </c>
      <c r="L549" s="626">
        <f>AD549</f>
        <v/>
      </c>
      <c r="M549" s="598">
        <f>I549-L549</f>
        <v/>
      </c>
      <c r="N549" s="223" t="n"/>
      <c r="O549" s="228">
        <f>U549=E549</f>
        <v/>
      </c>
      <c r="P549" s="228">
        <f>MONTH(F549)-MONTH(T549)</f>
        <v/>
      </c>
      <c r="Q549" s="228">
        <f>$B$5=X549</f>
        <v/>
      </c>
      <c r="R549" s="228">
        <f>I549-AD549</f>
        <v/>
      </c>
      <c r="S549" s="371" t="n"/>
      <c r="T549" s="372" t="n">
        <v>45797</v>
      </c>
      <c r="U549" s="371" t="inlineStr">
        <is>
          <t>INV20250539567</t>
        </is>
      </c>
      <c r="V549" s="371" t="n">
        <v>0</v>
      </c>
      <c r="W549" s="371" t="inlineStr">
        <is>
          <t>បុគ្គលជាប់អាករ</t>
        </is>
      </c>
      <c r="X549" s="371" t="inlineStr">
        <is>
          <t>L001-901640009</t>
        </is>
      </c>
      <c r="Y549" s="371" t="inlineStr">
        <is>
          <t>ហូលីដេ ឌីហ្សាញ (ខេមបូឌា) ឯ.ក</t>
        </is>
      </c>
      <c r="Z549" s="373" t="n">
        <v>202499</v>
      </c>
      <c r="AA549" s="373" t="n">
        <v>184090</v>
      </c>
      <c r="AB549" s="371" t="n">
        <v>0</v>
      </c>
      <c r="AC549" s="371" t="inlineStr">
        <is>
          <t>-</t>
        </is>
      </c>
      <c r="AD549" s="373" t="n">
        <v>18409</v>
      </c>
      <c r="AE549" s="371" t="n">
        <v>0</v>
      </c>
      <c r="AF549" s="625" t="n">
        <v>0</v>
      </c>
      <c r="AG549" s="205" t="n">
        <v>0</v>
      </c>
      <c r="AH549" s="205" t="n">
        <v>0</v>
      </c>
      <c r="AI549" s="205" t="n">
        <v>0</v>
      </c>
      <c r="AJ549" s="205" t="n">
        <v>0</v>
      </c>
      <c r="AK549" s="205" t="n">
        <v>0</v>
      </c>
      <c r="AL549" s="205" t="n">
        <v>0.01</v>
      </c>
      <c r="AM549" s="205" t="n">
        <v>0</v>
      </c>
      <c r="AN549" s="205" t="inlineStr">
        <is>
          <t>ចំណូលពីសេវាកម្ម (លើកដាក់ទំនិញ)</t>
        </is>
      </c>
    </row>
    <row r="550">
      <c r="A550" s="222">
        <f>A549+1</f>
        <v/>
      </c>
      <c r="B550" s="224" t="inlineStr">
        <is>
          <t>Trucking &amp; Clearance-Ex</t>
        </is>
      </c>
      <c r="C550" s="224" t="inlineStr">
        <is>
          <t>BRILLIANT TRANSPORT AND TRADING Co., Ltd.</t>
        </is>
      </c>
      <c r="D550" s="225" t="inlineStr">
        <is>
          <t>K002-100089305</t>
        </is>
      </c>
      <c r="E550" s="359" t="inlineStr">
        <is>
          <t>BTT25-0001023</t>
        </is>
      </c>
      <c r="F550" s="338" t="n">
        <v>45793</v>
      </c>
      <c r="G550" s="226" t="n"/>
      <c r="H550" s="627" t="n"/>
      <c r="I550" s="627" t="n">
        <v>190895</v>
      </c>
      <c r="J550" s="223" t="inlineStr">
        <is>
          <t>អនុញ្ញាត (បានប្រកាស)</t>
        </is>
      </c>
      <c r="K550" s="628" t="n"/>
      <c r="L550" s="626">
        <f>I550</f>
        <v/>
      </c>
      <c r="M550" s="598">
        <f>I550-L550</f>
        <v/>
      </c>
      <c r="N550" s="223" t="n"/>
      <c r="O550" s="228">
        <f>U550=E550</f>
        <v/>
      </c>
      <c r="P550" s="228">
        <f>MONTH(F550)-MONTH(T550)</f>
        <v/>
      </c>
      <c r="Q550" s="228">
        <f>$B$5=X550</f>
        <v/>
      </c>
      <c r="R550" s="228">
        <f>I550-AD550</f>
        <v/>
      </c>
      <c r="S550" s="371" t="n"/>
      <c r="T550" s="372" t="n">
        <v>45793</v>
      </c>
      <c r="U550" s="371" t="inlineStr">
        <is>
          <t>BTT25-0001023</t>
        </is>
      </c>
      <c r="V550" s="371" t="n"/>
      <c r="W550" s="371" t="n"/>
      <c r="X550" s="371" t="n"/>
      <c r="Y550" s="371" t="inlineStr">
        <is>
          <t>ហូលីដេ ឌីហ្សាញ (ខេមបូឌា) ឯ.ក</t>
        </is>
      </c>
      <c r="Z550" s="373" t="n"/>
      <c r="AA550" s="373" t="n"/>
      <c r="AB550" s="371" t="n"/>
      <c r="AC550" s="371" t="n"/>
      <c r="AD550" s="373" t="n">
        <v>190895</v>
      </c>
      <c r="AE550" s="371" t="n"/>
      <c r="AF550" s="625" t="n"/>
      <c r="AN550" s="205" t="inlineStr">
        <is>
          <t>Truking / Service</t>
        </is>
      </c>
    </row>
    <row r="551">
      <c r="A551" s="222">
        <f>A550+1</f>
        <v/>
      </c>
      <c r="B551" s="224" t="inlineStr">
        <is>
          <t>Trucking &amp; Clearance-Ex</t>
        </is>
      </c>
      <c r="C551" s="224" t="inlineStr">
        <is>
          <t>BRILLIANT TRANSPORT AND TRADING Co., Ltd.</t>
        </is>
      </c>
      <c r="D551" s="225" t="inlineStr">
        <is>
          <t>K002-100089305</t>
        </is>
      </c>
      <c r="E551" s="359" t="inlineStr">
        <is>
          <t>BTT25-0001022</t>
        </is>
      </c>
      <c r="F551" s="338" t="n">
        <v>45793</v>
      </c>
      <c r="G551" s="226" t="n"/>
      <c r="H551" s="627" t="n"/>
      <c r="I551" s="627" t="n">
        <v>190895</v>
      </c>
      <c r="J551" s="223" t="inlineStr">
        <is>
          <t>អនុញ្ញាត (បានប្រកាស)</t>
        </is>
      </c>
      <c r="K551" s="628" t="n"/>
      <c r="L551" s="626">
        <f>I551</f>
        <v/>
      </c>
      <c r="M551" s="598">
        <f>I551-L551</f>
        <v/>
      </c>
      <c r="N551" s="223" t="n"/>
      <c r="O551" s="228">
        <f>U551=E551</f>
        <v/>
      </c>
      <c r="P551" s="228">
        <f>MONTH(F551)-MONTH(T551)</f>
        <v/>
      </c>
      <c r="Q551" s="228">
        <f>$B$5=X551</f>
        <v/>
      </c>
      <c r="R551" s="228">
        <f>I551-AD551</f>
        <v/>
      </c>
      <c r="S551" s="371" t="n"/>
      <c r="T551" s="372" t="n">
        <v>45793</v>
      </c>
      <c r="U551" s="371" t="inlineStr">
        <is>
          <t>BTT25-0001022</t>
        </is>
      </c>
      <c r="V551" s="371" t="n"/>
      <c r="W551" s="371" t="n"/>
      <c r="X551" s="371" t="n"/>
      <c r="Y551" s="371" t="inlineStr">
        <is>
          <t>ហូលីដេ ឌីហ្សាញ (ខេមបូឌា) ឯ.ក</t>
        </is>
      </c>
      <c r="Z551" s="373" t="n"/>
      <c r="AA551" s="373" t="n"/>
      <c r="AB551" s="371" t="n"/>
      <c r="AC551" s="371" t="n"/>
      <c r="AD551" s="373" t="n">
        <v>190895</v>
      </c>
      <c r="AE551" s="371" t="n"/>
      <c r="AF551" s="625" t="n"/>
      <c r="AN551" s="205" t="inlineStr">
        <is>
          <t>Truking / Service</t>
        </is>
      </c>
    </row>
    <row r="552">
      <c r="A552" s="222">
        <f>A551+1</f>
        <v/>
      </c>
      <c r="B552" s="224" t="inlineStr">
        <is>
          <t>Trucking &amp; Clearance-Ex</t>
        </is>
      </c>
      <c r="C552" s="224" t="inlineStr">
        <is>
          <t>BRILLIANT TRANSPORT AND TRADING Co., Ltd.</t>
        </is>
      </c>
      <c r="D552" s="225" t="inlineStr">
        <is>
          <t>K002-100089305</t>
        </is>
      </c>
      <c r="E552" s="359" t="inlineStr">
        <is>
          <t>BTT25-0001018</t>
        </is>
      </c>
      <c r="F552" s="338" t="n">
        <v>45793</v>
      </c>
      <c r="G552" s="226" t="n"/>
      <c r="H552" s="627" t="n"/>
      <c r="I552" s="627" t="n">
        <v>203302</v>
      </c>
      <c r="J552" s="223" t="inlineStr">
        <is>
          <t>អនុញ្ញាត (បានប្រកាស)</t>
        </is>
      </c>
      <c r="K552" s="628" t="n"/>
      <c r="L552" s="626">
        <f>I552</f>
        <v/>
      </c>
      <c r="M552" s="598">
        <f>I552-L552</f>
        <v/>
      </c>
      <c r="N552" s="223" t="n"/>
      <c r="O552" s="228">
        <f>U552=E552</f>
        <v/>
      </c>
      <c r="P552" s="228">
        <f>MONTH(F552)-MONTH(T552)</f>
        <v/>
      </c>
      <c r="Q552" s="228">
        <f>$B$5=X552</f>
        <v/>
      </c>
      <c r="R552" s="228">
        <f>I552-AD552</f>
        <v/>
      </c>
      <c r="S552" s="371" t="n"/>
      <c r="T552" s="372" t="n">
        <v>45793</v>
      </c>
      <c r="U552" s="371" t="inlineStr">
        <is>
          <t>BTT25-0001018</t>
        </is>
      </c>
      <c r="V552" s="371" t="n"/>
      <c r="W552" s="371" t="n"/>
      <c r="X552" s="371" t="n"/>
      <c r="Y552" s="371" t="inlineStr">
        <is>
          <t>ហូលីដេ ឌីហ្សាញ (ខេមបូឌា) ឯ.ក</t>
        </is>
      </c>
      <c r="Z552" s="373" t="n"/>
      <c r="AA552" s="373" t="n"/>
      <c r="AB552" s="371" t="n"/>
      <c r="AC552" s="371" t="n"/>
      <c r="AD552" s="373" t="n">
        <v>203302</v>
      </c>
      <c r="AE552" s="371" t="n"/>
      <c r="AF552" s="625" t="n"/>
      <c r="AN552" s="205" t="inlineStr">
        <is>
          <t>Truking / Service</t>
        </is>
      </c>
    </row>
    <row r="553">
      <c r="A553" s="222">
        <f>A552+1</f>
        <v/>
      </c>
      <c r="B553" s="224" t="inlineStr">
        <is>
          <t>Lift-Off-Ex</t>
        </is>
      </c>
      <c r="C553" s="224" t="inlineStr">
        <is>
          <t>PHNOM PENH AUTONOMOUS PORT "PPAP"</t>
        </is>
      </c>
      <c r="D553" s="225" t="inlineStr">
        <is>
          <t>L001-100044999</t>
        </is>
      </c>
      <c r="E553" s="359" t="inlineStr">
        <is>
          <t>INV20250539570</t>
        </is>
      </c>
      <c r="F553" s="338" t="n">
        <v>45797</v>
      </c>
      <c r="G553" s="226" t="n"/>
      <c r="H553" s="627" t="n"/>
      <c r="I553" s="627" t="n">
        <v>46435</v>
      </c>
      <c r="J553" s="223" t="inlineStr">
        <is>
          <t>អនុញ្ញាត (បានប្រកាស)</t>
        </is>
      </c>
      <c r="K553" s="628">
        <f>L553</f>
        <v/>
      </c>
      <c r="L553" s="626">
        <f>AD553</f>
        <v/>
      </c>
      <c r="M553" s="598">
        <f>I553-L553</f>
        <v/>
      </c>
      <c r="N553" s="223" t="n"/>
      <c r="O553" s="228">
        <f>U553=E553</f>
        <v/>
      </c>
      <c r="P553" s="228">
        <f>MONTH(F553)-MONTH(T553)</f>
        <v/>
      </c>
      <c r="Q553" s="228">
        <f>$B$5=X553</f>
        <v/>
      </c>
      <c r="R553" s="228">
        <f>I553-AD553</f>
        <v/>
      </c>
      <c r="S553" s="371" t="n"/>
      <c r="T553" s="372" t="n">
        <v>45797</v>
      </c>
      <c r="U553" s="371" t="inlineStr">
        <is>
          <t>INV20250539570</t>
        </is>
      </c>
      <c r="V553" s="371" t="n">
        <v>0</v>
      </c>
      <c r="W553" s="371" t="inlineStr">
        <is>
          <t>បុគ្គលជាប់អាករ</t>
        </is>
      </c>
      <c r="X553" s="371" t="inlineStr">
        <is>
          <t>L001-901640009</t>
        </is>
      </c>
      <c r="Y553" s="371" t="inlineStr">
        <is>
          <t>ហូលីដេ ឌីហ្សាញ (ខេមបូឌា) ឯ.ក</t>
        </is>
      </c>
      <c r="Z553" s="373" t="n">
        <v>510653</v>
      </c>
      <c r="AA553" s="373" t="n">
        <v>464230</v>
      </c>
      <c r="AB553" s="371" t="n">
        <v>0</v>
      </c>
      <c r="AC553" s="371" t="inlineStr">
        <is>
          <t>-</t>
        </is>
      </c>
      <c r="AD553" s="373" t="n">
        <v>46423</v>
      </c>
      <c r="AE553" s="371" t="n">
        <v>0</v>
      </c>
      <c r="AF553" s="625" t="n">
        <v>0</v>
      </c>
      <c r="AG553" s="205" t="n">
        <v>0</v>
      </c>
      <c r="AH553" s="205" t="n">
        <v>0</v>
      </c>
      <c r="AI553" s="205" t="n">
        <v>0</v>
      </c>
      <c r="AJ553" s="205" t="n">
        <v>0</v>
      </c>
      <c r="AK553" s="205" t="n">
        <v>0</v>
      </c>
      <c r="AL553" s="205" t="n">
        <v>0.01</v>
      </c>
      <c r="AM553" s="205" t="n">
        <v>0</v>
      </c>
      <c r="AN553" s="205" t="inlineStr">
        <is>
          <t>ចំណូលពីសេវាកម្ម (លើកដាក់ទំនិញ)</t>
        </is>
      </c>
    </row>
    <row r="554">
      <c r="A554" s="222">
        <f>A553+1</f>
        <v/>
      </c>
      <c r="B554" s="224" t="inlineStr">
        <is>
          <t>Trucking &amp; Clearance-Ex</t>
        </is>
      </c>
      <c r="C554" s="224" t="inlineStr">
        <is>
          <t>BRILLIANT TRANSPORT AND TRADING Co., Ltd.</t>
        </is>
      </c>
      <c r="D554" s="225" t="inlineStr">
        <is>
          <t>K002-100089305</t>
        </is>
      </c>
      <c r="E554" s="359" t="inlineStr">
        <is>
          <t>BTT25-0001021</t>
        </is>
      </c>
      <c r="F554" s="338" t="n">
        <v>45793</v>
      </c>
      <c r="G554" s="226" t="n"/>
      <c r="H554" s="627" t="n"/>
      <c r="I554" s="627" t="n">
        <v>394197</v>
      </c>
      <c r="J554" s="223" t="inlineStr">
        <is>
          <t>អនុញ្ញាត (បានប្រកាស)</t>
        </is>
      </c>
      <c r="K554" s="628" t="n"/>
      <c r="L554" s="626">
        <f>I554</f>
        <v/>
      </c>
      <c r="M554" s="598">
        <f>I554-L554</f>
        <v/>
      </c>
      <c r="N554" s="223" t="n"/>
      <c r="O554" s="228">
        <f>U554=E554</f>
        <v/>
      </c>
      <c r="P554" s="228">
        <f>MONTH(F554)-MONTH(T554)</f>
        <v/>
      </c>
      <c r="Q554" s="228">
        <f>$B$5=X554</f>
        <v/>
      </c>
      <c r="R554" s="228">
        <f>I554-AD554</f>
        <v/>
      </c>
      <c r="S554" s="371" t="inlineStr">
        <is>
          <t>Wrong invoice number</t>
        </is>
      </c>
      <c r="T554" s="372" t="n">
        <v>45793</v>
      </c>
      <c r="U554" s="371" t="inlineStr">
        <is>
          <t>BTT25-0001021</t>
        </is>
      </c>
      <c r="V554" s="629" t="n"/>
      <c r="W554" s="371" t="n"/>
      <c r="X554" s="371" t="n"/>
      <c r="Y554" s="371" t="inlineStr">
        <is>
          <t>ហូលីដេ ឌីហ្សាញ (ខេមបូឌា) ឯ.ក</t>
        </is>
      </c>
      <c r="Z554" s="373" t="n"/>
      <c r="AA554" s="373" t="n"/>
      <c r="AB554" s="371" t="n"/>
      <c r="AC554" s="371" t="n"/>
      <c r="AD554" s="373" t="n">
        <v>394197</v>
      </c>
      <c r="AE554" s="371" t="n"/>
      <c r="AF554" s="625" t="n"/>
      <c r="AN554" s="205" t="inlineStr">
        <is>
          <t>Truking / Service</t>
        </is>
      </c>
    </row>
    <row r="555">
      <c r="A555" s="222">
        <f>A554+1</f>
        <v/>
      </c>
      <c r="B555" s="224" t="inlineStr">
        <is>
          <t>Lift-Off-Ex</t>
        </is>
      </c>
      <c r="C555" s="224" t="inlineStr">
        <is>
          <t>PHNOM PENH AUTONOMOUS PORT "PPAP"</t>
        </is>
      </c>
      <c r="D555" s="225" t="inlineStr">
        <is>
          <t>L001-100044999</t>
        </is>
      </c>
      <c r="E555" s="359" t="inlineStr">
        <is>
          <t>INV20250539571</t>
        </is>
      </c>
      <c r="F555" s="338" t="n">
        <v>45797</v>
      </c>
      <c r="G555" s="226" t="n"/>
      <c r="H555" s="627" t="n"/>
      <c r="I555" s="627" t="n">
        <v>28021</v>
      </c>
      <c r="J555" s="223" t="inlineStr">
        <is>
          <t>អនុញ្ញាត (បានប្រកាស)</t>
        </is>
      </c>
      <c r="K555" s="628">
        <f>L555</f>
        <v/>
      </c>
      <c r="L555" s="626">
        <f>AD555</f>
        <v/>
      </c>
      <c r="M555" s="598">
        <f>I555-L555</f>
        <v/>
      </c>
      <c r="N555" s="223" t="n"/>
      <c r="O555" s="228">
        <f>U555=E555</f>
        <v/>
      </c>
      <c r="P555" s="228">
        <f>MONTH(F555)-MONTH(T555)</f>
        <v/>
      </c>
      <c r="Q555" s="228">
        <f>$B$5=X555</f>
        <v/>
      </c>
      <c r="R555" s="228">
        <f>I555-AD555</f>
        <v/>
      </c>
      <c r="S555" s="371" t="n"/>
      <c r="T555" s="372" t="n">
        <v>45797</v>
      </c>
      <c r="U555" s="371" t="inlineStr">
        <is>
          <t>INV20250539571</t>
        </is>
      </c>
      <c r="V555" s="371" t="n">
        <v>0</v>
      </c>
      <c r="W555" s="371" t="inlineStr">
        <is>
          <t>បុគ្គលជាប់អាករ</t>
        </is>
      </c>
      <c r="X555" s="371" t="inlineStr">
        <is>
          <t>L001-901640009</t>
        </is>
      </c>
      <c r="Y555" s="371" t="inlineStr">
        <is>
          <t>ហូលីដេ ឌីហ្សាញ (ខេមបូឌា) ឯ.ក</t>
        </is>
      </c>
      <c r="Z555" s="373" t="n">
        <v>308154</v>
      </c>
      <c r="AA555" s="373" t="n">
        <v>280140</v>
      </c>
      <c r="AB555" s="371" t="n">
        <v>0</v>
      </c>
      <c r="AC555" s="371" t="inlineStr">
        <is>
          <t>-</t>
        </is>
      </c>
      <c r="AD555" s="373" t="n">
        <v>28014</v>
      </c>
      <c r="AE555" s="371" t="n">
        <v>0</v>
      </c>
      <c r="AF555" s="625" t="n">
        <v>0</v>
      </c>
      <c r="AG555" s="205" t="n">
        <v>0</v>
      </c>
      <c r="AH555" s="205" t="n">
        <v>0</v>
      </c>
      <c r="AI555" s="205" t="n">
        <v>0</v>
      </c>
      <c r="AJ555" s="205" t="n">
        <v>0</v>
      </c>
      <c r="AK555" s="205" t="n">
        <v>0</v>
      </c>
      <c r="AL555" s="205" t="n">
        <v>0.01</v>
      </c>
      <c r="AM555" s="205" t="n">
        <v>0</v>
      </c>
      <c r="AN555" s="205" t="inlineStr">
        <is>
          <t>ចំណូលពីសេវាកម្ម (លើកដាក់ទំនិញ)</t>
        </is>
      </c>
    </row>
    <row r="556">
      <c r="A556" s="222">
        <f>A555+1</f>
        <v/>
      </c>
      <c r="B556" s="224" t="inlineStr">
        <is>
          <t>Trucking &amp; Clearance-Ex</t>
        </is>
      </c>
      <c r="C556" s="224" t="inlineStr">
        <is>
          <t>BRILLIANT TRANSPORT AND TRADING Co., Ltd.</t>
        </is>
      </c>
      <c r="D556" s="225" t="inlineStr">
        <is>
          <t>K002-100089305</t>
        </is>
      </c>
      <c r="E556" s="359" t="inlineStr">
        <is>
          <t>BTT25-0001020</t>
        </is>
      </c>
      <c r="F556" s="338" t="n">
        <v>45793</v>
      </c>
      <c r="G556" s="226" t="n"/>
      <c r="H556" s="627" t="n"/>
      <c r="I556" s="627" t="n">
        <v>203302</v>
      </c>
      <c r="J556" s="223" t="inlineStr">
        <is>
          <t>អនុញ្ញាត (បានប្រកាស)</t>
        </is>
      </c>
      <c r="K556" s="628" t="n"/>
      <c r="L556" s="626">
        <f>I556</f>
        <v/>
      </c>
      <c r="M556" s="598">
        <f>I556-L556</f>
        <v/>
      </c>
      <c r="N556" s="223" t="n"/>
      <c r="O556" s="228">
        <f>U556=E556</f>
        <v/>
      </c>
      <c r="P556" s="228">
        <f>MONTH(F556)-MONTH(T556)</f>
        <v/>
      </c>
      <c r="Q556" s="228">
        <f>$B$5=X556</f>
        <v/>
      </c>
      <c r="R556" s="228">
        <f>I556-AD556</f>
        <v/>
      </c>
      <c r="S556" s="371" t="n"/>
      <c r="T556" s="372" t="n">
        <v>45793</v>
      </c>
      <c r="U556" s="371" t="inlineStr">
        <is>
          <t>BTT25-0001020</t>
        </is>
      </c>
      <c r="V556" s="371" t="n"/>
      <c r="W556" s="371" t="n"/>
      <c r="X556" s="371" t="n"/>
      <c r="Y556" s="371" t="inlineStr">
        <is>
          <t>ហូលីដេ ឌីហ្សាញ (ខេមបូឌា) ឯ.ក</t>
        </is>
      </c>
      <c r="Z556" s="373" t="n"/>
      <c r="AA556" s="373" t="n"/>
      <c r="AB556" s="371" t="n"/>
      <c r="AC556" s="371" t="n"/>
      <c r="AD556" s="373" t="n">
        <v>203302</v>
      </c>
      <c r="AE556" s="371" t="n"/>
      <c r="AF556" s="625" t="n"/>
      <c r="AN556" s="205" t="inlineStr">
        <is>
          <t>Truking / Service</t>
        </is>
      </c>
    </row>
    <row r="557">
      <c r="A557" s="222">
        <f>A556+1</f>
        <v/>
      </c>
      <c r="B557" s="224" t="inlineStr">
        <is>
          <t>Lift-Off-Ex</t>
        </is>
      </c>
      <c r="C557" s="224" t="inlineStr">
        <is>
          <t>PHNOM PENH AUTONOMOUS PORT "PPAP"</t>
        </is>
      </c>
      <c r="D557" s="225" t="inlineStr">
        <is>
          <t>L001-100044999</t>
        </is>
      </c>
      <c r="E557" s="359" t="inlineStr">
        <is>
          <t>INV20250539579</t>
        </is>
      </c>
      <c r="F557" s="338" t="n">
        <v>45797</v>
      </c>
      <c r="G557" s="226" t="n"/>
      <c r="H557" s="627" t="n"/>
      <c r="I557" s="627" t="n">
        <v>28021</v>
      </c>
      <c r="J557" s="223" t="inlineStr">
        <is>
          <t>អនុញ្ញាត (បានប្រកាស)</t>
        </is>
      </c>
      <c r="K557" s="628">
        <f>L557</f>
        <v/>
      </c>
      <c r="L557" s="626">
        <f>AD557</f>
        <v/>
      </c>
      <c r="M557" s="598">
        <f>I557-L557</f>
        <v/>
      </c>
      <c r="N557" s="223" t="n"/>
      <c r="O557" s="228">
        <f>U557=E557</f>
        <v/>
      </c>
      <c r="P557" s="228">
        <f>MONTH(F557)-MONTH(T557)</f>
        <v/>
      </c>
      <c r="Q557" s="228">
        <f>$B$5=X557</f>
        <v/>
      </c>
      <c r="R557" s="228">
        <f>I557-AD557</f>
        <v/>
      </c>
      <c r="S557" s="371" t="n"/>
      <c r="T557" s="372" t="n">
        <v>45797</v>
      </c>
      <c r="U557" s="371" t="inlineStr">
        <is>
          <t>INV20250539579</t>
        </is>
      </c>
      <c r="V557" s="371" t="n">
        <v>0</v>
      </c>
      <c r="W557" s="371" t="inlineStr">
        <is>
          <t>បុគ្គលជាប់អាករ</t>
        </is>
      </c>
      <c r="X557" s="371" t="inlineStr">
        <is>
          <t>L001-901640009</t>
        </is>
      </c>
      <c r="Y557" s="371" t="inlineStr">
        <is>
          <t>ហូលីដេ ឌីហ្សាញ (ខេមបូឌា) ឯ.ក</t>
        </is>
      </c>
      <c r="Z557" s="373" t="n">
        <v>308154</v>
      </c>
      <c r="AA557" s="373" t="n">
        <v>280140</v>
      </c>
      <c r="AB557" s="371" t="n">
        <v>0</v>
      </c>
      <c r="AC557" s="371" t="inlineStr">
        <is>
          <t>-</t>
        </is>
      </c>
      <c r="AD557" s="373" t="n">
        <v>28014</v>
      </c>
      <c r="AE557" s="371" t="n">
        <v>0</v>
      </c>
      <c r="AF557" s="625" t="n">
        <v>0</v>
      </c>
      <c r="AG557" s="205" t="n">
        <v>0</v>
      </c>
      <c r="AH557" s="205" t="n">
        <v>0</v>
      </c>
      <c r="AI557" s="205" t="n">
        <v>0</v>
      </c>
      <c r="AJ557" s="205" t="n">
        <v>0</v>
      </c>
      <c r="AK557" s="205" t="n">
        <v>0</v>
      </c>
      <c r="AL557" s="205" t="n">
        <v>0.01</v>
      </c>
      <c r="AM557" s="205" t="n">
        <v>0</v>
      </c>
      <c r="AN557" s="205" t="inlineStr">
        <is>
          <t>ចំណូលពីសេវាកម្ម (លើកដាក់ទំនិញ)</t>
        </is>
      </c>
    </row>
    <row r="558">
      <c r="A558" s="222">
        <f>A557+1</f>
        <v/>
      </c>
      <c r="B558" s="224" t="inlineStr">
        <is>
          <t>Lift-Off-Ex</t>
        </is>
      </c>
      <c r="C558" s="224" t="inlineStr">
        <is>
          <t>Port Autonome Du Sihanoukville</t>
        </is>
      </c>
      <c r="D558" s="225" t="inlineStr">
        <is>
          <t>L001-100044638</t>
        </is>
      </c>
      <c r="E558" s="359" t="n">
        <v>202500105844</v>
      </c>
      <c r="F558" s="338" t="n">
        <v>45785</v>
      </c>
      <c r="G558" s="226" t="n"/>
      <c r="H558" s="627" t="n"/>
      <c r="I558" s="627" t="n">
        <v>6807</v>
      </c>
      <c r="J558" s="223" t="inlineStr">
        <is>
          <t>អនុញ្ញាត (បានប្រកាស)</t>
        </is>
      </c>
      <c r="K558" s="628" t="n"/>
      <c r="L558" s="626">
        <f>I558</f>
        <v/>
      </c>
      <c r="M558" s="598">
        <f>I558-L558</f>
        <v/>
      </c>
      <c r="N558" s="223" t="n"/>
      <c r="O558" s="228">
        <f>U558=E558</f>
        <v/>
      </c>
      <c r="P558" s="228">
        <f>MONTH(F558)-MONTH(T558)</f>
        <v/>
      </c>
      <c r="Q558" s="228">
        <f>$B$5=X558</f>
        <v/>
      </c>
      <c r="R558" s="228">
        <f>I558-AD558</f>
        <v/>
      </c>
      <c r="S558" s="371" t="n"/>
      <c r="T558" s="372" t="n">
        <v>45785</v>
      </c>
      <c r="U558" s="371" t="n">
        <v>202500105844</v>
      </c>
      <c r="V558" s="371" t="n"/>
      <c r="W558" s="371" t="inlineStr">
        <is>
          <t>បុគ្គលជាប់អាករ</t>
        </is>
      </c>
      <c r="X558" s="371" t="inlineStr">
        <is>
          <t>L001-901640009</t>
        </is>
      </c>
      <c r="Y558" s="371" t="inlineStr">
        <is>
          <t>ហូលីដេ ឌីហ្សាញ (ខេមបូឌា) ឯ.ក</t>
        </is>
      </c>
      <c r="Z558" s="373" t="n">
        <v>74875</v>
      </c>
      <c r="AA558" s="373" t="n">
        <v>68068</v>
      </c>
      <c r="AB558" s="371" t="n">
        <v>0</v>
      </c>
      <c r="AC558" s="371" t="inlineStr">
        <is>
          <t>-</t>
        </is>
      </c>
      <c r="AD558" s="373" t="n">
        <v>6807</v>
      </c>
      <c r="AE558" s="371" t="n"/>
      <c r="AF558" s="625" t="n"/>
    </row>
    <row r="559">
      <c r="A559" s="222">
        <f>A558+1</f>
        <v/>
      </c>
      <c r="B559" s="224" t="inlineStr">
        <is>
          <t>Trucking &amp; Clearance-Ex</t>
        </is>
      </c>
      <c r="C559" s="224" t="inlineStr">
        <is>
          <t>BRILLIANT TRANSPORT AND TRADING Co., Ltd.</t>
        </is>
      </c>
      <c r="D559" s="225" t="inlineStr">
        <is>
          <t>K002-100089305</t>
        </is>
      </c>
      <c r="E559" s="359" t="inlineStr">
        <is>
          <t>BTT25-0000981</t>
        </is>
      </c>
      <c r="F559" s="338" t="n">
        <v>45786</v>
      </c>
      <c r="G559" s="226" t="n"/>
      <c r="H559" s="627" t="n"/>
      <c r="I559" s="627" t="n">
        <v>398299</v>
      </c>
      <c r="J559" s="223" t="inlineStr">
        <is>
          <t>អនុញ្ញាត (បានប្រកាស)</t>
        </is>
      </c>
      <c r="K559" s="628" t="n"/>
      <c r="L559" s="626">
        <f>I559</f>
        <v/>
      </c>
      <c r="M559" s="598">
        <f>I559-L559</f>
        <v/>
      </c>
      <c r="N559" s="223" t="n"/>
      <c r="O559" s="228">
        <f>U559=E559</f>
        <v/>
      </c>
      <c r="P559" s="228">
        <f>MONTH(F559)-MONTH(T559)</f>
        <v/>
      </c>
      <c r="Q559" s="228">
        <f>$B$5=X559</f>
        <v/>
      </c>
      <c r="R559" s="228">
        <f>I559-AD559</f>
        <v/>
      </c>
      <c r="S559" s="371" t="n"/>
      <c r="T559" s="372" t="n">
        <v>45786</v>
      </c>
      <c r="U559" s="371" t="inlineStr">
        <is>
          <t>BTT25-0000981</t>
        </is>
      </c>
      <c r="V559" s="371" t="n"/>
      <c r="W559" s="371" t="n"/>
      <c r="X559" s="371" t="n"/>
      <c r="Y559" s="371" t="inlineStr">
        <is>
          <t>ហូលីដេ ឌីហ្សាញ (ខេមបូឌា) ឯ.ក</t>
        </is>
      </c>
      <c r="Z559" s="373" t="n"/>
      <c r="AA559" s="373" t="n"/>
      <c r="AB559" s="371" t="n"/>
      <c r="AC559" s="371" t="n"/>
      <c r="AD559" s="373" t="n">
        <v>398299</v>
      </c>
      <c r="AE559" s="371" t="n"/>
      <c r="AF559" s="625" t="n"/>
      <c r="AN559" s="205" t="inlineStr">
        <is>
          <t>Truking / Service</t>
        </is>
      </c>
    </row>
    <row r="560">
      <c r="A560" s="222">
        <f>A559+1</f>
        <v/>
      </c>
      <c r="B560" s="224" t="inlineStr">
        <is>
          <t>Trucking &amp; Clearance-Ex</t>
        </is>
      </c>
      <c r="C560" s="224" t="inlineStr">
        <is>
          <t>WANAKA LOGISTICS CO., LTD.</t>
        </is>
      </c>
      <c r="D560" s="225" t="inlineStr">
        <is>
          <t>K005-901907953</t>
        </is>
      </c>
      <c r="E560" s="359" t="inlineStr">
        <is>
          <t>WL25-002072</t>
        </is>
      </c>
      <c r="F560" s="338" t="n">
        <v>45805</v>
      </c>
      <c r="G560" s="226" t="n"/>
      <c r="H560" s="627" t="n"/>
      <c r="I560" s="627" t="n">
        <v>468585</v>
      </c>
      <c r="J560" s="223" t="inlineStr">
        <is>
          <t>អនុញ្ញាត (បានប្រកាស)</t>
        </is>
      </c>
      <c r="K560" s="628" t="n"/>
      <c r="L560" s="626">
        <f>I560</f>
        <v/>
      </c>
      <c r="M560" s="598">
        <f>I560-L560</f>
        <v/>
      </c>
      <c r="N560" s="223" t="n"/>
      <c r="O560" s="228">
        <f>U560=E560</f>
        <v/>
      </c>
      <c r="P560" s="228">
        <f>MONTH(F560)-MONTH(T560)</f>
        <v/>
      </c>
      <c r="Q560" s="228">
        <f>$B$5=X560</f>
        <v/>
      </c>
      <c r="R560" s="228">
        <f>I560-AD560</f>
        <v/>
      </c>
      <c r="S560" s="371" t="n"/>
      <c r="T560" s="372" t="n">
        <v>45805</v>
      </c>
      <c r="U560" s="371" t="inlineStr">
        <is>
          <t>WL25-002072</t>
        </is>
      </c>
      <c r="V560" s="371" t="n"/>
      <c r="W560" s="371" t="n"/>
      <c r="X560" s="371" t="n"/>
      <c r="Y560" s="371" t="inlineStr">
        <is>
          <t>ហូលីដេ ឌីហ្សាញ (ខេមបូឌា) ឯ.ក</t>
        </is>
      </c>
      <c r="Z560" s="373" t="n"/>
      <c r="AA560" s="373" t="n"/>
      <c r="AB560" s="371" t="n"/>
      <c r="AC560" s="371" t="n"/>
      <c r="AD560" s="373" t="n">
        <v>468585</v>
      </c>
      <c r="AE560" s="371" t="n"/>
      <c r="AF560" s="625" t="n"/>
    </row>
    <row r="561">
      <c r="A561" s="222">
        <f>A560+1</f>
        <v/>
      </c>
      <c r="B561" s="224" t="inlineStr">
        <is>
          <t>Lift-Off-Ex</t>
        </is>
      </c>
      <c r="C561" s="224" t="inlineStr">
        <is>
          <t>PHNOM PENH AUTONOMOUS PORT "PPAP"</t>
        </is>
      </c>
      <c r="D561" s="225" t="inlineStr">
        <is>
          <t>L001-100044999</t>
        </is>
      </c>
      <c r="E561" s="359" t="inlineStr">
        <is>
          <t>INV20250542471</t>
        </is>
      </c>
      <c r="F561" s="338" t="n">
        <v>45805</v>
      </c>
      <c r="G561" s="226" t="n"/>
      <c r="H561" s="627" t="n"/>
      <c r="I561" s="627" t="n">
        <v>28021</v>
      </c>
      <c r="J561" s="223" t="inlineStr">
        <is>
          <t>អនុញ្ញាត (បានប្រកាស)</t>
        </is>
      </c>
      <c r="K561" s="628" t="n"/>
      <c r="L561" s="626">
        <f>I561</f>
        <v/>
      </c>
      <c r="M561" s="598">
        <f>I561-L561</f>
        <v/>
      </c>
      <c r="N561" s="223" t="n"/>
      <c r="O561" s="228">
        <f>U561=E561</f>
        <v/>
      </c>
      <c r="P561" s="228">
        <f>MONTH(F561)-MONTH(T561)</f>
        <v/>
      </c>
      <c r="Q561" s="228">
        <f>$B$5=X561</f>
        <v/>
      </c>
      <c r="R561" s="228">
        <f>I561-AD561</f>
        <v/>
      </c>
      <c r="S561" s="371" t="n"/>
      <c r="T561" s="372" t="n">
        <v>45805</v>
      </c>
      <c r="U561" s="371" t="inlineStr">
        <is>
          <t>INV20250542471</t>
        </is>
      </c>
      <c r="V561" s="371" t="n">
        <v>0</v>
      </c>
      <c r="W561" s="371" t="inlineStr">
        <is>
          <t>បុគ្គលជាប់អាករ</t>
        </is>
      </c>
      <c r="X561" s="371" t="inlineStr">
        <is>
          <t>L001-901640009</t>
        </is>
      </c>
      <c r="Y561" s="371" t="inlineStr">
        <is>
          <t>ហូលីដេ ឌីហ្សាញ (ខេមបូឌា) ឯ.ក</t>
        </is>
      </c>
      <c r="Z561" s="373" t="n">
        <v>308231</v>
      </c>
      <c r="AA561" s="373" t="n">
        <v>280210</v>
      </c>
      <c r="AB561" s="371" t="n">
        <v>0</v>
      </c>
      <c r="AC561" s="371" t="inlineStr">
        <is>
          <t>-</t>
        </is>
      </c>
      <c r="AD561" s="373" t="n">
        <v>28021</v>
      </c>
      <c r="AE561" s="371" t="n">
        <v>0</v>
      </c>
      <c r="AF561" s="625" t="n">
        <v>0</v>
      </c>
      <c r="AG561" s="205" t="n">
        <v>0</v>
      </c>
      <c r="AH561" s="205" t="n">
        <v>0</v>
      </c>
      <c r="AI561" s="205" t="n">
        <v>0</v>
      </c>
      <c r="AJ561" s="205" t="n">
        <v>0</v>
      </c>
      <c r="AK561" s="205" t="n">
        <v>0</v>
      </c>
      <c r="AL561" s="205" t="n">
        <v>0.01</v>
      </c>
      <c r="AM561" s="205" t="n">
        <v>0</v>
      </c>
      <c r="AN561" s="205" t="inlineStr">
        <is>
          <t>ចំណូលពីសេវាកម្ម (លើកដាក់ទំនិញ)</t>
        </is>
      </c>
    </row>
    <row r="562">
      <c r="A562" s="222">
        <f>A561+1</f>
        <v/>
      </c>
      <c r="B562" s="224" t="inlineStr">
        <is>
          <t>Trucking &amp; Clearance-Ex</t>
        </is>
      </c>
      <c r="C562" s="224" t="inlineStr">
        <is>
          <t>WANAKA LOGISTICS CO., LTD.</t>
        </is>
      </c>
      <c r="D562" s="225" t="inlineStr">
        <is>
          <t>K005-901907953</t>
        </is>
      </c>
      <c r="E562" s="359" t="inlineStr">
        <is>
          <t>WL25-001902</t>
        </is>
      </c>
      <c r="F562" s="338" t="n">
        <v>45805</v>
      </c>
      <c r="G562" s="226" t="n"/>
      <c r="H562" s="627" t="n"/>
      <c r="I562" s="627" t="n">
        <v>176132</v>
      </c>
      <c r="J562" s="223" t="inlineStr">
        <is>
          <t>អនុញ្ញាត (បានប្រកាស)</t>
        </is>
      </c>
      <c r="K562" s="628" t="n"/>
      <c r="L562" s="626">
        <f>I562</f>
        <v/>
      </c>
      <c r="M562" s="598">
        <f>I562-L562</f>
        <v/>
      </c>
      <c r="N562" s="223" t="n"/>
      <c r="O562" s="228">
        <f>U562=E562</f>
        <v/>
      </c>
      <c r="P562" s="228">
        <f>MONTH(F562)-MONTH(T562)</f>
        <v/>
      </c>
      <c r="Q562" s="228">
        <f>$B$5=X562</f>
        <v/>
      </c>
      <c r="R562" s="228">
        <f>I562-AD562</f>
        <v/>
      </c>
      <c r="S562" s="371" t="n"/>
      <c r="T562" s="372" t="n">
        <v>45805</v>
      </c>
      <c r="U562" s="371" t="inlineStr">
        <is>
          <t>WL25-001902</t>
        </is>
      </c>
      <c r="V562" s="371" t="n"/>
      <c r="W562" s="371" t="n"/>
      <c r="X562" s="371" t="n"/>
      <c r="Y562" s="371" t="inlineStr">
        <is>
          <t>ហូលីដេ ឌីហ្សាញ (ខេមបូឌា) ឯ.ក</t>
        </is>
      </c>
      <c r="Z562" s="373" t="n"/>
      <c r="AA562" s="373" t="n"/>
      <c r="AB562" s="371" t="n"/>
      <c r="AC562" s="371" t="n"/>
      <c r="AD562" s="373" t="n">
        <v>176132</v>
      </c>
      <c r="AE562" s="371" t="n"/>
      <c r="AF562" s="625" t="n"/>
    </row>
    <row r="563">
      <c r="A563" s="222">
        <f>A562+1</f>
        <v/>
      </c>
      <c r="B563" s="224" t="inlineStr">
        <is>
          <t>Lift-Off-Ex</t>
        </is>
      </c>
      <c r="C563" s="224" t="inlineStr">
        <is>
          <t>PHNOM PENH AUTONOMOUS PORT "PPAP"</t>
        </is>
      </c>
      <c r="D563" s="225" t="inlineStr">
        <is>
          <t>L001-100044999</t>
        </is>
      </c>
      <c r="E563" s="359" t="inlineStr">
        <is>
          <t>INV20250542472</t>
        </is>
      </c>
      <c r="F563" s="338" t="n">
        <v>45805</v>
      </c>
      <c r="G563" s="226" t="n"/>
      <c r="H563" s="627" t="n"/>
      <c r="I563" s="627" t="n">
        <v>28021</v>
      </c>
      <c r="J563" s="223" t="inlineStr">
        <is>
          <t>អនុញ្ញាត (បានប្រកាស)</t>
        </is>
      </c>
      <c r="K563" s="628" t="n"/>
      <c r="L563" s="626">
        <f>I563</f>
        <v/>
      </c>
      <c r="M563" s="598">
        <f>I563-L563</f>
        <v/>
      </c>
      <c r="N563" s="223" t="n"/>
      <c r="O563" s="228">
        <f>U563=E563</f>
        <v/>
      </c>
      <c r="P563" s="228">
        <f>MONTH(F563)-MONTH(T563)</f>
        <v/>
      </c>
      <c r="Q563" s="228">
        <f>$B$5=X563</f>
        <v/>
      </c>
      <c r="R563" s="228">
        <f>I563-AD563</f>
        <v/>
      </c>
      <c r="S563" s="371" t="n"/>
      <c r="T563" s="372" t="n">
        <v>45805</v>
      </c>
      <c r="U563" s="371" t="inlineStr">
        <is>
          <t>INV20250542472</t>
        </is>
      </c>
      <c r="V563" s="371" t="n">
        <v>0</v>
      </c>
      <c r="W563" s="371" t="inlineStr">
        <is>
          <t>បុគ្គលជាប់អាករ</t>
        </is>
      </c>
      <c r="X563" s="371" t="inlineStr">
        <is>
          <t>L001-901640009</t>
        </is>
      </c>
      <c r="Y563" s="371" t="inlineStr">
        <is>
          <t>ហូលីដេ ឌីហ្សាញ (ខេមបូឌា) ឯ.ក</t>
        </is>
      </c>
      <c r="Z563" s="373" t="n">
        <v>308231</v>
      </c>
      <c r="AA563" s="373" t="n">
        <v>280210</v>
      </c>
      <c r="AB563" s="371" t="n">
        <v>0</v>
      </c>
      <c r="AC563" s="371" t="inlineStr">
        <is>
          <t>-</t>
        </is>
      </c>
      <c r="AD563" s="373" t="n">
        <v>28021</v>
      </c>
      <c r="AE563" s="371" t="n">
        <v>0</v>
      </c>
      <c r="AF563" s="625" t="n">
        <v>0</v>
      </c>
      <c r="AG563" s="205" t="n">
        <v>0</v>
      </c>
      <c r="AH563" s="205" t="n">
        <v>0</v>
      </c>
      <c r="AI563" s="205" t="n">
        <v>0</v>
      </c>
      <c r="AJ563" s="205" t="n">
        <v>0</v>
      </c>
      <c r="AK563" s="205" t="n">
        <v>0</v>
      </c>
      <c r="AL563" s="205" t="n">
        <v>0.01</v>
      </c>
      <c r="AM563" s="205" t="n">
        <v>0</v>
      </c>
      <c r="AN563" s="205" t="inlineStr">
        <is>
          <t>ចំណូលពីសេវាកម្ម (លើកដាក់ទំនិញ)</t>
        </is>
      </c>
    </row>
    <row r="564">
      <c r="A564" s="222">
        <f>A563+1</f>
        <v/>
      </c>
      <c r="B564" s="224" t="inlineStr">
        <is>
          <t>Trucking &amp; Clearance-Ex</t>
        </is>
      </c>
      <c r="C564" s="224" t="inlineStr">
        <is>
          <t>WANAKA LOGISTICS CO., LTD.</t>
        </is>
      </c>
      <c r="D564" s="225" t="inlineStr">
        <is>
          <t>K005-901907953</t>
        </is>
      </c>
      <c r="E564" s="359" t="inlineStr">
        <is>
          <t>WL25-001901</t>
        </is>
      </c>
      <c r="F564" s="338" t="n">
        <v>45805</v>
      </c>
      <c r="G564" s="226" t="n"/>
      <c r="H564" s="627" t="n"/>
      <c r="I564" s="627" t="n">
        <v>156117</v>
      </c>
      <c r="J564" s="223" t="inlineStr">
        <is>
          <t>អនុញ្ញាត (បានប្រកាស)</t>
        </is>
      </c>
      <c r="K564" s="628" t="n"/>
      <c r="L564" s="626">
        <f>I564</f>
        <v/>
      </c>
      <c r="M564" s="598">
        <f>I564-L564</f>
        <v/>
      </c>
      <c r="N564" s="223" t="n"/>
      <c r="O564" s="228">
        <f>U564=E564</f>
        <v/>
      </c>
      <c r="P564" s="228">
        <f>MONTH(F564)-MONTH(T564)</f>
        <v/>
      </c>
      <c r="Q564" s="228">
        <f>$B$5=X564</f>
        <v/>
      </c>
      <c r="R564" s="228">
        <f>I564-AD564</f>
        <v/>
      </c>
      <c r="S564" s="371" t="n"/>
      <c r="T564" s="372" t="n">
        <v>45805</v>
      </c>
      <c r="U564" s="371" t="inlineStr">
        <is>
          <t>WL25-001901</t>
        </is>
      </c>
      <c r="V564" s="371" t="n"/>
      <c r="W564" s="371" t="n"/>
      <c r="X564" s="371" t="n"/>
      <c r="Y564" s="371" t="inlineStr">
        <is>
          <t>ហូលីដេ ឌីហ្សាញ (ខេមបូឌា) ឯ.ក</t>
        </is>
      </c>
      <c r="Z564" s="373" t="n"/>
      <c r="AA564" s="373" t="n"/>
      <c r="AB564" s="371" t="n"/>
      <c r="AC564" s="371" t="n"/>
      <c r="AD564" s="373" t="n">
        <v>156117</v>
      </c>
      <c r="AE564" s="371" t="n"/>
      <c r="AF564" s="625" t="n"/>
    </row>
    <row r="565">
      <c r="A565" s="222">
        <f>A564+1</f>
        <v/>
      </c>
      <c r="B565" s="224" t="inlineStr">
        <is>
          <t>Storage 40 Feet Container-Ex</t>
        </is>
      </c>
      <c r="C565" s="224" t="inlineStr">
        <is>
          <t>PHNOM PENH AUTONOMOUS PORT "PPAP"</t>
        </is>
      </c>
      <c r="D565" s="225" t="inlineStr">
        <is>
          <t>L001-100044999</t>
        </is>
      </c>
      <c r="E565" s="359" t="inlineStr">
        <is>
          <t>INV20250542851</t>
        </is>
      </c>
      <c r="F565" s="338" t="n">
        <v>45807</v>
      </c>
      <c r="G565" s="226" t="n"/>
      <c r="H565" s="627" t="n"/>
      <c r="I565" s="627" t="n">
        <v>2403</v>
      </c>
      <c r="J565" s="223" t="inlineStr">
        <is>
          <t>អនុញ្ញាត (បានប្រកាស)</t>
        </is>
      </c>
      <c r="K565" s="628" t="n"/>
      <c r="L565" s="626">
        <f>I565</f>
        <v/>
      </c>
      <c r="M565" s="598">
        <f>I565-L565</f>
        <v/>
      </c>
      <c r="N565" s="223" t="n"/>
      <c r="O565" s="228">
        <f>U565=E565</f>
        <v/>
      </c>
      <c r="P565" s="228">
        <f>MONTH(F565)-MONTH(T565)</f>
        <v/>
      </c>
      <c r="Q565" s="228">
        <f>$B$5=X565</f>
        <v/>
      </c>
      <c r="R565" s="228">
        <f>I565-AD565</f>
        <v/>
      </c>
      <c r="S565" s="371" t="n"/>
      <c r="T565" s="372" t="n">
        <v>45807</v>
      </c>
      <c r="U565" s="371" t="inlineStr">
        <is>
          <t>INV20250542851</t>
        </is>
      </c>
      <c r="V565" s="371" t="n">
        <v>0</v>
      </c>
      <c r="W565" s="371" t="inlineStr">
        <is>
          <t>បុគ្គលជាប់អាករ</t>
        </is>
      </c>
      <c r="X565" s="371" t="inlineStr">
        <is>
          <t>L001-901640009</t>
        </is>
      </c>
      <c r="Y565" s="371" t="inlineStr">
        <is>
          <t>ហូលីដេ ឌីហ្សាញ (ខេមបូឌា) ឯ.ក</t>
        </is>
      </c>
      <c r="Z565" s="373" t="n">
        <v>26433</v>
      </c>
      <c r="AA565" s="373" t="n">
        <v>24030</v>
      </c>
      <c r="AB565" s="371" t="n">
        <v>0</v>
      </c>
      <c r="AC565" s="371" t="inlineStr">
        <is>
          <t>-</t>
        </is>
      </c>
      <c r="AD565" s="373" t="n">
        <v>2403</v>
      </c>
      <c r="AE565" s="371" t="n">
        <v>0</v>
      </c>
      <c r="AF565" s="625" t="n">
        <v>0</v>
      </c>
      <c r="AG565" s="205" t="n">
        <v>0</v>
      </c>
      <c r="AH565" s="205" t="n">
        <v>0</v>
      </c>
      <c r="AI565" s="205" t="n">
        <v>0</v>
      </c>
      <c r="AJ565" s="205" t="n">
        <v>0</v>
      </c>
      <c r="AK565" s="205" t="n">
        <v>0</v>
      </c>
      <c r="AL565" s="205" t="n">
        <v>0.01</v>
      </c>
      <c r="AM565" s="205" t="n">
        <v>0</v>
      </c>
      <c r="AN565" s="205" t="inlineStr">
        <is>
          <t>ចំណូលពីសេវាកម្ម (លើកដាក់ទំនិញ)</t>
        </is>
      </c>
    </row>
    <row r="566">
      <c r="A566" s="222">
        <f>A565+1</f>
        <v/>
      </c>
      <c r="B566" s="224" t="inlineStr">
        <is>
          <t>Lift-Off-Ex</t>
        </is>
      </c>
      <c r="C566" s="224" t="inlineStr">
        <is>
          <t>PHNOM PENH AUTONOMOUS PORT "PPAP"</t>
        </is>
      </c>
      <c r="D566" s="225" t="inlineStr">
        <is>
          <t>L001-100044999</t>
        </is>
      </c>
      <c r="E566" s="359" t="inlineStr">
        <is>
          <t>INV20250542477</t>
        </is>
      </c>
      <c r="F566" s="338" t="n">
        <v>45805</v>
      </c>
      <c r="G566" s="226" t="n"/>
      <c r="H566" s="627" t="n"/>
      <c r="I566" s="627" t="n">
        <v>28021</v>
      </c>
      <c r="J566" s="223" t="inlineStr">
        <is>
          <t>អនុញ្ញាត (បានប្រកាស)</t>
        </is>
      </c>
      <c r="K566" s="628" t="n"/>
      <c r="L566" s="626">
        <f>I566</f>
        <v/>
      </c>
      <c r="M566" s="598">
        <f>I566-L566</f>
        <v/>
      </c>
      <c r="N566" s="223" t="n"/>
      <c r="O566" s="228">
        <f>U566=E566</f>
        <v/>
      </c>
      <c r="P566" s="228">
        <f>MONTH(F566)-MONTH(T566)</f>
        <v/>
      </c>
      <c r="Q566" s="228">
        <f>$B$5=X566</f>
        <v/>
      </c>
      <c r="R566" s="228">
        <f>I566-AD566</f>
        <v/>
      </c>
      <c r="S566" s="371" t="n"/>
      <c r="T566" s="372" t="n">
        <v>45805</v>
      </c>
      <c r="U566" s="371" t="inlineStr">
        <is>
          <t>INV20250542477</t>
        </is>
      </c>
      <c r="V566" s="371" t="n">
        <v>0</v>
      </c>
      <c r="W566" s="371" t="inlineStr">
        <is>
          <t>បុគ្គលជាប់អាករ</t>
        </is>
      </c>
      <c r="X566" s="371" t="inlineStr">
        <is>
          <t>L001-901640009</t>
        </is>
      </c>
      <c r="Y566" s="371" t="inlineStr">
        <is>
          <t>ហូលីដេ ឌីហ្សាញ (ខេមបូឌា) ឯ.ក</t>
        </is>
      </c>
      <c r="Z566" s="373" t="n">
        <v>308231</v>
      </c>
      <c r="AA566" s="373" t="n">
        <v>280210</v>
      </c>
      <c r="AB566" s="371" t="n">
        <v>0</v>
      </c>
      <c r="AC566" s="371" t="inlineStr">
        <is>
          <t>-</t>
        </is>
      </c>
      <c r="AD566" s="373" t="n">
        <v>28021</v>
      </c>
      <c r="AE566" s="371" t="n">
        <v>0</v>
      </c>
      <c r="AF566" s="625" t="n">
        <v>0</v>
      </c>
      <c r="AG566" s="205" t="n">
        <v>0</v>
      </c>
      <c r="AH566" s="205" t="n">
        <v>0</v>
      </c>
      <c r="AI566" s="205" t="n">
        <v>0</v>
      </c>
      <c r="AJ566" s="205" t="n">
        <v>0</v>
      </c>
      <c r="AK566" s="205" t="n">
        <v>0</v>
      </c>
      <c r="AL566" s="205" t="n">
        <v>0.01</v>
      </c>
      <c r="AM566" s="205" t="n">
        <v>0</v>
      </c>
      <c r="AN566" s="205" t="inlineStr">
        <is>
          <t>ចំណូលពីសេវាកម្ម (លើកដាក់ទំនិញ)</t>
        </is>
      </c>
    </row>
    <row r="567">
      <c r="A567" s="222">
        <f>A566+1</f>
        <v/>
      </c>
      <c r="B567" s="224" t="inlineStr">
        <is>
          <t>Trucking &amp; Clearance-Ex</t>
        </is>
      </c>
      <c r="C567" s="224" t="inlineStr">
        <is>
          <t>WANAKA LOGISTICS CO., LTD.</t>
        </is>
      </c>
      <c r="D567" s="225" t="inlineStr">
        <is>
          <t>K005-901907953</t>
        </is>
      </c>
      <c r="E567" s="359" t="inlineStr">
        <is>
          <t>WL25-001900</t>
        </is>
      </c>
      <c r="F567" s="338" t="n">
        <v>45805</v>
      </c>
      <c r="G567" s="226" t="n"/>
      <c r="H567" s="627" t="n"/>
      <c r="I567" s="627" t="n">
        <v>156117</v>
      </c>
      <c r="J567" s="223" t="inlineStr">
        <is>
          <t>អនុញ្ញាត (បានប្រកាស)</t>
        </is>
      </c>
      <c r="K567" s="628" t="n"/>
      <c r="L567" s="626">
        <f>I567</f>
        <v/>
      </c>
      <c r="M567" s="598">
        <f>I567-L567</f>
        <v/>
      </c>
      <c r="N567" s="223" t="n"/>
      <c r="O567" s="228">
        <f>U567=E567</f>
        <v/>
      </c>
      <c r="P567" s="228">
        <f>MONTH(F567)-MONTH(T567)</f>
        <v/>
      </c>
      <c r="Q567" s="228">
        <f>$B$5=X567</f>
        <v/>
      </c>
      <c r="R567" s="228">
        <f>I567-AD567</f>
        <v/>
      </c>
      <c r="S567" s="371" t="n"/>
      <c r="T567" s="372" t="n">
        <v>45805</v>
      </c>
      <c r="U567" s="371" t="inlineStr">
        <is>
          <t>WL25-001900</t>
        </is>
      </c>
      <c r="V567" s="371" t="n"/>
      <c r="W567" s="371" t="n"/>
      <c r="X567" s="371" t="n"/>
      <c r="Y567" s="371" t="inlineStr">
        <is>
          <t>ហូលីដេ ឌីហ្សាញ (ខេមបូឌា) ឯ.ក</t>
        </is>
      </c>
      <c r="Z567" s="373" t="n"/>
      <c r="AA567" s="373" t="n"/>
      <c r="AB567" s="371" t="n"/>
      <c r="AC567" s="371" t="n"/>
      <c r="AD567" s="373" t="n">
        <v>156117</v>
      </c>
      <c r="AE567" s="371" t="n"/>
      <c r="AF567" s="625" t="n"/>
    </row>
    <row r="568">
      <c r="A568" s="222">
        <f>A567+1</f>
        <v/>
      </c>
      <c r="B568" s="224" t="inlineStr">
        <is>
          <t>Lift-Off-Ex</t>
        </is>
      </c>
      <c r="C568" s="224" t="inlineStr">
        <is>
          <t>PHNOM PENH AUTONOMOUS PORT "PPAP"</t>
        </is>
      </c>
      <c r="D568" s="225" t="inlineStr">
        <is>
          <t>L001-100044999</t>
        </is>
      </c>
      <c r="E568" s="359" t="inlineStr">
        <is>
          <t>INV20250542469</t>
        </is>
      </c>
      <c r="F568" s="338" t="n">
        <v>45805</v>
      </c>
      <c r="G568" s="226" t="n"/>
      <c r="H568" s="627" t="n"/>
      <c r="I568" s="627" t="n">
        <v>84063</v>
      </c>
      <c r="J568" s="223" t="inlineStr">
        <is>
          <t>អនុញ្ញាត (បានប្រកាស)</t>
        </is>
      </c>
      <c r="K568" s="628" t="n"/>
      <c r="L568" s="626">
        <f>I568</f>
        <v/>
      </c>
      <c r="M568" s="598">
        <f>I568-L568</f>
        <v/>
      </c>
      <c r="N568" s="223" t="n"/>
      <c r="O568" s="228">
        <f>U568=E568</f>
        <v/>
      </c>
      <c r="P568" s="228">
        <f>MONTH(F568)-MONTH(T568)</f>
        <v/>
      </c>
      <c r="Q568" s="228">
        <f>$B$5=X568</f>
        <v/>
      </c>
      <c r="R568" s="228">
        <f>I568-AD568</f>
        <v/>
      </c>
      <c r="S568" s="371" t="n"/>
      <c r="T568" s="372" t="n">
        <v>45805</v>
      </c>
      <c r="U568" s="371" t="inlineStr">
        <is>
          <t>INV20250542469</t>
        </is>
      </c>
      <c r="V568" s="371" t="n">
        <v>0</v>
      </c>
      <c r="W568" s="371" t="inlineStr">
        <is>
          <t>បុគ្គលជាប់អាករ</t>
        </is>
      </c>
      <c r="X568" s="371" t="inlineStr">
        <is>
          <t>L001-901640009</t>
        </is>
      </c>
      <c r="Y568" s="371" t="inlineStr">
        <is>
          <t>ហូលីដេ ឌីហ្សាញ (ខេមបូឌា) ឯ.ក</t>
        </is>
      </c>
      <c r="Z568" s="373" t="n">
        <v>924693</v>
      </c>
      <c r="AA568" s="373" t="n">
        <v>840630</v>
      </c>
      <c r="AB568" s="371" t="n">
        <v>0</v>
      </c>
      <c r="AC568" s="371" t="inlineStr">
        <is>
          <t>-</t>
        </is>
      </c>
      <c r="AD568" s="373" t="n">
        <v>84063</v>
      </c>
      <c r="AE568" s="371" t="n">
        <v>0</v>
      </c>
      <c r="AF568" s="625" t="n">
        <v>0</v>
      </c>
      <c r="AG568" s="205" t="n">
        <v>0</v>
      </c>
      <c r="AH568" s="205" t="n">
        <v>0</v>
      </c>
      <c r="AI568" s="205" t="n">
        <v>0</v>
      </c>
      <c r="AJ568" s="205" t="n">
        <v>0</v>
      </c>
      <c r="AK568" s="205" t="n">
        <v>0</v>
      </c>
      <c r="AL568" s="205" t="n">
        <v>0.01</v>
      </c>
      <c r="AM568" s="205" t="n">
        <v>0</v>
      </c>
      <c r="AN568" s="205" t="inlineStr">
        <is>
          <t>ចំណូលពីសេវាកម្ម (លើកដាក់ទំនិញ)</t>
        </is>
      </c>
    </row>
    <row r="569">
      <c r="A569" s="222">
        <f>A568+1</f>
        <v/>
      </c>
      <c r="B569" s="224" t="inlineStr">
        <is>
          <t>Trucking &amp; Clearance-Ex</t>
        </is>
      </c>
      <c r="C569" s="224" t="inlineStr">
        <is>
          <t>WANAKA LOGISTICS CO., LTD.</t>
        </is>
      </c>
      <c r="D569" s="225" t="inlineStr">
        <is>
          <t>K005-901907953</t>
        </is>
      </c>
      <c r="E569" s="359" t="inlineStr">
        <is>
          <t>WL25-001899</t>
        </is>
      </c>
      <c r="F569" s="338" t="n">
        <v>45805</v>
      </c>
      <c r="G569" s="226" t="n"/>
      <c r="H569" s="627" t="n"/>
      <c r="I569" s="627" t="n">
        <v>490768</v>
      </c>
      <c r="J569" s="223" t="inlineStr">
        <is>
          <t>អនុញ្ញាត (បានប្រកាស)</t>
        </is>
      </c>
      <c r="K569" s="628" t="n"/>
      <c r="L569" s="626">
        <f>I569</f>
        <v/>
      </c>
      <c r="M569" s="598">
        <f>I569-L569</f>
        <v/>
      </c>
      <c r="N569" s="223" t="n"/>
      <c r="O569" s="228">
        <f>U569=E569</f>
        <v/>
      </c>
      <c r="P569" s="228">
        <f>MONTH(F569)-MONTH(T569)</f>
        <v/>
      </c>
      <c r="Q569" s="228">
        <f>$B$5=X569</f>
        <v/>
      </c>
      <c r="R569" s="228">
        <f>I569-AD569</f>
        <v/>
      </c>
      <c r="S569" s="371" t="n"/>
      <c r="T569" s="372" t="n">
        <v>45805</v>
      </c>
      <c r="U569" s="371" t="inlineStr">
        <is>
          <t>WL25-001899</t>
        </is>
      </c>
      <c r="V569" s="371" t="n"/>
      <c r="W569" s="371" t="n"/>
      <c r="X569" s="371" t="n"/>
      <c r="Y569" s="371" t="inlineStr">
        <is>
          <t>ហូលីដេ ឌីហ្សាញ (ខេមបូឌា) ឯ.ក</t>
        </is>
      </c>
      <c r="Z569" s="373" t="n"/>
      <c r="AA569" s="373" t="n"/>
      <c r="AB569" s="371" t="n"/>
      <c r="AC569" s="371" t="n"/>
      <c r="AD569" s="373" t="n">
        <v>490768</v>
      </c>
      <c r="AE569" s="371" t="n"/>
      <c r="AF569" s="625" t="n"/>
    </row>
    <row r="570">
      <c r="A570" s="222">
        <f>A569+1</f>
        <v/>
      </c>
      <c r="B570" s="224" t="inlineStr">
        <is>
          <t>Lift-Off-Ex</t>
        </is>
      </c>
      <c r="C570" s="224" t="inlineStr">
        <is>
          <t>PHNOM PENH AUTONOMOUS PORT "PPAP"</t>
        </is>
      </c>
      <c r="D570" s="225" t="inlineStr">
        <is>
          <t>L001-100044999</t>
        </is>
      </c>
      <c r="E570" s="359" t="inlineStr">
        <is>
          <t>INV20250542468</t>
        </is>
      </c>
      <c r="F570" s="338" t="n">
        <v>45805</v>
      </c>
      <c r="G570" s="226" t="n"/>
      <c r="H570" s="627" t="n"/>
      <c r="I570" s="627" t="n">
        <v>56042</v>
      </c>
      <c r="J570" s="223" t="inlineStr">
        <is>
          <t>អនុញ្ញាត (បានប្រកាស)</t>
        </is>
      </c>
      <c r="K570" s="628" t="n"/>
      <c r="L570" s="626">
        <f>I570</f>
        <v/>
      </c>
      <c r="M570" s="598">
        <f>I570-L570</f>
        <v/>
      </c>
      <c r="N570" s="223" t="n"/>
      <c r="O570" s="228">
        <f>U570=E570</f>
        <v/>
      </c>
      <c r="P570" s="228">
        <f>MONTH(F570)-MONTH(T570)</f>
        <v/>
      </c>
      <c r="Q570" s="228">
        <f>$B$5=X570</f>
        <v/>
      </c>
      <c r="R570" s="228">
        <f>I570-AD570</f>
        <v/>
      </c>
      <c r="S570" s="371" t="n"/>
      <c r="T570" s="372" t="n">
        <v>45805</v>
      </c>
      <c r="U570" s="371" t="inlineStr">
        <is>
          <t>INV20250542468</t>
        </is>
      </c>
      <c r="V570" s="371" t="n">
        <v>0</v>
      </c>
      <c r="W570" s="371" t="inlineStr">
        <is>
          <t>បុគ្គលជាប់អាករ</t>
        </is>
      </c>
      <c r="X570" s="371" t="inlineStr">
        <is>
          <t>L001-901640009</t>
        </is>
      </c>
      <c r="Y570" s="371" t="inlineStr">
        <is>
          <t>ហូលីដេ ឌីហ្សាញ (ខេមបូឌា) ឯ.ក</t>
        </is>
      </c>
      <c r="Z570" s="373" t="n">
        <v>616462</v>
      </c>
      <c r="AA570" s="373" t="n">
        <v>560420</v>
      </c>
      <c r="AB570" s="371" t="n">
        <v>0</v>
      </c>
      <c r="AC570" s="371" t="inlineStr">
        <is>
          <t>-</t>
        </is>
      </c>
      <c r="AD570" s="373" t="n">
        <v>56042</v>
      </c>
      <c r="AE570" s="371" t="n">
        <v>0</v>
      </c>
      <c r="AF570" s="625" t="n">
        <v>0</v>
      </c>
      <c r="AG570" s="205" t="n">
        <v>0</v>
      </c>
      <c r="AH570" s="205" t="n">
        <v>0</v>
      </c>
      <c r="AI570" s="205" t="n">
        <v>0</v>
      </c>
      <c r="AJ570" s="205" t="n">
        <v>0</v>
      </c>
      <c r="AK570" s="205" t="n">
        <v>0</v>
      </c>
      <c r="AL570" s="205" t="n">
        <v>0.01</v>
      </c>
      <c r="AM570" s="205" t="n">
        <v>0</v>
      </c>
      <c r="AN570" s="205" t="inlineStr">
        <is>
          <t>ចំណូលពីសេវាកម្ម (លើកដាក់ទំនិញ)</t>
        </is>
      </c>
    </row>
    <row r="571">
      <c r="A571" s="222">
        <f>A570+1</f>
        <v/>
      </c>
      <c r="B571" s="224" t="inlineStr">
        <is>
          <t>Trucking &amp; Clearance-Ex</t>
        </is>
      </c>
      <c r="C571" s="224" t="inlineStr">
        <is>
          <t>WANAKA LOGISTICS CO., LTD.</t>
        </is>
      </c>
      <c r="D571" s="225" t="inlineStr">
        <is>
          <t>K005-901907953</t>
        </is>
      </c>
      <c r="E571" s="359" t="inlineStr">
        <is>
          <t>WL25-001898</t>
        </is>
      </c>
      <c r="F571" s="338" t="n">
        <v>45805</v>
      </c>
      <c r="G571" s="226" t="n"/>
      <c r="H571" s="627" t="n"/>
      <c r="I571" s="627" t="n">
        <v>313835</v>
      </c>
      <c r="J571" s="223" t="inlineStr">
        <is>
          <t>អនុញ្ញាត (បានប្រកាស)</t>
        </is>
      </c>
      <c r="K571" s="628">
        <f>L571</f>
        <v/>
      </c>
      <c r="L571" s="626">
        <f>AD571</f>
        <v/>
      </c>
      <c r="M571" s="598">
        <f>I571-L571</f>
        <v/>
      </c>
      <c r="N571" s="223" t="n"/>
      <c r="O571" s="228">
        <f>U571=E571</f>
        <v/>
      </c>
      <c r="P571" s="228">
        <f>MONTH(F571)-MONTH(T571)</f>
        <v/>
      </c>
      <c r="Q571" s="228">
        <f>$B$5=X571</f>
        <v/>
      </c>
      <c r="R571" s="228">
        <f>I571-AD571</f>
        <v/>
      </c>
      <c r="S571" s="371" t="n"/>
      <c r="T571" s="372" t="n">
        <v>45805</v>
      </c>
      <c r="U571" s="371" t="inlineStr">
        <is>
          <t>WL25-001898</t>
        </is>
      </c>
      <c r="V571" s="371" t="n"/>
      <c r="W571" s="371" t="n"/>
      <c r="X571" s="371" t="n"/>
      <c r="Y571" s="371" t="inlineStr">
        <is>
          <t>ហូលីដេ ឌីហ្សាញ (ខេមបូឌា) ឯ.ក</t>
        </is>
      </c>
      <c r="Z571" s="373" t="n"/>
      <c r="AA571" s="373" t="n"/>
      <c r="AB571" s="371" t="n"/>
      <c r="AC571" s="371" t="n"/>
      <c r="AD571" s="373" t="n">
        <v>313834</v>
      </c>
      <c r="AE571" s="371" t="n"/>
      <c r="AF571" s="625" t="n"/>
    </row>
    <row r="572">
      <c r="A572" s="222">
        <f>A571+1</f>
        <v/>
      </c>
      <c r="B572" s="224" t="inlineStr">
        <is>
          <t>Lift-Off-Ex</t>
        </is>
      </c>
      <c r="C572" s="224" t="inlineStr">
        <is>
          <t>PHNOM PENH AUTONOMOUS PORT "PPAP"</t>
        </is>
      </c>
      <c r="D572" s="225" t="inlineStr">
        <is>
          <t>L001-100044999</t>
        </is>
      </c>
      <c r="E572" s="359" t="inlineStr">
        <is>
          <t>INV20250542479</t>
        </is>
      </c>
      <c r="F572" s="338" t="n">
        <v>45805</v>
      </c>
      <c r="G572" s="226" t="n"/>
      <c r="H572" s="627" t="n"/>
      <c r="I572" s="627" t="n">
        <v>28021</v>
      </c>
      <c r="J572" s="223" t="inlineStr">
        <is>
          <t>អនុញ្ញាត (បានប្រកាស)</t>
        </is>
      </c>
      <c r="K572" s="628" t="n"/>
      <c r="L572" s="626">
        <f>I572</f>
        <v/>
      </c>
      <c r="M572" s="598">
        <f>I572-L572</f>
        <v/>
      </c>
      <c r="N572" s="223" t="n"/>
      <c r="O572" s="228">
        <f>U572=E572</f>
        <v/>
      </c>
      <c r="P572" s="228">
        <f>MONTH(F572)-MONTH(T572)</f>
        <v/>
      </c>
      <c r="Q572" s="228">
        <f>$B$5=X572</f>
        <v/>
      </c>
      <c r="R572" s="228">
        <f>I572-AD572</f>
        <v/>
      </c>
      <c r="S572" s="371" t="n"/>
      <c r="T572" s="372" t="n">
        <v>45805</v>
      </c>
      <c r="U572" s="371" t="inlineStr">
        <is>
          <t>INV20250542479</t>
        </is>
      </c>
      <c r="V572" s="371" t="n">
        <v>0</v>
      </c>
      <c r="W572" s="371" t="inlineStr">
        <is>
          <t>បុគ្គលជាប់អាករ</t>
        </is>
      </c>
      <c r="X572" s="371" t="inlineStr">
        <is>
          <t>L001-901640009</t>
        </is>
      </c>
      <c r="Y572" s="371" t="inlineStr">
        <is>
          <t>ហូលីដេ ឌីហ្សាញ (ខេមបូឌា) ឯ.ក</t>
        </is>
      </c>
      <c r="Z572" s="373" t="n">
        <v>308231</v>
      </c>
      <c r="AA572" s="373" t="n">
        <v>280210</v>
      </c>
      <c r="AB572" s="371" t="n">
        <v>0</v>
      </c>
      <c r="AC572" s="371" t="inlineStr">
        <is>
          <t>-</t>
        </is>
      </c>
      <c r="AD572" s="373" t="n">
        <v>28021</v>
      </c>
      <c r="AE572" s="371" t="n">
        <v>0</v>
      </c>
      <c r="AF572" s="625" t="n">
        <v>0</v>
      </c>
      <c r="AG572" s="205" t="n">
        <v>0</v>
      </c>
      <c r="AH572" s="205" t="n">
        <v>0</v>
      </c>
      <c r="AI572" s="205" t="n">
        <v>0</v>
      </c>
      <c r="AJ572" s="205" t="n">
        <v>0</v>
      </c>
      <c r="AK572" s="205" t="n">
        <v>0</v>
      </c>
      <c r="AL572" s="205" t="n">
        <v>0.01</v>
      </c>
      <c r="AM572" s="205" t="n">
        <v>0</v>
      </c>
      <c r="AN572" s="205" t="inlineStr">
        <is>
          <t>ចំណូលពីសេវាកម្ម (លើកដាក់ទំនិញ)</t>
        </is>
      </c>
    </row>
    <row r="573">
      <c r="A573" s="222">
        <f>A572+1</f>
        <v/>
      </c>
      <c r="B573" s="224" t="inlineStr">
        <is>
          <t>Trucking &amp; Clearance-Ex</t>
        </is>
      </c>
      <c r="C573" s="224" t="inlineStr">
        <is>
          <t>WANAKA LOGISTICS CO., LTD.</t>
        </is>
      </c>
      <c r="D573" s="225" t="inlineStr">
        <is>
          <t>K005-901907953</t>
        </is>
      </c>
      <c r="E573" s="359" t="inlineStr">
        <is>
          <t>WL25-002073</t>
        </is>
      </c>
      <c r="F573" s="338" t="n">
        <v>45805</v>
      </c>
      <c r="G573" s="226" t="n"/>
      <c r="H573" s="627" t="n"/>
      <c r="I573" s="627" t="n">
        <v>470187</v>
      </c>
      <c r="J573" s="223" t="inlineStr">
        <is>
          <t>អនុញ្ញាត (បានប្រកាស)</t>
        </is>
      </c>
      <c r="K573" s="628" t="n"/>
      <c r="L573" s="626">
        <f>I573</f>
        <v/>
      </c>
      <c r="M573" s="598">
        <f>I573-L573</f>
        <v/>
      </c>
      <c r="N573" s="223" t="n"/>
      <c r="O573" s="228">
        <f>U573=E573</f>
        <v/>
      </c>
      <c r="P573" s="228">
        <f>MONTH(F573)-MONTH(T573)</f>
        <v/>
      </c>
      <c r="Q573" s="228">
        <f>$B$5=X573</f>
        <v/>
      </c>
      <c r="R573" s="228">
        <f>I573-AD573</f>
        <v/>
      </c>
      <c r="S573" s="371" t="n"/>
      <c r="T573" s="372" t="n">
        <v>45805</v>
      </c>
      <c r="U573" s="371" t="inlineStr">
        <is>
          <t>WL25-002073</t>
        </is>
      </c>
      <c r="V573" s="371" t="n"/>
      <c r="W573" s="371" t="n"/>
      <c r="X573" s="371" t="n"/>
      <c r="Y573" s="371" t="inlineStr">
        <is>
          <t>ហូលីដេ ឌីហ្សាញ (ខេមបូឌា) ឯ.ក</t>
        </is>
      </c>
      <c r="Z573" s="373" t="n"/>
      <c r="AA573" s="373" t="n"/>
      <c r="AB573" s="371" t="n"/>
      <c r="AC573" s="371" t="n"/>
      <c r="AD573" s="373" t="n">
        <v>470187</v>
      </c>
      <c r="AE573" s="371" t="n"/>
      <c r="AF573" s="625" t="n"/>
    </row>
    <row r="574">
      <c r="A574" s="222">
        <f>A573+1</f>
        <v/>
      </c>
      <c r="B574" s="224" t="inlineStr">
        <is>
          <t>Trucking &amp; Clearance-Ex</t>
        </is>
      </c>
      <c r="C574" s="224" t="inlineStr">
        <is>
          <t>WANAKA LOGISTICS CO., LTD.</t>
        </is>
      </c>
      <c r="D574" s="225" t="inlineStr">
        <is>
          <t>K005-901907953</t>
        </is>
      </c>
      <c r="E574" s="359" t="inlineStr">
        <is>
          <t>WL25-002074</t>
        </is>
      </c>
      <c r="F574" s="338" t="n">
        <v>45805</v>
      </c>
      <c r="G574" s="226" t="n"/>
      <c r="H574" s="627" t="n"/>
      <c r="I574" s="627" t="n">
        <v>959598</v>
      </c>
      <c r="J574" s="223" t="inlineStr">
        <is>
          <t>អនុញ្ញាត (បានប្រកាស)</t>
        </is>
      </c>
      <c r="K574" s="628" t="n"/>
      <c r="L574" s="626">
        <f>I574</f>
        <v/>
      </c>
      <c r="M574" s="598">
        <f>I574-L574</f>
        <v/>
      </c>
      <c r="N574" s="223" t="n"/>
      <c r="O574" s="228">
        <f>U574=E574</f>
        <v/>
      </c>
      <c r="P574" s="228">
        <f>MONTH(F574)-MONTH(T574)</f>
        <v/>
      </c>
      <c r="Q574" s="228">
        <f>$B$5=X574</f>
        <v/>
      </c>
      <c r="R574" s="228">
        <f>I574-AD574</f>
        <v/>
      </c>
      <c r="S574" s="371" t="n"/>
      <c r="T574" s="372" t="n">
        <v>45805</v>
      </c>
      <c r="U574" s="371" t="inlineStr">
        <is>
          <t>WL25-002074</t>
        </is>
      </c>
      <c r="V574" s="371" t="n"/>
      <c r="W574" s="371" t="n"/>
      <c r="X574" s="371" t="n"/>
      <c r="Y574" s="371" t="inlineStr">
        <is>
          <t>ហូលីដេ ឌីហ្សាញ (ខេមបូឌា) ឯ.ក</t>
        </is>
      </c>
      <c r="Z574" s="373" t="n"/>
      <c r="AA574" s="373" t="n"/>
      <c r="AB574" s="371" t="n"/>
      <c r="AC574" s="371" t="n"/>
      <c r="AD574" s="373" t="n">
        <v>959598</v>
      </c>
      <c r="AE574" s="371" t="n"/>
      <c r="AF574" s="625" t="n"/>
    </row>
    <row r="575">
      <c r="A575" s="222">
        <f>A574+1</f>
        <v/>
      </c>
      <c r="B575" s="224" t="inlineStr">
        <is>
          <t>Forklift Part</t>
        </is>
      </c>
      <c r="C575" s="224" t="inlineStr">
        <is>
          <t>CHINA HE ZHONG LI INDUSTRIAL ENGINEERING MACHINERY EQUIPMENT SALE CO., LTD.</t>
        </is>
      </c>
      <c r="D575" s="225" t="inlineStr">
        <is>
          <t>L001-901906721</t>
        </is>
      </c>
      <c r="E575" s="359" t="inlineStr">
        <is>
          <t>TI-0168</t>
        </is>
      </c>
      <c r="F575" s="338" t="n">
        <v>45754</v>
      </c>
      <c r="G575" s="226" t="n"/>
      <c r="H575" s="627" t="n"/>
      <c r="I575" s="627" t="n">
        <v>672336</v>
      </c>
      <c r="J575" s="223" t="inlineStr">
        <is>
          <t>អនុញ្ញាត (បានប្រកាស)</t>
        </is>
      </c>
      <c r="K575" s="628" t="n"/>
      <c r="L575" s="626">
        <f>I575</f>
        <v/>
      </c>
      <c r="M575" s="598">
        <f>I575-L575</f>
        <v/>
      </c>
      <c r="N575" s="223" t="n"/>
      <c r="O575" s="228">
        <f>U575=E575</f>
        <v/>
      </c>
      <c r="P575" s="228">
        <f>MONTH(F575)-MONTH(T575)</f>
        <v/>
      </c>
      <c r="Q575" s="228">
        <f>$B$5=X575</f>
        <v/>
      </c>
      <c r="R575" s="228">
        <f>I575-AD575</f>
        <v/>
      </c>
      <c r="S575" s="371" t="n"/>
      <c r="T575" s="372" t="n">
        <v>45754</v>
      </c>
      <c r="U575" s="371" t="inlineStr">
        <is>
          <t>TI-0168</t>
        </is>
      </c>
      <c r="V575" s="371" t="n"/>
      <c r="W575" s="371" t="inlineStr">
        <is>
          <t>បុគ្គលជាប់អាករ</t>
        </is>
      </c>
      <c r="X575" s="371" t="inlineStr">
        <is>
          <t>L001-901640009</t>
        </is>
      </c>
      <c r="Y575" s="371" t="inlineStr">
        <is>
          <t>ហូលីដេ ឌីហ្សាញ (ខេមបូឌា) ឯ.ក</t>
        </is>
      </c>
      <c r="Z575" s="373" t="n">
        <v>7395696</v>
      </c>
      <c r="AA575" s="373" t="n">
        <v>6723360</v>
      </c>
      <c r="AB575" s="371" t="n">
        <v>0</v>
      </c>
      <c r="AC575" s="371" t="inlineStr">
        <is>
          <t>-</t>
        </is>
      </c>
      <c r="AD575" s="373" t="n">
        <v>672336</v>
      </c>
      <c r="AE575" s="371" t="n">
        <v>0</v>
      </c>
      <c r="AF575" s="625" t="n">
        <v>0</v>
      </c>
      <c r="AG575" s="205" t="n">
        <v>0</v>
      </c>
      <c r="AH575" s="205" t="n">
        <v>0</v>
      </c>
      <c r="AI575" s="205" t="n">
        <v>0</v>
      </c>
      <c r="AJ575" s="205" t="n">
        <v>0</v>
      </c>
      <c r="AK575" s="205" t="n">
        <v>0</v>
      </c>
      <c r="AL575" s="205" t="n">
        <v>0.01</v>
      </c>
      <c r="AN575" s="205" t="inlineStr">
        <is>
          <t>FORKLIFT PART</t>
        </is>
      </c>
    </row>
    <row r="576">
      <c r="A576" s="222">
        <f>A575+1</f>
        <v/>
      </c>
      <c r="B576" s="224" t="inlineStr">
        <is>
          <t>Handling Fee,FCR Fee</t>
        </is>
      </c>
      <c r="C576" s="224" t="inlineStr">
        <is>
          <t>CENTURY DISTRIBUTION SYSTEMS (CAMBODIA) CO., LTD.</t>
        </is>
      </c>
      <c r="D576" s="225" t="inlineStr">
        <is>
          <t>L001-902205494</t>
        </is>
      </c>
      <c r="E576" s="359" t="inlineStr">
        <is>
          <t>CDS202504-2522</t>
        </is>
      </c>
      <c r="F576" s="338" t="n">
        <v>45755</v>
      </c>
      <c r="G576" s="226" t="n"/>
      <c r="H576" s="627" t="n"/>
      <c r="I576" s="627" t="n">
        <v>170085</v>
      </c>
      <c r="J576" s="223" t="inlineStr">
        <is>
          <t>អនុញ្ញាត (បានប្រកាស)</t>
        </is>
      </c>
      <c r="K576" s="628" t="n"/>
      <c r="L576" s="626">
        <f>I576</f>
        <v/>
      </c>
      <c r="M576" s="598">
        <f>I576-L576</f>
        <v/>
      </c>
      <c r="N576" s="223" t="n"/>
      <c r="O576" s="228">
        <f>U576=E576</f>
        <v/>
      </c>
      <c r="P576" s="228">
        <f>MONTH(F576)-MONTH(T576)</f>
        <v/>
      </c>
      <c r="Q576" s="228">
        <f>$B$5=X576</f>
        <v/>
      </c>
      <c r="R576" s="228">
        <f>I576-AD576</f>
        <v/>
      </c>
      <c r="S576" s="371" t="n"/>
      <c r="T576" s="372" t="n">
        <v>45755</v>
      </c>
      <c r="U576" s="371" t="inlineStr">
        <is>
          <t>CDS202504-2522</t>
        </is>
      </c>
      <c r="V576" s="371" t="n">
        <v>0</v>
      </c>
      <c r="W576" s="371" t="inlineStr">
        <is>
          <t>បុគ្គលជាប់អាករ</t>
        </is>
      </c>
      <c r="X576" s="371" t="inlineStr">
        <is>
          <t>L001-901640009</t>
        </is>
      </c>
      <c r="Y576" s="371" t="inlineStr">
        <is>
          <t>ហូលីដេ ឌីហ្សាញ (ខេមបូឌា) ឯ.ក</t>
        </is>
      </c>
      <c r="Z576" s="373" t="n">
        <v>1870935</v>
      </c>
      <c r="AA576" s="373" t="n">
        <v>1700850</v>
      </c>
      <c r="AB576" s="371" t="n">
        <v>0</v>
      </c>
      <c r="AC576" s="371" t="inlineStr">
        <is>
          <t>-</t>
        </is>
      </c>
      <c r="AD576" s="373" t="n">
        <v>170085</v>
      </c>
      <c r="AE576" s="371" t="n">
        <v>0</v>
      </c>
      <c r="AF576" s="625" t="n">
        <v>0</v>
      </c>
      <c r="AG576" s="205" t="n">
        <v>0</v>
      </c>
      <c r="AH576" s="205" t="n">
        <v>0</v>
      </c>
      <c r="AI576" s="205" t="n">
        <v>0</v>
      </c>
      <c r="AJ576" s="205" t="n">
        <v>0</v>
      </c>
      <c r="AK576" s="205" t="n">
        <v>0</v>
      </c>
      <c r="AL576" s="205" t="n">
        <v>0.01</v>
      </c>
      <c r="AM576" s="205" t="n">
        <v>0</v>
      </c>
      <c r="AN576" s="205" t="inlineStr">
        <is>
          <t>OCEAN SHIPPING LOCAL CHARGES</t>
        </is>
      </c>
      <c r="AO576" s="205" t="inlineStr">
        <is>
          <t>បានប្រកាសនិងបង់ពន្ធ</t>
        </is>
      </c>
    </row>
    <row r="577">
      <c r="A577" s="222">
        <f>A576+1</f>
        <v/>
      </c>
      <c r="B577" s="224" t="inlineStr">
        <is>
          <t>Trucking &amp; Clearance-Ex</t>
        </is>
      </c>
      <c r="C577" s="224" t="inlineStr">
        <is>
          <t>WANAKA LOGISTICS CO., LTD.</t>
        </is>
      </c>
      <c r="D577" s="225" t="inlineStr">
        <is>
          <t>K005-901907953</t>
        </is>
      </c>
      <c r="E577" s="359" t="inlineStr">
        <is>
          <t>WL25-002076</t>
        </is>
      </c>
      <c r="F577" s="338" t="n">
        <v>45805</v>
      </c>
      <c r="G577" s="226" t="n"/>
      <c r="H577" s="627" t="n"/>
      <c r="I577" s="627" t="n">
        <v>156195</v>
      </c>
      <c r="J577" s="223" t="inlineStr">
        <is>
          <t>អនុញ្ញាត (បានប្រកាស)</t>
        </is>
      </c>
      <c r="K577" s="628" t="n"/>
      <c r="L577" s="626">
        <f>I577</f>
        <v/>
      </c>
      <c r="M577" s="598">
        <f>I577-L577</f>
        <v/>
      </c>
      <c r="N577" s="223" t="n"/>
      <c r="O577" s="228">
        <f>U577=E577</f>
        <v/>
      </c>
      <c r="P577" s="228">
        <f>MONTH(F577)-MONTH(T577)</f>
        <v/>
      </c>
      <c r="Q577" s="228">
        <f>$B$5=X577</f>
        <v/>
      </c>
      <c r="R577" s="228">
        <f>I577-AD577</f>
        <v/>
      </c>
      <c r="S577" s="371" t="n"/>
      <c r="T577" s="372" t="n">
        <v>45805</v>
      </c>
      <c r="U577" s="371" t="inlineStr">
        <is>
          <t>WL25-002076</t>
        </is>
      </c>
      <c r="V577" s="371" t="n"/>
      <c r="W577" s="371" t="n"/>
      <c r="X577" s="371" t="n"/>
      <c r="Y577" s="371" t="inlineStr">
        <is>
          <t>ហូលីដេ ឌីហ្សាញ (ខេមបូឌា) ឯ.ក</t>
        </is>
      </c>
      <c r="Z577" s="373" t="n"/>
      <c r="AA577" s="373" t="n"/>
      <c r="AB577" s="371" t="n"/>
      <c r="AC577" s="371" t="n"/>
      <c r="AD577" s="373" t="n">
        <v>156195</v>
      </c>
      <c r="AE577" s="371" t="n"/>
      <c r="AF577" s="625" t="n"/>
    </row>
    <row r="578">
      <c r="A578" s="222">
        <f>A577+1</f>
        <v/>
      </c>
      <c r="B578" s="224" t="inlineStr">
        <is>
          <t>Trucking &amp; Clearance-Ex</t>
        </is>
      </c>
      <c r="C578" s="224" t="inlineStr">
        <is>
          <t>WANAKA LOGISTICS CO., LTD.</t>
        </is>
      </c>
      <c r="D578" s="225" t="inlineStr">
        <is>
          <t>K005-901907953</t>
        </is>
      </c>
      <c r="E578" s="359" t="inlineStr">
        <is>
          <t>WL25-002075</t>
        </is>
      </c>
      <c r="F578" s="338" t="n">
        <v>45805</v>
      </c>
      <c r="G578" s="226" t="n"/>
      <c r="H578" s="627" t="n"/>
      <c r="I578" s="627" t="n">
        <v>1584378</v>
      </c>
      <c r="J578" s="223" t="inlineStr">
        <is>
          <t>អនុញ្ញាត (បានប្រកាស)</t>
        </is>
      </c>
      <c r="K578" s="628" t="n"/>
      <c r="L578" s="626">
        <f>I578</f>
        <v/>
      </c>
      <c r="M578" s="598">
        <f>I578-L578</f>
        <v/>
      </c>
      <c r="N578" s="223" t="n"/>
      <c r="O578" s="228">
        <f>U578=E578</f>
        <v/>
      </c>
      <c r="P578" s="228">
        <f>MONTH(F578)-MONTH(T578)</f>
        <v/>
      </c>
      <c r="Q578" s="228">
        <f>$B$5=X578</f>
        <v/>
      </c>
      <c r="R578" s="228">
        <f>I578-AD578</f>
        <v/>
      </c>
      <c r="S578" s="371" t="n"/>
      <c r="T578" s="372" t="n">
        <v>45805</v>
      </c>
      <c r="U578" s="371" t="inlineStr">
        <is>
          <t>WL25-002075</t>
        </is>
      </c>
      <c r="V578" s="371" t="n"/>
      <c r="W578" s="371" t="n"/>
      <c r="X578" s="371" t="n"/>
      <c r="Y578" s="371" t="inlineStr">
        <is>
          <t>ហូលីដេ ឌីហ្សាញ (ខេមបូឌា) ឯ.ក</t>
        </is>
      </c>
      <c r="Z578" s="373" t="n"/>
      <c r="AA578" s="373" t="n"/>
      <c r="AB578" s="371" t="n"/>
      <c r="AC578" s="371" t="n"/>
      <c r="AD578" s="373" t="n">
        <v>1584378</v>
      </c>
      <c r="AE578" s="371" t="n"/>
      <c r="AF578" s="625" t="n"/>
    </row>
    <row r="579">
      <c r="A579" s="222">
        <f>A578+1</f>
        <v/>
      </c>
      <c r="B579" s="224" t="inlineStr">
        <is>
          <t>Lift-Off-Ex</t>
        </is>
      </c>
      <c r="C579" s="224" t="inlineStr">
        <is>
          <t>PHNOM PENH AUTONOMOUS PORT "PPAP"</t>
        </is>
      </c>
      <c r="D579" s="225" t="inlineStr">
        <is>
          <t>L001-100044999</t>
        </is>
      </c>
      <c r="E579" s="359" t="inlineStr">
        <is>
          <t>INV20250539564</t>
        </is>
      </c>
      <c r="F579" s="338" t="n">
        <v>45797</v>
      </c>
      <c r="G579" s="226" t="n"/>
      <c r="H579" s="627" t="n"/>
      <c r="I579" s="627" t="n">
        <v>28021</v>
      </c>
      <c r="J579" s="223" t="inlineStr">
        <is>
          <t>អនុញ្ញាត (បានប្រកាស)</t>
        </is>
      </c>
      <c r="K579" s="628">
        <f>L579</f>
        <v/>
      </c>
      <c r="L579" s="626">
        <f>AD579</f>
        <v/>
      </c>
      <c r="M579" s="598">
        <f>I579-L579</f>
        <v/>
      </c>
      <c r="N579" s="223" t="n"/>
      <c r="O579" s="228">
        <f>U579=E579</f>
        <v/>
      </c>
      <c r="P579" s="228">
        <f>MONTH(F579)-MONTH(T579)</f>
        <v/>
      </c>
      <c r="Q579" s="228">
        <f>$B$5=X579</f>
        <v/>
      </c>
      <c r="R579" s="228">
        <f>I579-AD579</f>
        <v/>
      </c>
      <c r="S579" s="371" t="n"/>
      <c r="T579" s="372" t="n">
        <v>45797</v>
      </c>
      <c r="U579" s="371" t="inlineStr">
        <is>
          <t>INV20250539564</t>
        </is>
      </c>
      <c r="V579" s="371" t="n">
        <v>0</v>
      </c>
      <c r="W579" s="371" t="inlineStr">
        <is>
          <t>បុគ្គលជាប់អាករ</t>
        </is>
      </c>
      <c r="X579" s="371" t="inlineStr">
        <is>
          <t>L001-901640009</t>
        </is>
      </c>
      <c r="Y579" s="371" t="inlineStr">
        <is>
          <t>ហូលីដេ ឌីហ្សាញ (ខេមបូឌា) ឯ.ក</t>
        </is>
      </c>
      <c r="Z579" s="373" t="n">
        <v>308154</v>
      </c>
      <c r="AA579" s="373" t="n">
        <v>280140</v>
      </c>
      <c r="AB579" s="371" t="n">
        <v>0</v>
      </c>
      <c r="AC579" s="371" t="inlineStr">
        <is>
          <t>-</t>
        </is>
      </c>
      <c r="AD579" s="373" t="n">
        <v>28014</v>
      </c>
      <c r="AE579" s="371" t="n">
        <v>0</v>
      </c>
      <c r="AF579" s="625" t="n">
        <v>0</v>
      </c>
      <c r="AG579" s="205" t="n">
        <v>0</v>
      </c>
      <c r="AH579" s="205" t="n">
        <v>0</v>
      </c>
      <c r="AI579" s="205" t="n">
        <v>0</v>
      </c>
      <c r="AJ579" s="205" t="n">
        <v>0</v>
      </c>
      <c r="AK579" s="205" t="n">
        <v>0</v>
      </c>
      <c r="AL579" s="205" t="n">
        <v>0.01</v>
      </c>
      <c r="AM579" s="205" t="n">
        <v>0</v>
      </c>
      <c r="AN579" s="205" t="inlineStr">
        <is>
          <t>ចំណូលពីសេវាកម្ម (លើកដាក់ទំនិញ)</t>
        </is>
      </c>
    </row>
    <row r="580">
      <c r="A580" s="222">
        <f>A579+1</f>
        <v/>
      </c>
      <c r="B580" s="224" t="inlineStr">
        <is>
          <t>Trucking &amp; Clearance-Ex</t>
        </is>
      </c>
      <c r="C580" s="224" t="inlineStr">
        <is>
          <t>BRILLIANT TRANSPORT AND TRADING Co., Ltd.</t>
        </is>
      </c>
      <c r="D580" s="225" t="inlineStr">
        <is>
          <t>K002-100089305</t>
        </is>
      </c>
      <c r="E580" s="359" t="inlineStr">
        <is>
          <t>BTT25-0001026</t>
        </is>
      </c>
      <c r="F580" s="338" t="n">
        <v>45793</v>
      </c>
      <c r="G580" s="226" t="n"/>
      <c r="H580" s="627" t="n"/>
      <c r="I580" s="627" t="n">
        <v>203302</v>
      </c>
      <c r="J580" s="223" t="inlineStr">
        <is>
          <t>អនុញ្ញាត (បានប្រកាស)</t>
        </is>
      </c>
      <c r="K580" s="628" t="n"/>
      <c r="L580" s="626">
        <f>I580</f>
        <v/>
      </c>
      <c r="M580" s="598">
        <f>I580-L580</f>
        <v/>
      </c>
      <c r="N580" s="223" t="n"/>
      <c r="O580" s="228">
        <f>U580=E580</f>
        <v/>
      </c>
      <c r="P580" s="228">
        <f>MONTH(F580)-MONTH(T580)</f>
        <v/>
      </c>
      <c r="Q580" s="228">
        <f>$B$5=X580</f>
        <v/>
      </c>
      <c r="R580" s="228">
        <f>I580-AD580</f>
        <v/>
      </c>
      <c r="S580" s="371" t="n"/>
      <c r="T580" s="372" t="n">
        <v>45793</v>
      </c>
      <c r="U580" s="371" t="inlineStr">
        <is>
          <t>BTT25-0001026</t>
        </is>
      </c>
      <c r="V580" s="371" t="n"/>
      <c r="W580" s="371" t="n"/>
      <c r="X580" s="371" t="n"/>
      <c r="Y580" s="371" t="inlineStr">
        <is>
          <t>ហូលីដេ ឌីហ្សាញ (ខេមបូឌា) ឯ.ក</t>
        </is>
      </c>
      <c r="Z580" s="373" t="n"/>
      <c r="AA580" s="373" t="n"/>
      <c r="AB580" s="371" t="n"/>
      <c r="AC580" s="371" t="n"/>
      <c r="AD580" s="373" t="n">
        <v>203302</v>
      </c>
      <c r="AE580" s="371" t="n"/>
      <c r="AF580" s="625" t="n"/>
      <c r="AN580" s="205" t="inlineStr">
        <is>
          <t>Truking / Service</t>
        </is>
      </c>
    </row>
    <row r="581">
      <c r="A581" s="222">
        <f>A580+1</f>
        <v/>
      </c>
      <c r="B581" s="224" t="inlineStr">
        <is>
          <t>Lift-Off-Ex</t>
        </is>
      </c>
      <c r="C581" s="224" t="inlineStr">
        <is>
          <t>PHNOM PENH AUTONOMOUS PORT "PPAP"</t>
        </is>
      </c>
      <c r="D581" s="225" t="inlineStr">
        <is>
          <t>L001-100044999</t>
        </is>
      </c>
      <c r="E581" s="359" t="inlineStr">
        <is>
          <t>INV20250539152</t>
        </is>
      </c>
      <c r="F581" s="338" t="n">
        <v>45796</v>
      </c>
      <c r="G581" s="226" t="n"/>
      <c r="H581" s="627" t="n"/>
      <c r="I581" s="627" t="n">
        <v>56028</v>
      </c>
      <c r="J581" s="223" t="inlineStr">
        <is>
          <t>អនុញ្ញាត (បានប្រកាស)</t>
        </is>
      </c>
      <c r="K581" s="628" t="n"/>
      <c r="L581" s="626">
        <f>I581</f>
        <v/>
      </c>
      <c r="M581" s="598">
        <f>I581-L581</f>
        <v/>
      </c>
      <c r="N581" s="223" t="n"/>
      <c r="O581" s="228">
        <f>U581=E581</f>
        <v/>
      </c>
      <c r="P581" s="228">
        <f>MONTH(F581)-MONTH(T581)</f>
        <v/>
      </c>
      <c r="Q581" s="228">
        <f>$B$5=X581</f>
        <v/>
      </c>
      <c r="R581" s="228">
        <f>I581-AD581</f>
        <v/>
      </c>
      <c r="S581" s="371" t="n"/>
      <c r="T581" s="372" t="n">
        <v>45796</v>
      </c>
      <c r="U581" s="371" t="inlineStr">
        <is>
          <t>INV20250539152</t>
        </is>
      </c>
      <c r="V581" s="371" t="n">
        <v>0</v>
      </c>
      <c r="W581" s="371" t="inlineStr">
        <is>
          <t>បុគ្គលជាប់អាករ</t>
        </is>
      </c>
      <c r="X581" s="371" t="inlineStr">
        <is>
          <t>L001-901640009</t>
        </is>
      </c>
      <c r="Y581" s="371" t="inlineStr">
        <is>
          <t>ហូលីដេ ឌីហ្សាញ (ខេមបូឌា) ឯ.ក</t>
        </is>
      </c>
      <c r="Z581" s="373" t="n">
        <v>616308</v>
      </c>
      <c r="AA581" s="373" t="n">
        <v>560280</v>
      </c>
      <c r="AB581" s="371" t="n">
        <v>0</v>
      </c>
      <c r="AC581" s="371" t="inlineStr">
        <is>
          <t>-</t>
        </is>
      </c>
      <c r="AD581" s="373" t="n">
        <v>56028</v>
      </c>
      <c r="AE581" s="371" t="n">
        <v>0</v>
      </c>
      <c r="AF581" s="625" t="n">
        <v>0</v>
      </c>
      <c r="AG581" s="205" t="n">
        <v>0</v>
      </c>
      <c r="AH581" s="205" t="n">
        <v>0</v>
      </c>
      <c r="AI581" s="205" t="n">
        <v>0</v>
      </c>
      <c r="AJ581" s="205" t="n">
        <v>0</v>
      </c>
      <c r="AK581" s="205" t="n">
        <v>0</v>
      </c>
      <c r="AL581" s="205" t="n">
        <v>0.01</v>
      </c>
      <c r="AM581" s="205" t="n">
        <v>0</v>
      </c>
      <c r="AN581" s="205" t="inlineStr">
        <is>
          <t>ចំណូលពីសេវាកម្ម (លើកដាក់ទំនិញ)</t>
        </is>
      </c>
    </row>
    <row r="582">
      <c r="A582" s="222">
        <f>A581+1</f>
        <v/>
      </c>
      <c r="B582" s="224" t="inlineStr">
        <is>
          <t>Lift-Off-Ex</t>
        </is>
      </c>
      <c r="C582" s="224" t="inlineStr">
        <is>
          <t>PHNOM PENH AUTONOMOUS PORT "PPAP"</t>
        </is>
      </c>
      <c r="D582" s="225" t="inlineStr">
        <is>
          <t>L001-100044999</t>
        </is>
      </c>
      <c r="E582" s="359" t="inlineStr">
        <is>
          <t>INV20250541416</t>
        </is>
      </c>
      <c r="F582" s="338" t="n">
        <v>45803</v>
      </c>
      <c r="G582" s="226" t="n"/>
      <c r="H582" s="627" t="n"/>
      <c r="I582" s="627" t="n">
        <v>112056</v>
      </c>
      <c r="J582" s="223" t="inlineStr">
        <is>
          <t>អនុញ្ញាត (បានប្រកាស)</t>
        </is>
      </c>
      <c r="K582" s="628" t="n"/>
      <c r="L582" s="626">
        <f>I582</f>
        <v/>
      </c>
      <c r="M582" s="598">
        <f>I582-L582</f>
        <v/>
      </c>
      <c r="N582" s="223" t="n"/>
      <c r="O582" s="228">
        <f>U582=E582</f>
        <v/>
      </c>
      <c r="P582" s="228">
        <f>MONTH(F582)-MONTH(T582)</f>
        <v/>
      </c>
      <c r="Q582" s="228">
        <f>$B$5=X582</f>
        <v/>
      </c>
      <c r="R582" s="228">
        <f>I582-AD582</f>
        <v/>
      </c>
      <c r="S582" s="371" t="n"/>
      <c r="T582" s="372" t="n">
        <v>45803</v>
      </c>
      <c r="U582" s="371" t="inlineStr">
        <is>
          <t>INV20250541416</t>
        </is>
      </c>
      <c r="V582" s="371" t="n">
        <v>0</v>
      </c>
      <c r="W582" s="371" t="inlineStr">
        <is>
          <t>បុគ្គលជាប់អាករ</t>
        </is>
      </c>
      <c r="X582" s="371" t="inlineStr">
        <is>
          <t>L001-901640009</t>
        </is>
      </c>
      <c r="Y582" s="371" t="inlineStr">
        <is>
          <t>ហូលីដេ ឌីហ្សាញ (ខេមបូឌា) ឯ.ក</t>
        </is>
      </c>
      <c r="Z582" s="373" t="n">
        <v>1232616</v>
      </c>
      <c r="AA582" s="373" t="n">
        <v>1120560</v>
      </c>
      <c r="AB582" s="371" t="n">
        <v>0</v>
      </c>
      <c r="AC582" s="371" t="inlineStr">
        <is>
          <t>-</t>
        </is>
      </c>
      <c r="AD582" s="373" t="n">
        <v>112056</v>
      </c>
      <c r="AE582" s="371" t="n">
        <v>0</v>
      </c>
      <c r="AF582" s="625" t="n">
        <v>0</v>
      </c>
      <c r="AG582" s="205" t="n">
        <v>0</v>
      </c>
      <c r="AH582" s="205" t="n">
        <v>0</v>
      </c>
      <c r="AI582" s="205" t="n">
        <v>0</v>
      </c>
      <c r="AJ582" s="205" t="n">
        <v>0</v>
      </c>
      <c r="AK582" s="205" t="n">
        <v>0</v>
      </c>
      <c r="AL582" s="205" t="n">
        <v>0.01</v>
      </c>
      <c r="AM582" s="205" t="n">
        <v>0</v>
      </c>
      <c r="AN582" s="205" t="inlineStr">
        <is>
          <t>ចំណូលពីសេវាកម្ម (លើកដាក់ទំនិញ)</t>
        </is>
      </c>
    </row>
    <row r="583">
      <c r="A583" s="222">
        <f>A582+1</f>
        <v/>
      </c>
      <c r="B583" s="224" t="inlineStr">
        <is>
          <t>Trucking &amp; Clearance-Ex</t>
        </is>
      </c>
      <c r="C583" s="224" t="inlineStr">
        <is>
          <t>BRILLIANT TRANSPORT AND TRADING Co., Ltd.</t>
        </is>
      </c>
      <c r="D583" s="225" t="inlineStr">
        <is>
          <t>K002-100089305</t>
        </is>
      </c>
      <c r="E583" s="359" t="inlineStr">
        <is>
          <t>BTT25-0001157</t>
        </is>
      </c>
      <c r="F583" s="338" t="n">
        <v>45806</v>
      </c>
      <c r="G583" s="226" t="n"/>
      <c r="H583" s="627" t="n"/>
      <c r="I583" s="627" t="n">
        <v>203403</v>
      </c>
      <c r="J583" s="223" t="inlineStr">
        <is>
          <t>អនុញ្ញាត (បានប្រកាស)</t>
        </is>
      </c>
      <c r="K583" s="628" t="n"/>
      <c r="L583" s="626">
        <f>I583</f>
        <v/>
      </c>
      <c r="M583" s="598">
        <f>I583-L583</f>
        <v/>
      </c>
      <c r="N583" s="223" t="n"/>
      <c r="O583" s="228">
        <f>U583=E583</f>
        <v/>
      </c>
      <c r="P583" s="228">
        <f>MONTH(F583)-MONTH(T583)</f>
        <v/>
      </c>
      <c r="Q583" s="228">
        <f>$B$5=X583</f>
        <v/>
      </c>
      <c r="R583" s="228">
        <f>I583-AD583</f>
        <v/>
      </c>
      <c r="S583" s="371" t="n"/>
      <c r="T583" s="372" t="n">
        <v>45806</v>
      </c>
      <c r="U583" s="371" t="inlineStr">
        <is>
          <t>BTT25-0001157</t>
        </is>
      </c>
      <c r="V583" s="371" t="n"/>
      <c r="W583" s="371" t="n"/>
      <c r="X583" s="371" t="n"/>
      <c r="Y583" s="371" t="inlineStr">
        <is>
          <t>ហូលីដេ ឌីហ្សាញ (ខេមបូឌា) ឯ.ក</t>
        </is>
      </c>
      <c r="Z583" s="373" t="n"/>
      <c r="AA583" s="373" t="n"/>
      <c r="AB583" s="371" t="n"/>
      <c r="AC583" s="371" t="n"/>
      <c r="AD583" s="373" t="n">
        <v>203403</v>
      </c>
      <c r="AE583" s="371" t="n"/>
      <c r="AF583" s="625" t="n"/>
      <c r="AN583" s="205" t="inlineStr">
        <is>
          <t>Truking / Service</t>
        </is>
      </c>
    </row>
    <row r="584">
      <c r="A584" s="222">
        <f>A583+1</f>
        <v/>
      </c>
      <c r="B584" s="224" t="inlineStr">
        <is>
          <t>Trucking &amp; Clearance-Ex</t>
        </is>
      </c>
      <c r="C584" s="224" t="inlineStr">
        <is>
          <t>BRILLIANT TRANSPORT AND TRADING Co., Ltd.</t>
        </is>
      </c>
      <c r="D584" s="225" t="inlineStr">
        <is>
          <t>K002-100089305</t>
        </is>
      </c>
      <c r="E584" s="359" t="inlineStr">
        <is>
          <t>BTT25-0001156</t>
        </is>
      </c>
      <c r="F584" s="338" t="n">
        <v>45807</v>
      </c>
      <c r="G584" s="226" t="n"/>
      <c r="H584" s="627" t="n"/>
      <c r="I584" s="627" t="n">
        <v>191039</v>
      </c>
      <c r="J584" s="223" t="inlineStr">
        <is>
          <t>អនុញ្ញាត (បានប្រកាស)</t>
        </is>
      </c>
      <c r="K584" s="628" t="n"/>
      <c r="L584" s="626">
        <f>I584</f>
        <v/>
      </c>
      <c r="M584" s="598">
        <f>I584-L584</f>
        <v/>
      </c>
      <c r="N584" s="223" t="n"/>
      <c r="O584" s="228">
        <f>U584=E584</f>
        <v/>
      </c>
      <c r="P584" s="228">
        <f>MONTH(F584)-MONTH(T584)</f>
        <v/>
      </c>
      <c r="Q584" s="228">
        <f>$B$5=X584</f>
        <v/>
      </c>
      <c r="R584" s="228">
        <f>I584-AD584</f>
        <v/>
      </c>
      <c r="S584" s="371" t="n"/>
      <c r="T584" s="372" t="n">
        <v>45807</v>
      </c>
      <c r="U584" s="371" t="inlineStr">
        <is>
          <t>BTT25-0001156</t>
        </is>
      </c>
      <c r="V584" s="371" t="n"/>
      <c r="W584" s="371" t="n"/>
      <c r="X584" s="371" t="n"/>
      <c r="Y584" s="371" t="inlineStr">
        <is>
          <t>ហូលីដេ ឌីហ្សាញ (ខេមបូឌា) ឯ.ក</t>
        </is>
      </c>
      <c r="Z584" s="373" t="n"/>
      <c r="AA584" s="373" t="n"/>
      <c r="AB584" s="371" t="n"/>
      <c r="AC584" s="371" t="n"/>
      <c r="AD584" s="373" t="n">
        <v>191039</v>
      </c>
      <c r="AE584" s="371" t="n"/>
      <c r="AF584" s="625" t="n"/>
      <c r="AN584" s="205" t="inlineStr">
        <is>
          <t>Truking / Service</t>
        </is>
      </c>
    </row>
    <row r="585">
      <c r="A585" s="222">
        <f>A584+1</f>
        <v/>
      </c>
      <c r="B585" s="224" t="inlineStr">
        <is>
          <t>Trucking &amp; Clearance-Ex</t>
        </is>
      </c>
      <c r="C585" s="224" t="inlineStr">
        <is>
          <t>BRILLIANT TRANSPORT AND TRADING Co., Ltd.</t>
        </is>
      </c>
      <c r="D585" s="225" t="inlineStr">
        <is>
          <t>K002-100089305</t>
        </is>
      </c>
      <c r="E585" s="359" t="inlineStr">
        <is>
          <t>BTT25-0001155</t>
        </is>
      </c>
      <c r="F585" s="338" t="n">
        <v>45807</v>
      </c>
      <c r="G585" s="226" t="n"/>
      <c r="H585" s="627" t="n"/>
      <c r="I585" s="627" t="n">
        <v>191039</v>
      </c>
      <c r="J585" s="223" t="inlineStr">
        <is>
          <t>អនុញ្ញាត (បានប្រកាស)</t>
        </is>
      </c>
      <c r="K585" s="628" t="n"/>
      <c r="L585" s="626">
        <f>I585</f>
        <v/>
      </c>
      <c r="M585" s="598">
        <f>I585-L585</f>
        <v/>
      </c>
      <c r="N585" s="223" t="n"/>
      <c r="O585" s="228">
        <f>U585=E585</f>
        <v/>
      </c>
      <c r="P585" s="228">
        <f>MONTH(F585)-MONTH(T585)</f>
        <v/>
      </c>
      <c r="Q585" s="228">
        <f>$B$5=X585</f>
        <v/>
      </c>
      <c r="R585" s="228">
        <f>I585-AD585</f>
        <v/>
      </c>
      <c r="S585" s="371" t="n"/>
      <c r="T585" s="372" t="n">
        <v>45807</v>
      </c>
      <c r="U585" s="371" t="inlineStr">
        <is>
          <t>BTT25-0001155</t>
        </is>
      </c>
      <c r="V585" s="371" t="n"/>
      <c r="W585" s="371" t="n"/>
      <c r="X585" s="371" t="n"/>
      <c r="Y585" s="371" t="inlineStr">
        <is>
          <t>ហូលីដេ ឌីហ្សាញ (ខេមបូឌា) ឯ.ក</t>
        </is>
      </c>
      <c r="Z585" s="373" t="n"/>
      <c r="AA585" s="373" t="n"/>
      <c r="AB585" s="371" t="n"/>
      <c r="AC585" s="371" t="n"/>
      <c r="AD585" s="373" t="n">
        <v>191039</v>
      </c>
      <c r="AE585" s="371" t="n"/>
      <c r="AF585" s="625" t="n"/>
      <c r="AN585" s="205" t="inlineStr">
        <is>
          <t>Truking / Service</t>
        </is>
      </c>
    </row>
    <row r="586">
      <c r="A586" s="222">
        <f>A585+1</f>
        <v/>
      </c>
      <c r="B586" s="224" t="inlineStr">
        <is>
          <t>Trucking &amp; Clearance-Ex</t>
        </is>
      </c>
      <c r="C586" s="224" t="inlineStr">
        <is>
          <t>BRILLIANT TRANSPORT AND TRADING Co., Ltd.</t>
        </is>
      </c>
      <c r="D586" s="225" t="inlineStr">
        <is>
          <t>K002-100089305</t>
        </is>
      </c>
      <c r="E586" s="359" t="inlineStr">
        <is>
          <t>BTT25-0001153</t>
        </is>
      </c>
      <c r="F586" s="338" t="n">
        <v>45806</v>
      </c>
      <c r="G586" s="226" t="n"/>
      <c r="H586" s="627" t="n"/>
      <c r="I586" s="627" t="n">
        <v>1220419</v>
      </c>
      <c r="J586" s="223" t="inlineStr">
        <is>
          <t>អនុញ្ញាត (បានប្រកាស)</t>
        </is>
      </c>
      <c r="K586" s="628" t="n"/>
      <c r="L586" s="626">
        <f>I586</f>
        <v/>
      </c>
      <c r="M586" s="598">
        <f>I586-L586</f>
        <v/>
      </c>
      <c r="N586" s="223" t="n"/>
      <c r="O586" s="228">
        <f>U586=E586</f>
        <v/>
      </c>
      <c r="P586" s="228">
        <f>MONTH(F586)-MONTH(T586)</f>
        <v/>
      </c>
      <c r="Q586" s="228">
        <f>$B$5=X586</f>
        <v/>
      </c>
      <c r="R586" s="228">
        <f>I586-AD586</f>
        <v/>
      </c>
      <c r="S586" s="371" t="n"/>
      <c r="T586" s="372" t="n">
        <v>45806</v>
      </c>
      <c r="U586" s="371" t="inlineStr">
        <is>
          <t>BTT25-0001153</t>
        </is>
      </c>
      <c r="V586" s="371" t="n"/>
      <c r="W586" s="371" t="n"/>
      <c r="X586" s="371" t="n"/>
      <c r="Y586" s="371" t="inlineStr">
        <is>
          <t>ហូលីដេ ឌីហ្សាញ (ខេមបូឌា) ឯ.ក</t>
        </is>
      </c>
      <c r="Z586" s="373" t="n"/>
      <c r="AA586" s="373" t="n"/>
      <c r="AB586" s="371" t="n"/>
      <c r="AC586" s="371" t="n"/>
      <c r="AD586" s="373" t="n">
        <v>1220419</v>
      </c>
      <c r="AE586" s="371" t="n"/>
      <c r="AF586" s="625" t="n"/>
      <c r="AN586" s="205" t="inlineStr">
        <is>
          <t>Truking / Service</t>
        </is>
      </c>
    </row>
    <row r="587">
      <c r="A587" s="222">
        <f>A586+1</f>
        <v/>
      </c>
      <c r="B587" s="224" t="inlineStr">
        <is>
          <t>Lift-Off-Ex</t>
        </is>
      </c>
      <c r="C587" s="224" t="inlineStr">
        <is>
          <t>Port Autonome Du Sihanoukville</t>
        </is>
      </c>
      <c r="D587" s="225" t="inlineStr">
        <is>
          <t>L001-100044638</t>
        </is>
      </c>
      <c r="E587" s="359" t="n">
        <v>202500122913</v>
      </c>
      <c r="F587" s="338" t="n">
        <v>45804</v>
      </c>
      <c r="G587" s="226" t="n"/>
      <c r="H587" s="627" t="n"/>
      <c r="I587" s="627" t="n">
        <v>20415</v>
      </c>
      <c r="J587" s="223" t="inlineStr">
        <is>
          <t>អនុញ្ញាត (បានប្រកាស)</t>
        </is>
      </c>
      <c r="K587" s="628" t="n"/>
      <c r="L587" s="626">
        <f>I587</f>
        <v/>
      </c>
      <c r="M587" s="598">
        <f>I587-L587</f>
        <v/>
      </c>
      <c r="N587" s="223" t="n"/>
      <c r="O587" s="228">
        <f>U587=E587</f>
        <v/>
      </c>
      <c r="P587" s="228">
        <f>MONTH(F587)-MONTH(T587)</f>
        <v/>
      </c>
      <c r="Q587" s="228">
        <f>$B$5=X587</f>
        <v/>
      </c>
      <c r="R587" s="228">
        <f>I587-AD587</f>
        <v/>
      </c>
      <c r="S587" s="371" t="n"/>
      <c r="T587" s="372" t="n">
        <v>45804</v>
      </c>
      <c r="U587" s="371" t="n">
        <v>202500122913</v>
      </c>
      <c r="V587" s="371" t="n"/>
      <c r="W587" s="371" t="inlineStr">
        <is>
          <t>បុគ្គលជាប់អាករ</t>
        </is>
      </c>
      <c r="X587" s="371" t="inlineStr">
        <is>
          <t>L001-901640009</t>
        </is>
      </c>
      <c r="Y587" s="371" t="inlineStr">
        <is>
          <t>ហូលីដេ ឌីហ្សាញ (ខេមបូឌា) ឯ.ក</t>
        </is>
      </c>
      <c r="Z587" s="373" t="n">
        <v>224568</v>
      </c>
      <c r="AA587" s="373" t="n">
        <v>204153</v>
      </c>
      <c r="AB587" s="371" t="n">
        <v>0</v>
      </c>
      <c r="AC587" s="371" t="inlineStr">
        <is>
          <t>-</t>
        </is>
      </c>
      <c r="AD587" s="373" t="n">
        <v>20415</v>
      </c>
      <c r="AE587" s="371" t="n"/>
      <c r="AF587" s="625" t="n"/>
    </row>
    <row r="588">
      <c r="A588" s="222">
        <f>A587+1</f>
        <v/>
      </c>
      <c r="B588" s="224" t="inlineStr">
        <is>
          <t>Lift-Off-Ex</t>
        </is>
      </c>
      <c r="C588" s="224" t="inlineStr">
        <is>
          <t>Port Autonome Du Sihanoukville</t>
        </is>
      </c>
      <c r="D588" s="225" t="inlineStr">
        <is>
          <t>L001-100044638</t>
        </is>
      </c>
      <c r="E588" s="359" t="n">
        <v>202500122914</v>
      </c>
      <c r="F588" s="338" t="n">
        <v>45804</v>
      </c>
      <c r="G588" s="226" t="n"/>
      <c r="H588" s="627" t="n"/>
      <c r="I588" s="627" t="n">
        <v>20415</v>
      </c>
      <c r="J588" s="223" t="inlineStr">
        <is>
          <t>អនុញ្ញាត (បានប្រកាស)</t>
        </is>
      </c>
      <c r="K588" s="628" t="n"/>
      <c r="L588" s="626">
        <f>I588</f>
        <v/>
      </c>
      <c r="M588" s="598">
        <f>I588-L588</f>
        <v/>
      </c>
      <c r="N588" s="223" t="n"/>
      <c r="O588" s="228">
        <f>U588=E588</f>
        <v/>
      </c>
      <c r="P588" s="228">
        <f>MONTH(F588)-MONTH(T588)</f>
        <v/>
      </c>
      <c r="Q588" s="228">
        <f>$B$5=X588</f>
        <v/>
      </c>
      <c r="R588" s="228">
        <f>I588-AD588</f>
        <v/>
      </c>
      <c r="S588" s="371" t="n"/>
      <c r="T588" s="372" t="n">
        <v>45804</v>
      </c>
      <c r="U588" s="371" t="n">
        <v>202500122914</v>
      </c>
      <c r="V588" s="371" t="n"/>
      <c r="W588" s="371" t="inlineStr">
        <is>
          <t>បុគ្គលជាប់អាករ</t>
        </is>
      </c>
      <c r="X588" s="371" t="inlineStr">
        <is>
          <t>L001-901640009</t>
        </is>
      </c>
      <c r="Y588" s="371" t="inlineStr">
        <is>
          <t>ហូលីដេ ឌីហ្សាញ (ខេមបូឌា) ឯ.ក</t>
        </is>
      </c>
      <c r="Z588" s="373" t="n">
        <v>224568</v>
      </c>
      <c r="AA588" s="373" t="n">
        <v>204153</v>
      </c>
      <c r="AB588" s="371" t="n">
        <v>0</v>
      </c>
      <c r="AC588" s="371" t="inlineStr">
        <is>
          <t>-</t>
        </is>
      </c>
      <c r="AD588" s="373" t="n">
        <v>20415</v>
      </c>
      <c r="AE588" s="371" t="n"/>
      <c r="AF588" s="625" t="n"/>
    </row>
    <row r="589">
      <c r="A589" s="222">
        <f>A588+1</f>
        <v/>
      </c>
      <c r="B589" s="224" t="inlineStr">
        <is>
          <t>Lift-Off-Ex</t>
        </is>
      </c>
      <c r="C589" s="224" t="inlineStr">
        <is>
          <t>Port Autonome Du Sihanoukville</t>
        </is>
      </c>
      <c r="D589" s="225" t="inlineStr">
        <is>
          <t>L001-100044638</t>
        </is>
      </c>
      <c r="E589" s="359" t="n">
        <v>202500122917</v>
      </c>
      <c r="F589" s="338" t="n">
        <v>45804</v>
      </c>
      <c r="G589" s="226" t="n"/>
      <c r="H589" s="627" t="n"/>
      <c r="I589" s="627" t="n">
        <v>20415</v>
      </c>
      <c r="J589" s="223" t="inlineStr">
        <is>
          <t>អនុញ្ញាត (បានប្រកាស)</t>
        </is>
      </c>
      <c r="K589" s="628" t="n"/>
      <c r="L589" s="626">
        <f>I589</f>
        <v/>
      </c>
      <c r="M589" s="598">
        <f>I589-L589</f>
        <v/>
      </c>
      <c r="N589" s="223" t="n"/>
      <c r="O589" s="228">
        <f>U589=E589</f>
        <v/>
      </c>
      <c r="P589" s="228">
        <f>MONTH(F589)-MONTH(T589)</f>
        <v/>
      </c>
      <c r="Q589" s="228">
        <f>$B$5=X589</f>
        <v/>
      </c>
      <c r="R589" s="228">
        <f>I589-AD589</f>
        <v/>
      </c>
      <c r="S589" s="371" t="n"/>
      <c r="T589" s="372" t="n">
        <v>45804</v>
      </c>
      <c r="U589" s="371" t="n">
        <v>202500122917</v>
      </c>
      <c r="V589" s="371" t="n"/>
      <c r="W589" s="371" t="inlineStr">
        <is>
          <t>បុគ្គលជាប់អាករ</t>
        </is>
      </c>
      <c r="X589" s="371" t="inlineStr">
        <is>
          <t>L001-901640009</t>
        </is>
      </c>
      <c r="Y589" s="371" t="inlineStr">
        <is>
          <t>ហូលីដេ ឌីហ្សាញ (ខេមបូឌា) ឯ.ក</t>
        </is>
      </c>
      <c r="Z589" s="373" t="n">
        <v>224568</v>
      </c>
      <c r="AA589" s="373" t="n">
        <v>204153</v>
      </c>
      <c r="AB589" s="371" t="n">
        <v>0</v>
      </c>
      <c r="AC589" s="371" t="inlineStr">
        <is>
          <t>-</t>
        </is>
      </c>
      <c r="AD589" s="373" t="n">
        <v>20415</v>
      </c>
      <c r="AE589" s="371" t="n"/>
      <c r="AF589" s="625" t="n"/>
    </row>
    <row r="590">
      <c r="A590" s="222">
        <f>A589+1</f>
        <v/>
      </c>
      <c r="B590" s="224" t="inlineStr">
        <is>
          <t>Lift-Off-Ex</t>
        </is>
      </c>
      <c r="C590" s="224" t="inlineStr">
        <is>
          <t>Port Autonome Du Sihanoukville</t>
        </is>
      </c>
      <c r="D590" s="225" t="inlineStr">
        <is>
          <t>L001-100044638</t>
        </is>
      </c>
      <c r="E590" s="359" t="n">
        <v>202500122920</v>
      </c>
      <c r="F590" s="338" t="n">
        <v>45804</v>
      </c>
      <c r="G590" s="226" t="n"/>
      <c r="H590" s="627" t="n"/>
      <c r="I590" s="627" t="n">
        <v>20415</v>
      </c>
      <c r="J590" s="223" t="inlineStr">
        <is>
          <t>អនុញ្ញាត (បានប្រកាស)</t>
        </is>
      </c>
      <c r="K590" s="628" t="n"/>
      <c r="L590" s="626">
        <f>I590</f>
        <v/>
      </c>
      <c r="M590" s="598">
        <f>I590-L590</f>
        <v/>
      </c>
      <c r="N590" s="223" t="n"/>
      <c r="O590" s="228">
        <f>U590=E590</f>
        <v/>
      </c>
      <c r="P590" s="228">
        <f>MONTH(F590)-MONTH(T590)</f>
        <v/>
      </c>
      <c r="Q590" s="228">
        <f>$B$5=X590</f>
        <v/>
      </c>
      <c r="R590" s="228">
        <f>I590-AD590</f>
        <v/>
      </c>
      <c r="S590" s="371" t="n"/>
      <c r="T590" s="372" t="n">
        <v>45804</v>
      </c>
      <c r="U590" s="371" t="n">
        <v>202500122920</v>
      </c>
      <c r="V590" s="371" t="n"/>
      <c r="W590" s="371" t="inlineStr">
        <is>
          <t>បុគ្គលជាប់អាករ</t>
        </is>
      </c>
      <c r="X590" s="371" t="inlineStr">
        <is>
          <t>L001-901640009</t>
        </is>
      </c>
      <c r="Y590" s="371" t="inlineStr">
        <is>
          <t>ហូលីដេ ឌីហ្សាញ (ខេមបូឌា) ឯ.ក</t>
        </is>
      </c>
      <c r="Z590" s="373" t="n">
        <v>224568</v>
      </c>
      <c r="AA590" s="373" t="n">
        <v>204153</v>
      </c>
      <c r="AB590" s="371" t="n">
        <v>0</v>
      </c>
      <c r="AC590" s="371" t="inlineStr">
        <is>
          <t>-</t>
        </is>
      </c>
      <c r="AD590" s="373" t="n">
        <v>20415</v>
      </c>
      <c r="AE590" s="371" t="n"/>
      <c r="AF590" s="625" t="n"/>
    </row>
    <row r="591">
      <c r="A591" s="222">
        <f>A590+1</f>
        <v/>
      </c>
      <c r="B591" s="224" t="inlineStr">
        <is>
          <t>Lift-Off-Ex</t>
        </is>
      </c>
      <c r="C591" s="224" t="inlineStr">
        <is>
          <t>Port Autonome Du Sihanoukville</t>
        </is>
      </c>
      <c r="D591" s="225" t="inlineStr">
        <is>
          <t>L001-100044638</t>
        </is>
      </c>
      <c r="E591" s="359" t="n">
        <v>202500122924</v>
      </c>
      <c r="F591" s="338" t="n">
        <v>45804</v>
      </c>
      <c r="G591" s="226" t="n"/>
      <c r="H591" s="627" t="n"/>
      <c r="I591" s="627" t="n">
        <v>20415</v>
      </c>
      <c r="J591" s="223" t="inlineStr">
        <is>
          <t>អនុញ្ញាត (បានប្រកាស)</t>
        </is>
      </c>
      <c r="K591" s="628" t="n"/>
      <c r="L591" s="626">
        <f>I591</f>
        <v/>
      </c>
      <c r="M591" s="598">
        <f>I591-L591</f>
        <v/>
      </c>
      <c r="N591" s="223" t="n"/>
      <c r="O591" s="228">
        <f>U591=E591</f>
        <v/>
      </c>
      <c r="P591" s="228">
        <f>MONTH(F591)-MONTH(T591)</f>
        <v/>
      </c>
      <c r="Q591" s="228">
        <f>$B$5=X591</f>
        <v/>
      </c>
      <c r="R591" s="228">
        <f>I591-AD591</f>
        <v/>
      </c>
      <c r="S591" s="371" t="n"/>
      <c r="T591" s="372" t="n">
        <v>45804</v>
      </c>
      <c r="U591" s="371" t="n">
        <v>202500122924</v>
      </c>
      <c r="V591" s="371" t="n"/>
      <c r="W591" s="371" t="inlineStr">
        <is>
          <t>បុគ្គលជាប់អាករ</t>
        </is>
      </c>
      <c r="X591" s="371" t="inlineStr">
        <is>
          <t>L001-901640009</t>
        </is>
      </c>
      <c r="Y591" s="371" t="inlineStr">
        <is>
          <t>ហូលីដេ ឌីហ្សាញ (ខេមបូឌា) ឯ.ក</t>
        </is>
      </c>
      <c r="Z591" s="373" t="n">
        <v>224568</v>
      </c>
      <c r="AA591" s="373" t="n">
        <v>204153</v>
      </c>
      <c r="AB591" s="371" t="n">
        <v>0</v>
      </c>
      <c r="AC591" s="371" t="inlineStr">
        <is>
          <t>-</t>
        </is>
      </c>
      <c r="AD591" s="373" t="n">
        <v>20415</v>
      </c>
      <c r="AE591" s="371" t="n"/>
      <c r="AF591" s="625" t="n"/>
    </row>
    <row r="592">
      <c r="A592" s="222">
        <f>A591+1</f>
        <v/>
      </c>
      <c r="B592" s="224" t="inlineStr">
        <is>
          <t>Lift-Off-Ex</t>
        </is>
      </c>
      <c r="C592" s="224" t="inlineStr">
        <is>
          <t>Port Autonome Du Sihanoukville</t>
        </is>
      </c>
      <c r="D592" s="225" t="inlineStr">
        <is>
          <t>L001-100044638</t>
        </is>
      </c>
      <c r="E592" s="359" t="n">
        <v>202500122925</v>
      </c>
      <c r="F592" s="338" t="n">
        <v>45804</v>
      </c>
      <c r="G592" s="226" t="n"/>
      <c r="H592" s="627" t="n"/>
      <c r="I592" s="627" t="n">
        <v>6805</v>
      </c>
      <c r="J592" s="223" t="inlineStr">
        <is>
          <t>អនុញ្ញាត (បានប្រកាស)</t>
        </is>
      </c>
      <c r="K592" s="628" t="n"/>
      <c r="L592" s="626">
        <f>I592</f>
        <v/>
      </c>
      <c r="M592" s="598">
        <f>I592-L592</f>
        <v/>
      </c>
      <c r="N592" s="223" t="n"/>
      <c r="O592" s="228">
        <f>U592=E592</f>
        <v/>
      </c>
      <c r="P592" s="228">
        <f>MONTH(F592)-MONTH(T592)</f>
        <v/>
      </c>
      <c r="Q592" s="228">
        <f>$B$5=X592</f>
        <v/>
      </c>
      <c r="R592" s="228">
        <f>I592-AD592</f>
        <v/>
      </c>
      <c r="S592" s="371" t="n"/>
      <c r="T592" s="372" t="n">
        <v>45804</v>
      </c>
      <c r="U592" s="371" t="n">
        <v>202500122925</v>
      </c>
      <c r="V592" s="371" t="n"/>
      <c r="W592" s="371" t="inlineStr">
        <is>
          <t>បុគ្គលជាប់អាករ</t>
        </is>
      </c>
      <c r="X592" s="371" t="inlineStr">
        <is>
          <t>L001-901640009</t>
        </is>
      </c>
      <c r="Y592" s="371" t="inlineStr">
        <is>
          <t>ហូលីដេ ឌីហ្សាញ (ខេមបូឌា) ឯ.ក</t>
        </is>
      </c>
      <c r="Z592" s="373" t="n">
        <v>74856</v>
      </c>
      <c r="AA592" s="373" t="n">
        <v>68051</v>
      </c>
      <c r="AB592" s="371" t="n">
        <v>0</v>
      </c>
      <c r="AC592" s="371" t="inlineStr">
        <is>
          <t>-</t>
        </is>
      </c>
      <c r="AD592" s="373" t="n">
        <v>6805</v>
      </c>
      <c r="AE592" s="371" t="n"/>
      <c r="AF592" s="625" t="n"/>
    </row>
    <row r="593">
      <c r="A593" s="222">
        <f>A592+1</f>
        <v/>
      </c>
      <c r="B593" s="224" t="inlineStr">
        <is>
          <t>Lift-Off-Ex</t>
        </is>
      </c>
      <c r="C593" s="224" t="inlineStr">
        <is>
          <t>Port Autonome Du Sihanoukville</t>
        </is>
      </c>
      <c r="D593" s="225" t="inlineStr">
        <is>
          <t>L001-100044638</t>
        </is>
      </c>
      <c r="E593" s="359" t="n">
        <v>202500122929</v>
      </c>
      <c r="F593" s="338" t="n">
        <v>45804</v>
      </c>
      <c r="G593" s="226" t="n"/>
      <c r="H593" s="627" t="n"/>
      <c r="I593" s="627" t="n">
        <v>6805</v>
      </c>
      <c r="J593" s="223" t="inlineStr">
        <is>
          <t>អនុញ្ញាត (បានប្រកាស)</t>
        </is>
      </c>
      <c r="K593" s="628" t="n"/>
      <c r="L593" s="626">
        <f>I593</f>
        <v/>
      </c>
      <c r="M593" s="598">
        <f>I593-L593</f>
        <v/>
      </c>
      <c r="N593" s="223" t="n"/>
      <c r="O593" s="228">
        <f>U593=E593</f>
        <v/>
      </c>
      <c r="P593" s="228">
        <f>MONTH(F593)-MONTH(T593)</f>
        <v/>
      </c>
      <c r="Q593" s="228">
        <f>$B$5=X593</f>
        <v/>
      </c>
      <c r="R593" s="228">
        <f>I593-AD593</f>
        <v/>
      </c>
      <c r="S593" s="371" t="n"/>
      <c r="T593" s="372" t="n">
        <v>45804</v>
      </c>
      <c r="U593" s="371" t="n">
        <v>202500122929</v>
      </c>
      <c r="V593" s="371" t="n"/>
      <c r="W593" s="371" t="inlineStr">
        <is>
          <t>បុគ្គលជាប់អាករ</t>
        </is>
      </c>
      <c r="X593" s="371" t="inlineStr">
        <is>
          <t>L001-901640009</t>
        </is>
      </c>
      <c r="Y593" s="371" t="inlineStr">
        <is>
          <t>ហូលីដេ ឌីហ្សាញ (ខេមបូឌា) ឯ.ក</t>
        </is>
      </c>
      <c r="Z593" s="373" t="n">
        <v>74856</v>
      </c>
      <c r="AA593" s="373" t="n">
        <v>68051</v>
      </c>
      <c r="AB593" s="371" t="n">
        <v>0</v>
      </c>
      <c r="AC593" s="371" t="inlineStr">
        <is>
          <t>-</t>
        </is>
      </c>
      <c r="AD593" s="373" t="n">
        <v>6805</v>
      </c>
      <c r="AE593" s="371" t="n"/>
      <c r="AF593" s="625" t="n"/>
    </row>
    <row r="594">
      <c r="A594" s="222">
        <f>A593+1</f>
        <v/>
      </c>
      <c r="B594" s="224" t="inlineStr">
        <is>
          <t>Lift-Off-Ex</t>
        </is>
      </c>
      <c r="C594" s="224" t="inlineStr">
        <is>
          <t>Port Autonome Du Sihanoukville</t>
        </is>
      </c>
      <c r="D594" s="225" t="inlineStr">
        <is>
          <t>L001-100044638</t>
        </is>
      </c>
      <c r="E594" s="359" t="n">
        <v>202500122930</v>
      </c>
      <c r="F594" s="338" t="n">
        <v>45804</v>
      </c>
      <c r="G594" s="226" t="n"/>
      <c r="H594" s="627" t="n"/>
      <c r="I594" s="627" t="n">
        <v>6805</v>
      </c>
      <c r="J594" s="223" t="inlineStr">
        <is>
          <t>អនុញ្ញាត (បានប្រកាស)</t>
        </is>
      </c>
      <c r="K594" s="628" t="n"/>
      <c r="L594" s="626">
        <f>I594</f>
        <v/>
      </c>
      <c r="M594" s="598">
        <f>I594-L594</f>
        <v/>
      </c>
      <c r="N594" s="223" t="n"/>
      <c r="O594" s="228">
        <f>U594=E594</f>
        <v/>
      </c>
      <c r="P594" s="228">
        <f>MONTH(F594)-MONTH(T594)</f>
        <v/>
      </c>
      <c r="Q594" s="228">
        <f>$B$5=X594</f>
        <v/>
      </c>
      <c r="R594" s="228">
        <f>I594-AD594</f>
        <v/>
      </c>
      <c r="S594" s="371" t="n"/>
      <c r="T594" s="372" t="n">
        <v>45804</v>
      </c>
      <c r="U594" s="371" t="n">
        <v>202500122930</v>
      </c>
      <c r="V594" s="371" t="n"/>
      <c r="W594" s="371" t="inlineStr">
        <is>
          <t>បុគ្គលជាប់អាករ</t>
        </is>
      </c>
      <c r="X594" s="371" t="inlineStr">
        <is>
          <t>L001-901640009</t>
        </is>
      </c>
      <c r="Y594" s="371" t="inlineStr">
        <is>
          <t>ហូលីដេ ឌីហ្សាញ (ខេមបូឌា) ឯ.ក</t>
        </is>
      </c>
      <c r="Z594" s="373" t="n">
        <v>74856</v>
      </c>
      <c r="AA594" s="373" t="n">
        <v>68051</v>
      </c>
      <c r="AB594" s="371" t="n">
        <v>0</v>
      </c>
      <c r="AC594" s="371" t="inlineStr">
        <is>
          <t>-</t>
        </is>
      </c>
      <c r="AD594" s="373" t="n">
        <v>6805</v>
      </c>
      <c r="AE594" s="371" t="n"/>
      <c r="AF594" s="625" t="n"/>
    </row>
    <row r="595">
      <c r="A595" s="222">
        <f>A594+1</f>
        <v/>
      </c>
      <c r="B595" s="224" t="inlineStr">
        <is>
          <t>Trucking &amp; Clearance-Ex</t>
        </is>
      </c>
      <c r="C595" s="224" t="inlineStr">
        <is>
          <t>BRILLIANT TRANSPORT AND TRADING Co., Ltd.</t>
        </is>
      </c>
      <c r="D595" s="225" t="inlineStr">
        <is>
          <t>K002-100089305</t>
        </is>
      </c>
      <c r="E595" s="359" t="inlineStr">
        <is>
          <t>BTT25-0001152</t>
        </is>
      </c>
      <c r="F595" s="338" t="n">
        <v>45806</v>
      </c>
      <c r="G595" s="226" t="n"/>
      <c r="H595" s="627" t="n"/>
      <c r="I595" s="627" t="n">
        <v>1533132</v>
      </c>
      <c r="J595" s="223" t="inlineStr">
        <is>
          <t>អនុញ្ញាត (បានប្រកាស)</t>
        </is>
      </c>
      <c r="K595" s="628" t="n"/>
      <c r="L595" s="626">
        <f>I595</f>
        <v/>
      </c>
      <c r="M595" s="598">
        <f>I595-L595</f>
        <v/>
      </c>
      <c r="N595" s="223" t="n"/>
      <c r="O595" s="228">
        <f>U595=E595</f>
        <v/>
      </c>
      <c r="P595" s="228">
        <f>MONTH(F595)-MONTH(T595)</f>
        <v/>
      </c>
      <c r="Q595" s="228">
        <f>$B$5=X595</f>
        <v/>
      </c>
      <c r="R595" s="228">
        <f>I595-AD595</f>
        <v/>
      </c>
      <c r="S595" s="371" t="n"/>
      <c r="T595" s="372" t="n">
        <v>45806</v>
      </c>
      <c r="U595" s="371" t="inlineStr">
        <is>
          <t>BTT25-0001152</t>
        </is>
      </c>
      <c r="V595" s="371" t="n"/>
      <c r="W595" s="371" t="n"/>
      <c r="X595" s="371" t="n"/>
      <c r="Y595" s="371" t="inlineStr">
        <is>
          <t>ហូលីដេ ឌីហ្សាញ (ខេមបូឌា) ឯ.ក</t>
        </is>
      </c>
      <c r="Z595" s="373" t="n"/>
      <c r="AA595" s="373" t="n"/>
      <c r="AB595" s="371" t="n"/>
      <c r="AC595" s="371" t="n"/>
      <c r="AD595" s="373" t="n">
        <v>1533132</v>
      </c>
      <c r="AE595" s="371" t="n"/>
      <c r="AF595" s="625" t="n"/>
      <c r="AN595" s="205" t="inlineStr">
        <is>
          <t>Truking / Service</t>
        </is>
      </c>
    </row>
    <row r="596">
      <c r="A596" s="222">
        <f>A595+1</f>
        <v/>
      </c>
      <c r="B596" s="224" t="inlineStr">
        <is>
          <t>Register GSP</t>
        </is>
      </c>
      <c r="C596" s="224" t="inlineStr">
        <is>
          <t>BRILLIANT TRANSPORT AND TRADING Co., Ltd.</t>
        </is>
      </c>
      <c r="D596" s="225" t="inlineStr">
        <is>
          <t>K002-100089305</t>
        </is>
      </c>
      <c r="E596" s="359" t="inlineStr">
        <is>
          <t>BTT25-0001144</t>
        </is>
      </c>
      <c r="F596" s="338" t="n">
        <v>45800</v>
      </c>
      <c r="G596" s="226" t="n"/>
      <c r="H596" s="627" t="n"/>
      <c r="I596" s="627" t="n">
        <v>120090</v>
      </c>
      <c r="J596" s="223" t="inlineStr">
        <is>
          <t>អនុញ្ញាត (បានប្រកាស)</t>
        </is>
      </c>
      <c r="K596" s="628" t="n"/>
      <c r="L596" s="626">
        <f>I596</f>
        <v/>
      </c>
      <c r="M596" s="598">
        <f>I596-L596</f>
        <v/>
      </c>
      <c r="N596" s="223" t="n"/>
      <c r="O596" s="228">
        <f>U596=E596</f>
        <v/>
      </c>
      <c r="P596" s="228">
        <f>MONTH(F596)-MONTH(T596)</f>
        <v/>
      </c>
      <c r="Q596" s="228">
        <f>$B$5=X596</f>
        <v/>
      </c>
      <c r="R596" s="228">
        <f>I596-AD596</f>
        <v/>
      </c>
      <c r="S596" s="371" t="n"/>
      <c r="T596" s="372" t="n">
        <v>45800</v>
      </c>
      <c r="U596" s="371" t="inlineStr">
        <is>
          <t>BTT25-0001144</t>
        </is>
      </c>
      <c r="V596" s="371" t="n"/>
      <c r="W596" s="371" t="n"/>
      <c r="X596" s="371" t="n"/>
      <c r="Y596" s="371" t="inlineStr">
        <is>
          <t>ហូលីដេ ឌីហ្សាញ (ខេមបូឌា) ឯ.ក</t>
        </is>
      </c>
      <c r="Z596" s="373" t="n"/>
      <c r="AA596" s="373" t="n"/>
      <c r="AB596" s="371" t="n"/>
      <c r="AC596" s="371" t="n"/>
      <c r="AD596" s="373" t="n">
        <v>120090</v>
      </c>
      <c r="AE596" s="371" t="n"/>
      <c r="AF596" s="625" t="n"/>
      <c r="AN596" s="205" t="inlineStr">
        <is>
          <t>Truking / Service</t>
        </is>
      </c>
    </row>
    <row r="597">
      <c r="A597" s="222">
        <f>A596+1</f>
        <v/>
      </c>
      <c r="B597" s="224" t="inlineStr">
        <is>
          <t>Trucking &amp; Clearance-Ex</t>
        </is>
      </c>
      <c r="C597" s="224" t="inlineStr">
        <is>
          <t>BRILLIANT TRANSPORT AND TRADING Co., Ltd.</t>
        </is>
      </c>
      <c r="D597" s="225" t="inlineStr">
        <is>
          <t>K002-100089305</t>
        </is>
      </c>
      <c r="E597" s="359" t="inlineStr">
        <is>
          <t>BTT25-0001158</t>
        </is>
      </c>
      <c r="F597" s="338" t="n">
        <v>45806</v>
      </c>
      <c r="G597" s="226" t="n"/>
      <c r="H597" s="627" t="n"/>
      <c r="I597" s="627" t="n">
        <v>213413</v>
      </c>
      <c r="J597" s="223" t="inlineStr">
        <is>
          <t>អនុញ្ញាត (បានប្រកាស)</t>
        </is>
      </c>
      <c r="K597" s="628" t="n"/>
      <c r="L597" s="626">
        <f>I597</f>
        <v/>
      </c>
      <c r="M597" s="598">
        <f>I597-L597</f>
        <v/>
      </c>
      <c r="N597" s="223" t="n"/>
      <c r="O597" s="228">
        <f>U597=E597</f>
        <v/>
      </c>
      <c r="P597" s="228">
        <f>MONTH(F597)-MONTH(T597)</f>
        <v/>
      </c>
      <c r="Q597" s="228">
        <f>$B$5=X597</f>
        <v/>
      </c>
      <c r="R597" s="228">
        <f>I597-AD597</f>
        <v/>
      </c>
      <c r="S597" s="371" t="n"/>
      <c r="T597" s="372" t="n">
        <v>45806</v>
      </c>
      <c r="U597" s="371" t="inlineStr">
        <is>
          <t>BTT25-0001158</t>
        </is>
      </c>
      <c r="V597" s="371" t="n"/>
      <c r="W597" s="371" t="n"/>
      <c r="X597" s="371" t="n"/>
      <c r="Y597" s="371" t="inlineStr">
        <is>
          <t>ហូលីដេ ឌីហ្សាញ (ខេមបូឌា) ឯ.ក</t>
        </is>
      </c>
      <c r="Z597" s="373" t="n"/>
      <c r="AA597" s="373" t="n"/>
      <c r="AB597" s="371" t="n"/>
      <c r="AC597" s="371" t="n"/>
      <c r="AD597" s="373" t="n">
        <v>213413</v>
      </c>
      <c r="AE597" s="371" t="n"/>
      <c r="AF597" s="625" t="n"/>
      <c r="AN597" s="205" t="inlineStr">
        <is>
          <t>Truking / Service</t>
        </is>
      </c>
    </row>
    <row r="598">
      <c r="A598" s="222">
        <f>A597+1</f>
        <v/>
      </c>
      <c r="B598" s="224" t="inlineStr">
        <is>
          <t>Trucking &amp; Clearance-Ex</t>
        </is>
      </c>
      <c r="C598" s="224" t="inlineStr">
        <is>
          <t>BRILLIANT TRANSPORT AND TRADING Co., Ltd.</t>
        </is>
      </c>
      <c r="D598" s="225" t="inlineStr">
        <is>
          <t>K002-100089305</t>
        </is>
      </c>
      <c r="E598" s="359" t="inlineStr">
        <is>
          <t>BTT25-0001159</t>
        </is>
      </c>
      <c r="F598" s="338" t="n">
        <v>45806</v>
      </c>
      <c r="G598" s="226" t="n"/>
      <c r="H598" s="627" t="n"/>
      <c r="I598" s="627" t="n">
        <v>203403</v>
      </c>
      <c r="J598" s="223" t="inlineStr">
        <is>
          <t>អនុញ្ញាត (បានប្រកាស)</t>
        </is>
      </c>
      <c r="K598" s="628" t="n"/>
      <c r="L598" s="626">
        <f>I598</f>
        <v/>
      </c>
      <c r="M598" s="598">
        <f>I598-L598</f>
        <v/>
      </c>
      <c r="N598" s="223" t="n"/>
      <c r="O598" s="228">
        <f>U598=E598</f>
        <v/>
      </c>
      <c r="P598" s="228">
        <f>MONTH(F598)-MONTH(T598)</f>
        <v/>
      </c>
      <c r="Q598" s="228">
        <f>$B$5=X598</f>
        <v/>
      </c>
      <c r="R598" s="228">
        <f>I598-AD598</f>
        <v/>
      </c>
      <c r="S598" s="371" t="n"/>
      <c r="T598" s="372" t="n">
        <v>45806</v>
      </c>
      <c r="U598" s="371" t="inlineStr">
        <is>
          <t>BTT25-0001159</t>
        </is>
      </c>
      <c r="V598" s="371" t="n"/>
      <c r="W598" s="371" t="n"/>
      <c r="X598" s="371" t="n"/>
      <c r="Y598" s="371" t="inlineStr">
        <is>
          <t>ហូលីដេ ឌីហ្សាញ (ខេមបូឌា) ឯ.ក</t>
        </is>
      </c>
      <c r="Z598" s="373" t="n"/>
      <c r="AA598" s="373" t="n"/>
      <c r="AB598" s="371" t="n"/>
      <c r="AC598" s="371" t="n"/>
      <c r="AD598" s="373" t="n">
        <v>203403</v>
      </c>
      <c r="AE598" s="371" t="n"/>
      <c r="AF598" s="625" t="n"/>
      <c r="AN598" s="205" t="inlineStr">
        <is>
          <t>Truking / Service</t>
        </is>
      </c>
    </row>
    <row r="599">
      <c r="A599" s="222">
        <f>A598+1</f>
        <v/>
      </c>
      <c r="B599" s="224" t="inlineStr">
        <is>
          <t>Storage 40 Feet Container-Ex</t>
        </is>
      </c>
      <c r="C599" s="224" t="inlineStr">
        <is>
          <t>PHNOM PENH AUTONOMOUS PORT "PPAP"</t>
        </is>
      </c>
      <c r="D599" s="225" t="inlineStr">
        <is>
          <t>L001-100044999</t>
        </is>
      </c>
      <c r="E599" s="359" t="inlineStr">
        <is>
          <t>INV20250542378</t>
        </is>
      </c>
      <c r="F599" s="338" t="n">
        <v>45805</v>
      </c>
      <c r="G599" s="226" t="n"/>
      <c r="H599" s="627" t="n"/>
      <c r="I599" s="627" t="n">
        <v>9607</v>
      </c>
      <c r="J599" s="223" t="inlineStr">
        <is>
          <t>អនុញ្ញាត (បានប្រកាស)</t>
        </is>
      </c>
      <c r="K599" s="628" t="n"/>
      <c r="L599" s="626">
        <f>I599</f>
        <v/>
      </c>
      <c r="M599" s="598">
        <f>I599-L599</f>
        <v/>
      </c>
      <c r="N599" s="223" t="n"/>
      <c r="O599" s="228">
        <f>U599=E599</f>
        <v/>
      </c>
      <c r="P599" s="228">
        <f>MONTH(F599)-MONTH(T599)</f>
        <v/>
      </c>
      <c r="Q599" s="228">
        <f>$B$5=X599</f>
        <v/>
      </c>
      <c r="R599" s="228">
        <f>I599-AD599</f>
        <v/>
      </c>
      <c r="S599" s="371" t="n"/>
      <c r="T599" s="372" t="n">
        <v>45805</v>
      </c>
      <c r="U599" s="371" t="inlineStr">
        <is>
          <t>INV20250542378</t>
        </is>
      </c>
      <c r="V599" s="371" t="n">
        <v>0</v>
      </c>
      <c r="W599" s="371" t="inlineStr">
        <is>
          <t>បុគ្គលជាប់អាករ</t>
        </is>
      </c>
      <c r="X599" s="371" t="inlineStr">
        <is>
          <t>L001-901640009</t>
        </is>
      </c>
      <c r="Y599" s="371" t="inlineStr">
        <is>
          <t>ហូលីដេ ឌីហ្សាញ (ខេមបូឌា) ឯ.ក</t>
        </is>
      </c>
      <c r="Z599" s="373" t="n">
        <v>105677</v>
      </c>
      <c r="AA599" s="373" t="n">
        <v>96070</v>
      </c>
      <c r="AB599" s="371" t="n">
        <v>0</v>
      </c>
      <c r="AC599" s="371" t="inlineStr">
        <is>
          <t>-</t>
        </is>
      </c>
      <c r="AD599" s="373" t="n">
        <v>9607</v>
      </c>
      <c r="AE599" s="371" t="n">
        <v>0</v>
      </c>
      <c r="AF599" s="625" t="n">
        <v>0</v>
      </c>
      <c r="AG599" s="205" t="n">
        <v>0</v>
      </c>
      <c r="AH599" s="205" t="n">
        <v>0</v>
      </c>
      <c r="AI599" s="205" t="n">
        <v>0</v>
      </c>
      <c r="AJ599" s="205" t="n">
        <v>0</v>
      </c>
      <c r="AK599" s="205" t="n">
        <v>0</v>
      </c>
      <c r="AL599" s="205" t="n">
        <v>0.01</v>
      </c>
      <c r="AM599" s="205" t="n">
        <v>0</v>
      </c>
      <c r="AN599" s="205" t="inlineStr">
        <is>
          <t>ចំណូលពីសេវាកម្ម (លើកដាក់ទំនិញ)</t>
        </is>
      </c>
    </row>
    <row r="600">
      <c r="A600" s="222">
        <f>A599+1</f>
        <v/>
      </c>
      <c r="B600" s="224" t="inlineStr">
        <is>
          <t>Storage 20&amp;40 Feet Container-Ex</t>
        </is>
      </c>
      <c r="C600" s="224" t="inlineStr">
        <is>
          <t>PHNOM PENH AUTONOMOUS PORT "PPAP"</t>
        </is>
      </c>
      <c r="D600" s="225" t="inlineStr">
        <is>
          <t>L001-100044999</t>
        </is>
      </c>
      <c r="E600" s="359" t="inlineStr">
        <is>
          <t>INV20250542377</t>
        </is>
      </c>
      <c r="F600" s="338" t="n">
        <v>45805</v>
      </c>
      <c r="G600" s="226" t="n"/>
      <c r="H600" s="627" t="n"/>
      <c r="I600" s="627" t="n">
        <v>14411</v>
      </c>
      <c r="J600" s="223" t="inlineStr">
        <is>
          <t>អនុញ្ញាត (បានប្រកាស)</t>
        </is>
      </c>
      <c r="K600" s="628" t="n"/>
      <c r="L600" s="626">
        <f>I600</f>
        <v/>
      </c>
      <c r="M600" s="598">
        <f>I600-L600</f>
        <v/>
      </c>
      <c r="N600" s="223" t="n"/>
      <c r="O600" s="228">
        <f>U600=E600</f>
        <v/>
      </c>
      <c r="P600" s="228">
        <f>MONTH(F600)-MONTH(T600)</f>
        <v/>
      </c>
      <c r="Q600" s="228">
        <f>$B$5=X600</f>
        <v/>
      </c>
      <c r="R600" s="228">
        <f>I600-AD600</f>
        <v/>
      </c>
      <c r="S600" s="371" t="n"/>
      <c r="T600" s="372" t="n">
        <v>45805</v>
      </c>
      <c r="U600" s="371" t="inlineStr">
        <is>
          <t>INV20250542377</t>
        </is>
      </c>
      <c r="V600" s="371" t="n">
        <v>0</v>
      </c>
      <c r="W600" s="371" t="inlineStr">
        <is>
          <t>បុគ្គលជាប់អាករ</t>
        </is>
      </c>
      <c r="X600" s="371" t="inlineStr">
        <is>
          <t>L001-901640009</t>
        </is>
      </c>
      <c r="Y600" s="371" t="inlineStr">
        <is>
          <t>ហូលីដេ ឌីហ្សាញ (ខេមបូឌា) ឯ.ក</t>
        </is>
      </c>
      <c r="Z600" s="373" t="n">
        <v>158521</v>
      </c>
      <c r="AA600" s="373" t="n">
        <v>144110</v>
      </c>
      <c r="AB600" s="371" t="n">
        <v>0</v>
      </c>
      <c r="AC600" s="371" t="inlineStr">
        <is>
          <t>-</t>
        </is>
      </c>
      <c r="AD600" s="373" t="n">
        <v>14411</v>
      </c>
      <c r="AE600" s="371" t="n">
        <v>0</v>
      </c>
      <c r="AF600" s="625" t="n">
        <v>0</v>
      </c>
      <c r="AG600" s="205" t="n">
        <v>0</v>
      </c>
      <c r="AH600" s="205" t="n">
        <v>0</v>
      </c>
      <c r="AI600" s="205" t="n">
        <v>0</v>
      </c>
      <c r="AJ600" s="205" t="n">
        <v>0</v>
      </c>
      <c r="AK600" s="205" t="n">
        <v>0</v>
      </c>
      <c r="AL600" s="205" t="n">
        <v>0.01</v>
      </c>
      <c r="AM600" s="205" t="n">
        <v>0</v>
      </c>
      <c r="AN600" s="205" t="inlineStr">
        <is>
          <t>ចំណូលពីសេវាកម្ម (លើកដាក់ទំនិញ)</t>
        </is>
      </c>
    </row>
    <row r="601">
      <c r="A601" s="222">
        <f>A600+1</f>
        <v/>
      </c>
      <c r="B601" s="224" t="inlineStr">
        <is>
          <t>Storage 20 Feet Container-Ex</t>
        </is>
      </c>
      <c r="C601" s="224" t="inlineStr">
        <is>
          <t>PHNOM PENH AUTONOMOUS PORT "PPAP"</t>
        </is>
      </c>
      <c r="D601" s="225" t="inlineStr">
        <is>
          <t>L001-100044999</t>
        </is>
      </c>
      <c r="E601" s="359" t="inlineStr">
        <is>
          <t>INV20250542375</t>
        </is>
      </c>
      <c r="F601" s="338" t="n">
        <v>45805</v>
      </c>
      <c r="G601" s="226" t="n"/>
      <c r="H601" s="627" t="n"/>
      <c r="I601" s="627" t="n">
        <v>1201</v>
      </c>
      <c r="J601" s="223" t="inlineStr">
        <is>
          <t>អនុញ្ញាត (បានប្រកាស)</t>
        </is>
      </c>
      <c r="K601" s="628" t="n"/>
      <c r="L601" s="626">
        <f>I601</f>
        <v/>
      </c>
      <c r="M601" s="598">
        <f>I601-L601</f>
        <v/>
      </c>
      <c r="N601" s="223" t="n"/>
      <c r="O601" s="228">
        <f>U601=E601</f>
        <v/>
      </c>
      <c r="P601" s="228">
        <f>MONTH(F601)-MONTH(T601)</f>
        <v/>
      </c>
      <c r="Q601" s="228">
        <f>$B$5=X601</f>
        <v/>
      </c>
      <c r="R601" s="228">
        <f>I601-AD601</f>
        <v/>
      </c>
      <c r="S601" s="371" t="n"/>
      <c r="T601" s="372" t="n">
        <v>45805</v>
      </c>
      <c r="U601" s="371" t="inlineStr">
        <is>
          <t>INV20250542375</t>
        </is>
      </c>
      <c r="V601" s="371" t="n">
        <v>0</v>
      </c>
      <c r="W601" s="371" t="inlineStr">
        <is>
          <t>បុគ្គលជាប់អាករ</t>
        </is>
      </c>
      <c r="X601" s="371" t="inlineStr">
        <is>
          <t>L001-901640009</t>
        </is>
      </c>
      <c r="Y601" s="371" t="inlineStr">
        <is>
          <t>ហូលីដេ ឌីហ្សាញ (ខេមបូឌា) ឯ.ក</t>
        </is>
      </c>
      <c r="Z601" s="373" t="n">
        <v>13211</v>
      </c>
      <c r="AA601" s="373" t="n">
        <v>12010</v>
      </c>
      <c r="AB601" s="371" t="n">
        <v>0</v>
      </c>
      <c r="AC601" s="371" t="inlineStr">
        <is>
          <t>-</t>
        </is>
      </c>
      <c r="AD601" s="373" t="n">
        <v>1201</v>
      </c>
      <c r="AE601" s="371" t="n">
        <v>0</v>
      </c>
      <c r="AF601" s="625" t="n">
        <v>0</v>
      </c>
      <c r="AG601" s="205" t="n">
        <v>0</v>
      </c>
      <c r="AH601" s="205" t="n">
        <v>0</v>
      </c>
      <c r="AI601" s="205" t="n">
        <v>0</v>
      </c>
      <c r="AJ601" s="205" t="n">
        <v>0</v>
      </c>
      <c r="AK601" s="205" t="n">
        <v>0</v>
      </c>
      <c r="AL601" s="205" t="n">
        <v>0.01</v>
      </c>
      <c r="AM601" s="205" t="n">
        <v>0</v>
      </c>
      <c r="AN601" s="205" t="inlineStr">
        <is>
          <t>ចំណូលពីសេវាកម្ម (លើកដាក់ទំនិញ)</t>
        </is>
      </c>
    </row>
    <row r="602">
      <c r="A602" s="222">
        <f>A601+1</f>
        <v/>
      </c>
      <c r="B602" s="224" t="inlineStr">
        <is>
          <t>Storage 40 Feet Container-Ex</t>
        </is>
      </c>
      <c r="C602" s="224" t="inlineStr">
        <is>
          <t>PHNOM PENH AUTONOMOUS PORT "PPAP"</t>
        </is>
      </c>
      <c r="D602" s="225" t="inlineStr">
        <is>
          <t>L001-100044999</t>
        </is>
      </c>
      <c r="E602" s="359" t="inlineStr">
        <is>
          <t>INV20250542374</t>
        </is>
      </c>
      <c r="F602" s="338" t="n">
        <v>45805</v>
      </c>
      <c r="G602" s="226" t="n"/>
      <c r="H602" s="627" t="n"/>
      <c r="I602" s="627" t="n">
        <v>2402</v>
      </c>
      <c r="J602" s="223" t="inlineStr">
        <is>
          <t>អនុញ្ញាត (បានប្រកាស)</t>
        </is>
      </c>
      <c r="K602" s="628" t="n"/>
      <c r="L602" s="626">
        <f>I602</f>
        <v/>
      </c>
      <c r="M602" s="598">
        <f>I602-L602</f>
        <v/>
      </c>
      <c r="N602" s="223" t="n"/>
      <c r="O602" s="228">
        <f>U602=E602</f>
        <v/>
      </c>
      <c r="P602" s="228">
        <f>MONTH(F602)-MONTH(T602)</f>
        <v/>
      </c>
      <c r="Q602" s="228">
        <f>$B$5=X602</f>
        <v/>
      </c>
      <c r="R602" s="228">
        <f>I602-AD602</f>
        <v/>
      </c>
      <c r="S602" s="371" t="n"/>
      <c r="T602" s="372" t="n">
        <v>45805</v>
      </c>
      <c r="U602" s="371" t="inlineStr">
        <is>
          <t>INV20250542374</t>
        </is>
      </c>
      <c r="V602" s="371" t="n">
        <v>0</v>
      </c>
      <c r="W602" s="371" t="inlineStr">
        <is>
          <t>បុគ្គលជាប់អាករ</t>
        </is>
      </c>
      <c r="X602" s="371" t="inlineStr">
        <is>
          <t>L001-901640009</t>
        </is>
      </c>
      <c r="Y602" s="371" t="inlineStr">
        <is>
          <t>ហូលីដេ ឌីហ្សាញ (ខេមបូឌា) ឯ.ក</t>
        </is>
      </c>
      <c r="Z602" s="373" t="n">
        <v>26422</v>
      </c>
      <c r="AA602" s="373" t="n">
        <v>24020</v>
      </c>
      <c r="AB602" s="371" t="n">
        <v>0</v>
      </c>
      <c r="AC602" s="371" t="inlineStr">
        <is>
          <t>-</t>
        </is>
      </c>
      <c r="AD602" s="373" t="n">
        <v>2402</v>
      </c>
      <c r="AE602" s="371" t="n">
        <v>0</v>
      </c>
      <c r="AF602" s="625" t="n">
        <v>0</v>
      </c>
      <c r="AG602" s="205" t="n">
        <v>0</v>
      </c>
      <c r="AH602" s="205" t="n">
        <v>0</v>
      </c>
      <c r="AI602" s="205" t="n">
        <v>0</v>
      </c>
      <c r="AJ602" s="205" t="n">
        <v>0</v>
      </c>
      <c r="AK602" s="205" t="n">
        <v>0</v>
      </c>
      <c r="AL602" s="205" t="n">
        <v>0.01</v>
      </c>
      <c r="AM602" s="205" t="n">
        <v>0</v>
      </c>
      <c r="AN602" s="205" t="inlineStr">
        <is>
          <t>ចំណូលពីសេវាកម្ម (លើកដាក់ទំនិញ)</t>
        </is>
      </c>
    </row>
    <row r="603">
      <c r="A603" s="222">
        <f>A602+1</f>
        <v/>
      </c>
      <c r="B603" s="224" t="inlineStr">
        <is>
          <t>Storage 40 Feet Container-Ex</t>
        </is>
      </c>
      <c r="C603" s="224" t="inlineStr">
        <is>
          <t>PHNOM PENH AUTONOMOUS PORT "PPAP"</t>
        </is>
      </c>
      <c r="D603" s="225" t="inlineStr">
        <is>
          <t>L001-100044999</t>
        </is>
      </c>
      <c r="E603" s="359" t="inlineStr">
        <is>
          <t>INV20250542372</t>
        </is>
      </c>
      <c r="F603" s="338" t="n">
        <v>45805</v>
      </c>
      <c r="G603" s="226" t="n"/>
      <c r="H603" s="627" t="n"/>
      <c r="I603" s="627" t="n">
        <v>2402</v>
      </c>
      <c r="J603" s="223" t="inlineStr">
        <is>
          <t>អនុញ្ញាត (បានប្រកាស)</t>
        </is>
      </c>
      <c r="K603" s="628" t="n"/>
      <c r="L603" s="626">
        <f>I603</f>
        <v/>
      </c>
      <c r="M603" s="598">
        <f>I603-L603</f>
        <v/>
      </c>
      <c r="N603" s="223" t="n"/>
      <c r="O603" s="228">
        <f>U603=E603</f>
        <v/>
      </c>
      <c r="P603" s="228">
        <f>MONTH(F603)-MONTH(T603)</f>
        <v/>
      </c>
      <c r="Q603" s="228">
        <f>$B$5=X603</f>
        <v/>
      </c>
      <c r="R603" s="228">
        <f>I603-AD603</f>
        <v/>
      </c>
      <c r="S603" s="371" t="n"/>
      <c r="T603" s="372" t="n">
        <v>45805</v>
      </c>
      <c r="U603" s="371" t="inlineStr">
        <is>
          <t>INV20250542372</t>
        </is>
      </c>
      <c r="V603" s="371" t="n">
        <v>0</v>
      </c>
      <c r="W603" s="371" t="inlineStr">
        <is>
          <t>បុគ្គលជាប់អាករ</t>
        </is>
      </c>
      <c r="X603" s="371" t="inlineStr">
        <is>
          <t>L001-901640009</t>
        </is>
      </c>
      <c r="Y603" s="371" t="inlineStr">
        <is>
          <t>ហូលីដេ ឌីហ្សាញ (ខេមបូឌា) ឯ.ក</t>
        </is>
      </c>
      <c r="Z603" s="373" t="n">
        <v>26422</v>
      </c>
      <c r="AA603" s="373" t="n">
        <v>24020</v>
      </c>
      <c r="AB603" s="371" t="n">
        <v>0</v>
      </c>
      <c r="AC603" s="371" t="inlineStr">
        <is>
          <t>-</t>
        </is>
      </c>
      <c r="AD603" s="373" t="n">
        <v>2402</v>
      </c>
      <c r="AE603" s="371" t="n">
        <v>0</v>
      </c>
      <c r="AF603" s="625" t="n">
        <v>0</v>
      </c>
      <c r="AG603" s="205" t="n">
        <v>0</v>
      </c>
      <c r="AH603" s="205" t="n">
        <v>0</v>
      </c>
      <c r="AI603" s="205" t="n">
        <v>0</v>
      </c>
      <c r="AJ603" s="205" t="n">
        <v>0</v>
      </c>
      <c r="AK603" s="205" t="n">
        <v>0</v>
      </c>
      <c r="AL603" s="205" t="n">
        <v>0.01</v>
      </c>
      <c r="AM603" s="205" t="n">
        <v>0</v>
      </c>
      <c r="AN603" s="205" t="inlineStr">
        <is>
          <t>ចំណូលពីសេវាកម្ម (លើកដាក់ទំនិញ)</t>
        </is>
      </c>
    </row>
    <row r="604">
      <c r="A604" s="222">
        <f>A603+1</f>
        <v/>
      </c>
      <c r="B604" s="224" t="inlineStr">
        <is>
          <t>Storage 40 Feet Container-Ex</t>
        </is>
      </c>
      <c r="C604" s="224" t="inlineStr">
        <is>
          <t>PHNOM PENH AUTONOMOUS PORT "PPAP"</t>
        </is>
      </c>
      <c r="D604" s="225" t="inlineStr">
        <is>
          <t>L001-100044999</t>
        </is>
      </c>
      <c r="E604" s="359" t="inlineStr">
        <is>
          <t>INV20250542371</t>
        </is>
      </c>
      <c r="F604" s="338" t="n">
        <v>45805</v>
      </c>
      <c r="G604" s="226" t="n"/>
      <c r="H604" s="627" t="n"/>
      <c r="I604" s="627" t="n">
        <v>2402</v>
      </c>
      <c r="J604" s="223" t="inlineStr">
        <is>
          <t>អនុញ្ញាត (បានប្រកាស)</t>
        </is>
      </c>
      <c r="K604" s="628" t="n"/>
      <c r="L604" s="626">
        <f>I604</f>
        <v/>
      </c>
      <c r="M604" s="598">
        <f>I604-L604</f>
        <v/>
      </c>
      <c r="N604" s="223" t="n"/>
      <c r="O604" s="228">
        <f>U604=E604</f>
        <v/>
      </c>
      <c r="P604" s="228">
        <f>MONTH(F604)-MONTH(T604)</f>
        <v/>
      </c>
      <c r="Q604" s="228">
        <f>$B$5=X604</f>
        <v/>
      </c>
      <c r="R604" s="228">
        <f>I604-AD604</f>
        <v/>
      </c>
      <c r="S604" s="371" t="n"/>
      <c r="T604" s="372" t="n">
        <v>45805</v>
      </c>
      <c r="U604" s="371" t="inlineStr">
        <is>
          <t>INV20250542371</t>
        </is>
      </c>
      <c r="V604" s="371" t="n">
        <v>0</v>
      </c>
      <c r="W604" s="371" t="inlineStr">
        <is>
          <t>បុគ្គលជាប់អាករ</t>
        </is>
      </c>
      <c r="X604" s="371" t="inlineStr">
        <is>
          <t>L001-901640009</t>
        </is>
      </c>
      <c r="Y604" s="371" t="inlineStr">
        <is>
          <t>ហូលីដេ ឌីហ្សាញ (ខេមបូឌា) ឯ.ក</t>
        </is>
      </c>
      <c r="Z604" s="373" t="n">
        <v>26422</v>
      </c>
      <c r="AA604" s="373" t="n">
        <v>24020</v>
      </c>
      <c r="AB604" s="371" t="n">
        <v>0</v>
      </c>
      <c r="AC604" s="371" t="inlineStr">
        <is>
          <t>-</t>
        </is>
      </c>
      <c r="AD604" s="373" t="n">
        <v>2402</v>
      </c>
      <c r="AE604" s="371" t="n">
        <v>0</v>
      </c>
      <c r="AF604" s="625" t="n">
        <v>0</v>
      </c>
      <c r="AG604" s="205" t="n">
        <v>0</v>
      </c>
      <c r="AH604" s="205" t="n">
        <v>0</v>
      </c>
      <c r="AI604" s="205" t="n">
        <v>0</v>
      </c>
      <c r="AJ604" s="205" t="n">
        <v>0</v>
      </c>
      <c r="AK604" s="205" t="n">
        <v>0</v>
      </c>
      <c r="AL604" s="205" t="n">
        <v>0.01</v>
      </c>
      <c r="AM604" s="205" t="n">
        <v>0</v>
      </c>
      <c r="AN604" s="205" t="inlineStr">
        <is>
          <t>ចំណូលពីសេវាកម្ម (លើកដាក់ទំនិញ)</t>
        </is>
      </c>
    </row>
    <row r="605">
      <c r="A605" s="222">
        <f>A604+1</f>
        <v/>
      </c>
      <c r="B605" s="224" t="inlineStr">
        <is>
          <t>Non Apply C/O Fee</t>
        </is>
      </c>
      <c r="C605" s="224" t="inlineStr">
        <is>
          <t>BRILLIANT TRANSPORT AND TRADING Co., Ltd.</t>
        </is>
      </c>
      <c r="D605" s="225" t="inlineStr">
        <is>
          <t>K002-100089305</t>
        </is>
      </c>
      <c r="E605" s="359" t="inlineStr">
        <is>
          <t>BTT25-0001166</t>
        </is>
      </c>
      <c r="F605" s="338" t="n">
        <v>45779</v>
      </c>
      <c r="G605" s="226" t="n"/>
      <c r="H605" s="627" t="n"/>
      <c r="I605" s="627" t="n">
        <v>1730865</v>
      </c>
      <c r="J605" s="223" t="inlineStr">
        <is>
          <t>អនុញ្ញាត (បានប្រកាស)</t>
        </is>
      </c>
      <c r="K605" s="628" t="n"/>
      <c r="L605" s="626">
        <f>I605</f>
        <v/>
      </c>
      <c r="M605" s="598">
        <f>I605-L605</f>
        <v/>
      </c>
      <c r="N605" s="223" t="n"/>
      <c r="O605" s="228">
        <f>U605=E605</f>
        <v/>
      </c>
      <c r="P605" s="228">
        <f>MONTH(F605)-MONTH(T605)</f>
        <v/>
      </c>
      <c r="Q605" s="228">
        <f>$B$5=X605</f>
        <v/>
      </c>
      <c r="R605" s="228">
        <f>I605-AD605</f>
        <v/>
      </c>
      <c r="S605" s="371" t="n"/>
      <c r="T605" s="372" t="n">
        <v>45779</v>
      </c>
      <c r="U605" s="371" t="inlineStr">
        <is>
          <t>BTT25-0001166</t>
        </is>
      </c>
      <c r="V605" s="371" t="n"/>
      <c r="W605" s="371" t="n"/>
      <c r="X605" s="371" t="n"/>
      <c r="Y605" s="371" t="inlineStr">
        <is>
          <t>ហូលីដេ ឌីហ្សាញ (ខេមបូឌា) ឯ.ក</t>
        </is>
      </c>
      <c r="Z605" s="373" t="n"/>
      <c r="AA605" s="373" t="n"/>
      <c r="AB605" s="371" t="n"/>
      <c r="AC605" s="371" t="n"/>
      <c r="AD605" s="373" t="n">
        <v>1730865</v>
      </c>
      <c r="AE605" s="371" t="n"/>
      <c r="AF605" s="625" t="n"/>
      <c r="AN605" s="205" t="inlineStr">
        <is>
          <t>Truking / Service</t>
        </is>
      </c>
    </row>
    <row r="606">
      <c r="A606" s="222">
        <f>A605+1</f>
        <v/>
      </c>
      <c r="B606" s="224" t="inlineStr">
        <is>
          <t>Trucking &amp; Clearance-Ex</t>
        </is>
      </c>
      <c r="C606" s="224" t="inlineStr">
        <is>
          <t>BRILLIANT TRANSPORT AND TRADING Co., Ltd.</t>
        </is>
      </c>
      <c r="D606" s="225" t="inlineStr">
        <is>
          <t>K002-100089305</t>
        </is>
      </c>
      <c r="E606" s="359" t="inlineStr">
        <is>
          <t>BTT25-0001164</t>
        </is>
      </c>
      <c r="F606" s="338" t="n">
        <v>45806</v>
      </c>
      <c r="G606" s="226" t="n"/>
      <c r="H606" s="627" t="n"/>
      <c r="I606" s="627" t="n">
        <v>203403</v>
      </c>
      <c r="J606" s="223" t="inlineStr">
        <is>
          <t>អនុញ្ញាត (បានប្រកាស)</t>
        </is>
      </c>
      <c r="K606" s="628" t="n"/>
      <c r="L606" s="626">
        <f>I606</f>
        <v/>
      </c>
      <c r="M606" s="598">
        <f>I606-L606</f>
        <v/>
      </c>
      <c r="N606" s="223" t="n"/>
      <c r="O606" s="228">
        <f>U606=E606</f>
        <v/>
      </c>
      <c r="P606" s="228">
        <f>MONTH(F606)-MONTH(T606)</f>
        <v/>
      </c>
      <c r="Q606" s="228">
        <f>$B$5=X606</f>
        <v/>
      </c>
      <c r="R606" s="228">
        <f>I606-AD606</f>
        <v/>
      </c>
      <c r="S606" s="371" t="n"/>
      <c r="T606" s="372" t="n">
        <v>45806</v>
      </c>
      <c r="U606" s="371" t="inlineStr">
        <is>
          <t>BTT25-0001164</t>
        </is>
      </c>
      <c r="V606" s="371" t="n"/>
      <c r="W606" s="371" t="n"/>
      <c r="X606" s="371" t="n"/>
      <c r="Y606" s="371" t="inlineStr">
        <is>
          <t>ហូលីដេ ឌីហ្សាញ (ខេមបូឌា) ឯ.ក</t>
        </is>
      </c>
      <c r="Z606" s="373" t="n"/>
      <c r="AA606" s="373" t="n"/>
      <c r="AB606" s="371" t="n"/>
      <c r="AC606" s="371" t="n"/>
      <c r="AD606" s="373" t="n">
        <v>203403</v>
      </c>
      <c r="AE606" s="371" t="n"/>
      <c r="AF606" s="625" t="n"/>
      <c r="AN606" s="205" t="inlineStr">
        <is>
          <t>Truking / Service</t>
        </is>
      </c>
    </row>
    <row r="607">
      <c r="A607" s="222">
        <f>A606+1</f>
        <v/>
      </c>
      <c r="B607" s="224" t="inlineStr">
        <is>
          <t>Trucking &amp; Clearance-Ex</t>
        </is>
      </c>
      <c r="C607" s="224" t="inlineStr">
        <is>
          <t>BRILLIANT TRANSPORT AND TRADING Co., Ltd.</t>
        </is>
      </c>
      <c r="D607" s="225" t="inlineStr">
        <is>
          <t>K002-100089305</t>
        </is>
      </c>
      <c r="E607" s="359" t="inlineStr">
        <is>
          <t>BTT25-0001163</t>
        </is>
      </c>
      <c r="F607" s="338" t="n">
        <v>45807</v>
      </c>
      <c r="G607" s="226" t="n"/>
      <c r="H607" s="627" t="n"/>
      <c r="I607" s="627" t="n">
        <v>191039</v>
      </c>
      <c r="J607" s="223" t="inlineStr">
        <is>
          <t>អនុញ្ញាត (បានប្រកាស)</t>
        </is>
      </c>
      <c r="K607" s="628">
        <f>L607</f>
        <v/>
      </c>
      <c r="L607" s="626">
        <f>I607</f>
        <v/>
      </c>
      <c r="M607" s="598">
        <f>I607-L607</f>
        <v/>
      </c>
      <c r="N607" s="223" t="n"/>
      <c r="O607" s="228">
        <f>U607=E607</f>
        <v/>
      </c>
      <c r="P607" s="228">
        <f>MONTH(F607)-MONTH(T607)</f>
        <v/>
      </c>
      <c r="Q607" s="228">
        <f>$B$5=X607</f>
        <v/>
      </c>
      <c r="R607" s="228">
        <f>I607-AD607</f>
        <v/>
      </c>
      <c r="S607" s="371" t="n"/>
      <c r="T607" s="372" t="n">
        <v>45807</v>
      </c>
      <c r="U607" s="371" t="inlineStr">
        <is>
          <t>BTT25-0001163</t>
        </is>
      </c>
      <c r="V607" s="371" t="n"/>
      <c r="W607" s="371" t="n"/>
      <c r="X607" s="371" t="n"/>
      <c r="Y607" s="371" t="inlineStr">
        <is>
          <t>ហូលីដេ ឌីហ្សាញ (ខេមបូឌា) ឯ.ក</t>
        </is>
      </c>
      <c r="Z607" s="373" t="n"/>
      <c r="AA607" s="373" t="n"/>
      <c r="AB607" s="371" t="n"/>
      <c r="AC607" s="371" t="n"/>
      <c r="AD607" s="373" t="n">
        <v>191039</v>
      </c>
      <c r="AE607" s="371" t="n"/>
      <c r="AF607" s="625" t="n"/>
      <c r="AN607" s="205" t="inlineStr">
        <is>
          <t>Truking / Service</t>
        </is>
      </c>
    </row>
    <row r="608">
      <c r="A608" s="222">
        <f>A607+1</f>
        <v/>
      </c>
      <c r="B608" s="224" t="inlineStr">
        <is>
          <t>Trucking &amp; Clearance-Ex</t>
        </is>
      </c>
      <c r="C608" s="224" t="inlineStr">
        <is>
          <t>BRILLIANT TRANSPORT AND TRADING Co., Ltd.</t>
        </is>
      </c>
      <c r="D608" s="225" t="inlineStr">
        <is>
          <t>K002-100089305</t>
        </is>
      </c>
      <c r="E608" s="359" t="inlineStr">
        <is>
          <t>BTT25-0001162</t>
        </is>
      </c>
      <c r="F608" s="338" t="n">
        <v>45806</v>
      </c>
      <c r="G608" s="226" t="n"/>
      <c r="H608" s="627" t="n"/>
      <c r="I608" s="627" t="n">
        <v>406806</v>
      </c>
      <c r="J608" s="223" t="inlineStr">
        <is>
          <t>អនុញ្ញាត (បានប្រកាស)</t>
        </is>
      </c>
      <c r="K608" s="628" t="n"/>
      <c r="L608" s="626">
        <f>I608</f>
        <v/>
      </c>
      <c r="M608" s="598">
        <f>I608-L608</f>
        <v/>
      </c>
      <c r="N608" s="223" t="n"/>
      <c r="O608" s="228">
        <f>U608=E608</f>
        <v/>
      </c>
      <c r="P608" s="228">
        <f>MONTH(F608)-MONTH(T608)</f>
        <v/>
      </c>
      <c r="Q608" s="228">
        <f>$B$5=X608</f>
        <v/>
      </c>
      <c r="R608" s="228">
        <f>I608-AD608</f>
        <v/>
      </c>
      <c r="S608" s="371" t="n"/>
      <c r="T608" s="372" t="n">
        <v>45806</v>
      </c>
      <c r="U608" s="371" t="inlineStr">
        <is>
          <t>BTT25-0001162</t>
        </is>
      </c>
      <c r="V608" s="371" t="n"/>
      <c r="W608" s="371" t="n"/>
      <c r="X608" s="371" t="n"/>
      <c r="Y608" s="371" t="inlineStr">
        <is>
          <t>ហូលីដេ ឌីហ្សាញ (ខេមបូឌា) ឯ.ក</t>
        </is>
      </c>
      <c r="Z608" s="373" t="n"/>
      <c r="AA608" s="373" t="n"/>
      <c r="AB608" s="371" t="n"/>
      <c r="AC608" s="371" t="n"/>
      <c r="AD608" s="373" t="n">
        <v>406806</v>
      </c>
      <c r="AE608" s="371" t="n"/>
      <c r="AF608" s="625" t="n"/>
      <c r="AN608" s="205" t="inlineStr">
        <is>
          <t>Truking / Service</t>
        </is>
      </c>
    </row>
    <row r="609">
      <c r="A609" s="222">
        <f>A608+1</f>
        <v/>
      </c>
      <c r="B609" s="224" t="inlineStr">
        <is>
          <t>Trucking &amp; Clearance-Ex</t>
        </is>
      </c>
      <c r="C609" s="224" t="inlineStr">
        <is>
          <t>BRILLIANT TRANSPORT AND TRADING Co., Ltd.</t>
        </is>
      </c>
      <c r="D609" s="225" t="inlineStr">
        <is>
          <t>K002-100089305</t>
        </is>
      </c>
      <c r="E609" s="359" t="inlineStr">
        <is>
          <t>BTT25-0001161</t>
        </is>
      </c>
      <c r="F609" s="338" t="n">
        <v>45806</v>
      </c>
      <c r="G609" s="226" t="n"/>
      <c r="H609" s="627" t="n"/>
      <c r="I609" s="627" t="n">
        <v>406806</v>
      </c>
      <c r="J609" s="223" t="inlineStr">
        <is>
          <t>អនុញ្ញាត (បានប្រកាស)</t>
        </is>
      </c>
      <c r="K609" s="628">
        <f>L609</f>
        <v/>
      </c>
      <c r="L609" s="626">
        <f>I609</f>
        <v/>
      </c>
      <c r="M609" s="598">
        <f>I609-L609</f>
        <v/>
      </c>
      <c r="N609" s="223" t="n"/>
      <c r="O609" s="228">
        <f>U609=E609</f>
        <v/>
      </c>
      <c r="P609" s="228">
        <f>MONTH(F609)-MONTH(T609)</f>
        <v/>
      </c>
      <c r="Q609" s="228">
        <f>$B$5=X609</f>
        <v/>
      </c>
      <c r="R609" s="228">
        <f>I609-AD609</f>
        <v/>
      </c>
      <c r="S609" s="371" t="n"/>
      <c r="T609" s="372" t="n">
        <v>45806</v>
      </c>
      <c r="U609" s="371" t="inlineStr">
        <is>
          <t>BTT25-0001161</t>
        </is>
      </c>
      <c r="V609" s="371" t="n"/>
      <c r="W609" s="371" t="n"/>
      <c r="X609" s="371" t="n"/>
      <c r="Y609" s="371" t="inlineStr">
        <is>
          <t>ហូលីដេ ឌីហ្សាញ (ខេមបូឌា) ឯ.ក</t>
        </is>
      </c>
      <c r="Z609" s="373" t="n"/>
      <c r="AA609" s="373" t="n"/>
      <c r="AB609" s="371" t="n"/>
      <c r="AC609" s="371" t="n"/>
      <c r="AD609" s="373" t="n">
        <v>406806</v>
      </c>
      <c r="AE609" s="371" t="n"/>
      <c r="AF609" s="625" t="n"/>
      <c r="AN609" s="205" t="inlineStr">
        <is>
          <t>Truking / Service</t>
        </is>
      </c>
    </row>
    <row r="610">
      <c r="A610" s="222">
        <f>A609+1</f>
        <v/>
      </c>
      <c r="B610" s="224" t="inlineStr">
        <is>
          <t>Trucking &amp; Clearance-Ex</t>
        </is>
      </c>
      <c r="C610" s="224" t="inlineStr">
        <is>
          <t>BRILLIANT TRANSPORT AND TRADING Co., Ltd.</t>
        </is>
      </c>
      <c r="D610" s="225" t="inlineStr">
        <is>
          <t>K002-100089305</t>
        </is>
      </c>
      <c r="E610" s="359" t="inlineStr">
        <is>
          <t>BTT25-0001160</t>
        </is>
      </c>
      <c r="F610" s="338" t="n">
        <v>45806</v>
      </c>
      <c r="G610" s="226" t="n"/>
      <c r="H610" s="627" t="n"/>
      <c r="I610" s="627" t="n">
        <v>203403</v>
      </c>
      <c r="J610" s="223" t="inlineStr">
        <is>
          <t>អនុញ្ញាត (បានប្រកាស)</t>
        </is>
      </c>
      <c r="K610" s="628" t="n"/>
      <c r="L610" s="626">
        <f>I610</f>
        <v/>
      </c>
      <c r="M610" s="598">
        <f>I610-L610</f>
        <v/>
      </c>
      <c r="N610" s="223" t="n"/>
      <c r="O610" s="228">
        <f>U610=E610</f>
        <v/>
      </c>
      <c r="P610" s="228">
        <f>MONTH(F610)-MONTH(T610)</f>
        <v/>
      </c>
      <c r="Q610" s="228">
        <f>$B$5=X610</f>
        <v/>
      </c>
      <c r="R610" s="228">
        <f>I610-AD610</f>
        <v/>
      </c>
      <c r="S610" s="371" t="n"/>
      <c r="T610" s="372" t="n">
        <v>45806</v>
      </c>
      <c r="U610" s="371" t="inlineStr">
        <is>
          <t>BTT25-0001160</t>
        </is>
      </c>
      <c r="V610" s="371" t="n"/>
      <c r="W610" s="371" t="n"/>
      <c r="X610" s="371" t="n"/>
      <c r="Y610" s="371" t="inlineStr">
        <is>
          <t>ហូលីដេ ឌីហ្សាញ (ខេមបូឌា) ឯ.ក</t>
        </is>
      </c>
      <c r="Z610" s="373" t="n"/>
      <c r="AA610" s="373" t="n"/>
      <c r="AB610" s="371" t="n"/>
      <c r="AC610" s="371" t="n"/>
      <c r="AD610" s="373" t="n">
        <v>203403</v>
      </c>
      <c r="AE610" s="371" t="n"/>
      <c r="AF610" s="625" t="n"/>
      <c r="AN610" s="205" t="inlineStr">
        <is>
          <t>Truking / Service</t>
        </is>
      </c>
    </row>
    <row r="611">
      <c r="A611" s="222">
        <f>A610+1</f>
        <v/>
      </c>
      <c r="B611" s="224" t="inlineStr">
        <is>
          <t>Trucking &amp; Clearance-Ex</t>
        </is>
      </c>
      <c r="C611" s="224" t="inlineStr">
        <is>
          <t>BRILLIANT TRANSPORT AND TRADING Co., Ltd.</t>
        </is>
      </c>
      <c r="D611" s="225" t="inlineStr">
        <is>
          <t>K002-100089305</t>
        </is>
      </c>
      <c r="E611" s="359" t="inlineStr">
        <is>
          <t>BTT25-0001117</t>
        </is>
      </c>
      <c r="F611" s="338" t="n">
        <v>45800</v>
      </c>
      <c r="G611" s="226" t="n"/>
      <c r="H611" s="627" t="n"/>
      <c r="I611" s="627" t="n">
        <v>813410</v>
      </c>
      <c r="J611" s="223" t="inlineStr">
        <is>
          <t>អនុញ្ញាត (បានប្រកាស)</t>
        </is>
      </c>
      <c r="K611" s="628">
        <f>L611</f>
        <v/>
      </c>
      <c r="L611" s="626">
        <f>I611</f>
        <v/>
      </c>
      <c r="M611" s="598">
        <f>I611-L611</f>
        <v/>
      </c>
      <c r="N611" s="223" t="n"/>
      <c r="O611" s="228">
        <f>U611=E611</f>
        <v/>
      </c>
      <c r="P611" s="228">
        <f>MONTH(F611)-MONTH(T611)</f>
        <v/>
      </c>
      <c r="Q611" s="228">
        <f>$B$5=X611</f>
        <v/>
      </c>
      <c r="R611" s="228">
        <f>I611-AD611</f>
        <v/>
      </c>
      <c r="S611" s="371" t="n"/>
      <c r="T611" s="372" t="n">
        <v>45800</v>
      </c>
      <c r="U611" s="371" t="inlineStr">
        <is>
          <t>BTT25-0001117</t>
        </is>
      </c>
      <c r="V611" s="371" t="n"/>
      <c r="W611" s="371" t="n"/>
      <c r="X611" s="371" t="n"/>
      <c r="Y611" s="371" t="inlineStr">
        <is>
          <t>ហូលីដេ ឌីហ្សាញ (ខេមបូឌា) ឯ.ក</t>
        </is>
      </c>
      <c r="Z611" s="373" t="n"/>
      <c r="AA611" s="373" t="n"/>
      <c r="AB611" s="371" t="n"/>
      <c r="AC611" s="371" t="n"/>
      <c r="AD611" s="373" t="n">
        <v>813410</v>
      </c>
      <c r="AE611" s="371" t="n"/>
      <c r="AF611" s="625" t="n"/>
      <c r="AN611" s="205" t="inlineStr">
        <is>
          <t>Truking / Service</t>
        </is>
      </c>
    </row>
    <row r="612">
      <c r="A612" s="222">
        <f>A611+1</f>
        <v/>
      </c>
      <c r="B612" s="224" t="inlineStr">
        <is>
          <t>Lift-Off-Ex</t>
        </is>
      </c>
      <c r="C612" s="224" t="inlineStr">
        <is>
          <t>PHNOM PENH AUTONOMOUS PORT "PPAP"</t>
        </is>
      </c>
      <c r="D612" s="225" t="inlineStr">
        <is>
          <t>L001-100044999</t>
        </is>
      </c>
      <c r="E612" s="359" t="inlineStr">
        <is>
          <t>INV20250539563</t>
        </is>
      </c>
      <c r="F612" s="338" t="n">
        <v>45797</v>
      </c>
      <c r="G612" s="226" t="n"/>
      <c r="H612" s="627" t="n"/>
      <c r="I612" s="627" t="n">
        <v>28021</v>
      </c>
      <c r="J612" s="223" t="inlineStr">
        <is>
          <t>អនុញ្ញាត (បានប្រកាស)</t>
        </is>
      </c>
      <c r="K612" s="628">
        <f>L612</f>
        <v/>
      </c>
      <c r="L612" s="626">
        <f>AD612</f>
        <v/>
      </c>
      <c r="M612" s="598">
        <f>I612-L612</f>
        <v/>
      </c>
      <c r="N612" s="223" t="n"/>
      <c r="O612" s="228">
        <f>U612=E612</f>
        <v/>
      </c>
      <c r="P612" s="228">
        <f>MONTH(F612)-MONTH(T612)</f>
        <v/>
      </c>
      <c r="Q612" s="228">
        <f>$B$5=X612</f>
        <v/>
      </c>
      <c r="R612" s="228">
        <f>I612-AD612</f>
        <v/>
      </c>
      <c r="S612" s="371" t="n"/>
      <c r="T612" s="372" t="n">
        <v>45797</v>
      </c>
      <c r="U612" s="371" t="inlineStr">
        <is>
          <t>INV20250539563</t>
        </is>
      </c>
      <c r="V612" s="371" t="n">
        <v>0</v>
      </c>
      <c r="W612" s="371" t="inlineStr">
        <is>
          <t>បុគ្គលជាប់អាករ</t>
        </is>
      </c>
      <c r="X612" s="371" t="inlineStr">
        <is>
          <t>L001-901640009</t>
        </is>
      </c>
      <c r="Y612" s="371" t="inlineStr">
        <is>
          <t>ហូលីដេ ឌីហ្សាញ (ខេមបូឌា) ឯ.ក</t>
        </is>
      </c>
      <c r="Z612" s="373" t="n">
        <v>308154</v>
      </c>
      <c r="AA612" s="373" t="n">
        <v>280140</v>
      </c>
      <c r="AB612" s="371" t="n">
        <v>0</v>
      </c>
      <c r="AC612" s="371" t="inlineStr">
        <is>
          <t>-</t>
        </is>
      </c>
      <c r="AD612" s="373" t="n">
        <v>28014</v>
      </c>
      <c r="AE612" s="371" t="n">
        <v>0</v>
      </c>
      <c r="AF612" s="625" t="n">
        <v>0</v>
      </c>
      <c r="AG612" s="205" t="n">
        <v>0</v>
      </c>
      <c r="AH612" s="205" t="n">
        <v>0</v>
      </c>
      <c r="AI612" s="205" t="n">
        <v>0</v>
      </c>
      <c r="AJ612" s="205" t="n">
        <v>0</v>
      </c>
      <c r="AK612" s="205" t="n">
        <v>0</v>
      </c>
      <c r="AL612" s="205" t="n">
        <v>0.01</v>
      </c>
      <c r="AM612" s="205" t="n">
        <v>0</v>
      </c>
      <c r="AN612" s="205" t="inlineStr">
        <is>
          <t>ចំណូលពីសេវាកម្ម (លើកដាក់ទំនិញ)</t>
        </is>
      </c>
    </row>
    <row r="613">
      <c r="A613" s="222">
        <f>A612+1</f>
        <v/>
      </c>
      <c r="B613" s="224" t="inlineStr">
        <is>
          <t>Lift-Off-Ex</t>
        </is>
      </c>
      <c r="C613" s="224" t="inlineStr">
        <is>
          <t>PHNOM PENH AUTONOMOUS PORT "PPAP"</t>
        </is>
      </c>
      <c r="D613" s="225" t="inlineStr">
        <is>
          <t>L001-100044999</t>
        </is>
      </c>
      <c r="E613" s="359" t="inlineStr">
        <is>
          <t>INV20250539554</t>
        </is>
      </c>
      <c r="F613" s="338" t="n">
        <v>45797</v>
      </c>
      <c r="G613" s="226" t="n"/>
      <c r="H613" s="627" t="n"/>
      <c r="I613" s="627" t="n">
        <v>28021</v>
      </c>
      <c r="J613" s="223" t="inlineStr">
        <is>
          <t>អនុញ្ញាត (បានប្រកាស)</t>
        </is>
      </c>
      <c r="K613" s="628">
        <f>L613</f>
        <v/>
      </c>
      <c r="L613" s="626">
        <f>AD613</f>
        <v/>
      </c>
      <c r="M613" s="598">
        <f>I613-L613</f>
        <v/>
      </c>
      <c r="N613" s="223" t="n"/>
      <c r="O613" s="228">
        <f>U613=E613</f>
        <v/>
      </c>
      <c r="P613" s="228">
        <f>MONTH(F613)-MONTH(T613)</f>
        <v/>
      </c>
      <c r="Q613" s="228">
        <f>$B$5=X613</f>
        <v/>
      </c>
      <c r="R613" s="228">
        <f>I613-AD613</f>
        <v/>
      </c>
      <c r="S613" s="371" t="n"/>
      <c r="T613" s="372" t="n">
        <v>45797</v>
      </c>
      <c r="U613" s="371" t="inlineStr">
        <is>
          <t>INV20250539554</t>
        </is>
      </c>
      <c r="V613" s="371" t="n">
        <v>0</v>
      </c>
      <c r="W613" s="371" t="inlineStr">
        <is>
          <t>បុគ្គលជាប់អាករ</t>
        </is>
      </c>
      <c r="X613" s="371" t="inlineStr">
        <is>
          <t>L001-901640009</t>
        </is>
      </c>
      <c r="Y613" s="371" t="inlineStr">
        <is>
          <t>ហូលីដេ ឌីហ្សាញ (ខេមបូឌា) ឯ.ក</t>
        </is>
      </c>
      <c r="Z613" s="373" t="n">
        <v>308154</v>
      </c>
      <c r="AA613" s="373" t="n">
        <v>280140</v>
      </c>
      <c r="AB613" s="371" t="n">
        <v>0</v>
      </c>
      <c r="AC613" s="371" t="inlineStr">
        <is>
          <t>-</t>
        </is>
      </c>
      <c r="AD613" s="373" t="n">
        <v>28014</v>
      </c>
      <c r="AE613" s="371" t="n">
        <v>0</v>
      </c>
      <c r="AF613" s="625" t="n">
        <v>0</v>
      </c>
      <c r="AG613" s="205" t="n">
        <v>0</v>
      </c>
      <c r="AH613" s="205" t="n">
        <v>0</v>
      </c>
      <c r="AI613" s="205" t="n">
        <v>0</v>
      </c>
      <c r="AJ613" s="205" t="n">
        <v>0</v>
      </c>
      <c r="AK613" s="205" t="n">
        <v>0</v>
      </c>
      <c r="AL613" s="205" t="n">
        <v>0.01</v>
      </c>
      <c r="AM613" s="205" t="n">
        <v>0</v>
      </c>
      <c r="AN613" s="205" t="inlineStr">
        <is>
          <t>ចំណូលពីសេវាកម្ម (លើកដាក់ទំនិញ)</t>
        </is>
      </c>
    </row>
    <row r="614">
      <c r="A614" s="222">
        <f>A613+1</f>
        <v/>
      </c>
      <c r="B614" s="224" t="inlineStr">
        <is>
          <t>Trucking &amp; Clearance-Ex</t>
        </is>
      </c>
      <c r="C614" s="224" t="inlineStr">
        <is>
          <t>BRILLIANT TRANSPORT AND TRADING Co., Ltd.</t>
        </is>
      </c>
      <c r="D614" s="225" t="inlineStr">
        <is>
          <t>K002-100089305</t>
        </is>
      </c>
      <c r="E614" s="359" t="inlineStr">
        <is>
          <t>BTT25-0001032</t>
        </is>
      </c>
      <c r="F614" s="338" t="n">
        <v>45793</v>
      </c>
      <c r="G614" s="226" t="n"/>
      <c r="H614" s="627" t="n"/>
      <c r="I614" s="627" t="n">
        <v>203302</v>
      </c>
      <c r="J614" s="223" t="inlineStr">
        <is>
          <t>អនុញ្ញាត (បានប្រកាស)</t>
        </is>
      </c>
      <c r="K614" s="628" t="n"/>
      <c r="L614" s="626">
        <f>I614</f>
        <v/>
      </c>
      <c r="M614" s="598">
        <f>I614-L614</f>
        <v/>
      </c>
      <c r="N614" s="223" t="n"/>
      <c r="O614" s="228">
        <f>U614=E614</f>
        <v/>
      </c>
      <c r="P614" s="228">
        <f>MONTH(F614)-MONTH(T614)</f>
        <v/>
      </c>
      <c r="Q614" s="228">
        <f>$B$5=X614</f>
        <v/>
      </c>
      <c r="R614" s="228">
        <f>I614-AD614</f>
        <v/>
      </c>
      <c r="S614" s="371" t="n"/>
      <c r="T614" s="372" t="n">
        <v>45793</v>
      </c>
      <c r="U614" s="371" t="inlineStr">
        <is>
          <t>BTT25-0001032</t>
        </is>
      </c>
      <c r="V614" s="371" t="n"/>
      <c r="W614" s="371" t="n"/>
      <c r="X614" s="371" t="n"/>
      <c r="Y614" s="371" t="inlineStr">
        <is>
          <t>ហូលីដេ ឌីហ្សាញ (ខេមបូឌា) ឯ.ក</t>
        </is>
      </c>
      <c r="Z614" s="373" t="n"/>
      <c r="AA614" s="373" t="n"/>
      <c r="AB614" s="371" t="n"/>
      <c r="AC614" s="371" t="n"/>
      <c r="AD614" s="373" t="n">
        <v>203302</v>
      </c>
      <c r="AE614" s="371" t="n"/>
      <c r="AF614" s="625" t="n"/>
      <c r="AN614" s="205" t="inlineStr">
        <is>
          <t>Truking / Service</t>
        </is>
      </c>
    </row>
    <row r="615">
      <c r="A615" s="222">
        <f>A614+1</f>
        <v/>
      </c>
      <c r="B615" s="224" t="inlineStr">
        <is>
          <t>Lift-Off-Ex</t>
        </is>
      </c>
      <c r="C615" s="224" t="inlineStr">
        <is>
          <t>PHNOM PENH AUTONOMOUS PORT "PPAP"</t>
        </is>
      </c>
      <c r="D615" s="225" t="inlineStr">
        <is>
          <t>L001-100044999</t>
        </is>
      </c>
      <c r="E615" s="359" t="inlineStr">
        <is>
          <t>INV20250539555</t>
        </is>
      </c>
      <c r="F615" s="338" t="n">
        <v>45797</v>
      </c>
      <c r="G615" s="226" t="n"/>
      <c r="H615" s="627" t="n"/>
      <c r="I615" s="627" t="n">
        <v>28021</v>
      </c>
      <c r="J615" s="223" t="inlineStr">
        <is>
          <t>អនុញ្ញាត (បានប្រកាស)</t>
        </is>
      </c>
      <c r="K615" s="628">
        <f>L615</f>
        <v/>
      </c>
      <c r="L615" s="626">
        <f>AD615</f>
        <v/>
      </c>
      <c r="M615" s="598">
        <f>I615-L615</f>
        <v/>
      </c>
      <c r="N615" s="223" t="n"/>
      <c r="O615" s="228">
        <f>U615=E615</f>
        <v/>
      </c>
      <c r="P615" s="228">
        <f>MONTH(F615)-MONTH(T615)</f>
        <v/>
      </c>
      <c r="Q615" s="228">
        <f>$B$5=X615</f>
        <v/>
      </c>
      <c r="R615" s="228">
        <f>I615-AD615</f>
        <v/>
      </c>
      <c r="S615" s="371" t="n"/>
      <c r="T615" s="372" t="n">
        <v>45797</v>
      </c>
      <c r="U615" s="371" t="inlineStr">
        <is>
          <t>INV20250539555</t>
        </is>
      </c>
      <c r="V615" s="371" t="n">
        <v>0</v>
      </c>
      <c r="W615" s="371" t="inlineStr">
        <is>
          <t>បុគ្គលជាប់អាករ</t>
        </is>
      </c>
      <c r="X615" s="371" t="inlineStr">
        <is>
          <t>L001-901640009</t>
        </is>
      </c>
      <c r="Y615" s="371" t="inlineStr">
        <is>
          <t>ហូលីដេ ឌីហ្សាញ (ខេមបូឌា) ឯ.ក</t>
        </is>
      </c>
      <c r="Z615" s="373" t="n">
        <v>308154</v>
      </c>
      <c r="AA615" s="373" t="n">
        <v>280140</v>
      </c>
      <c r="AB615" s="371" t="n">
        <v>0</v>
      </c>
      <c r="AC615" s="371" t="inlineStr">
        <is>
          <t>-</t>
        </is>
      </c>
      <c r="AD615" s="373" t="n">
        <v>28014</v>
      </c>
      <c r="AE615" s="371" t="n">
        <v>0</v>
      </c>
      <c r="AF615" s="625" t="n">
        <v>0</v>
      </c>
      <c r="AG615" s="205" t="n">
        <v>0</v>
      </c>
      <c r="AH615" s="205" t="n">
        <v>0</v>
      </c>
      <c r="AI615" s="205" t="n">
        <v>0</v>
      </c>
      <c r="AJ615" s="205" t="n">
        <v>0</v>
      </c>
      <c r="AK615" s="205" t="n">
        <v>0</v>
      </c>
      <c r="AL615" s="205" t="n">
        <v>0.01</v>
      </c>
      <c r="AM615" s="205" t="n">
        <v>0</v>
      </c>
      <c r="AN615" s="205" t="inlineStr">
        <is>
          <t>ចំណូលពីសេវាកម្ម (លើកដាក់ទំនិញ)</t>
        </is>
      </c>
    </row>
    <row r="616">
      <c r="A616" s="222">
        <f>A615+1</f>
        <v/>
      </c>
      <c r="B616" s="224" t="inlineStr">
        <is>
          <t>Trucking &amp; Clearance-Ex</t>
        </is>
      </c>
      <c r="C616" s="224" t="inlineStr">
        <is>
          <t>BRILLIANT TRANSPORT AND TRADING Co., Ltd.</t>
        </is>
      </c>
      <c r="D616" s="225" t="inlineStr">
        <is>
          <t>K002-100089305</t>
        </is>
      </c>
      <c r="E616" s="359" t="inlineStr">
        <is>
          <t>BTT25-0001031</t>
        </is>
      </c>
      <c r="F616" s="338" t="n">
        <v>45793</v>
      </c>
      <c r="G616" s="226" t="n"/>
      <c r="H616" s="627" t="n"/>
      <c r="I616" s="627" t="n">
        <v>203302</v>
      </c>
      <c r="J616" s="223" t="inlineStr">
        <is>
          <t>អនុញ្ញាត (បានប្រកាស)</t>
        </is>
      </c>
      <c r="K616" s="628" t="n"/>
      <c r="L616" s="626">
        <f>I616</f>
        <v/>
      </c>
      <c r="M616" s="598">
        <f>I616-L616</f>
        <v/>
      </c>
      <c r="N616" s="223" t="n"/>
      <c r="O616" s="228">
        <f>U616=E616</f>
        <v/>
      </c>
      <c r="P616" s="228">
        <f>MONTH(F616)-MONTH(T616)</f>
        <v/>
      </c>
      <c r="Q616" s="228">
        <f>$B$5=X616</f>
        <v/>
      </c>
      <c r="R616" s="228">
        <f>I616-AD616</f>
        <v/>
      </c>
      <c r="S616" s="371" t="n"/>
      <c r="T616" s="372" t="n">
        <v>45793</v>
      </c>
      <c r="U616" s="371" t="inlineStr">
        <is>
          <t>BTT25-0001031</t>
        </is>
      </c>
      <c r="V616" s="371" t="n"/>
      <c r="W616" s="371" t="n"/>
      <c r="X616" s="371" t="n"/>
      <c r="Y616" s="371" t="inlineStr">
        <is>
          <t>ហូលីដេ ឌីហ្សាញ (ខេមបូឌា) ឯ.ក</t>
        </is>
      </c>
      <c r="Z616" s="373" t="n"/>
      <c r="AA616" s="373" t="n"/>
      <c r="AB616" s="371" t="n"/>
      <c r="AC616" s="371" t="n"/>
      <c r="AD616" s="373" t="n">
        <v>203302</v>
      </c>
      <c r="AE616" s="371" t="n"/>
      <c r="AF616" s="625" t="n"/>
      <c r="AN616" s="205" t="inlineStr">
        <is>
          <t>Truking / Service</t>
        </is>
      </c>
    </row>
    <row r="617">
      <c r="A617" s="222">
        <f>A616+1</f>
        <v/>
      </c>
      <c r="B617" s="224" t="inlineStr">
        <is>
          <t>Lift-Off-Ex</t>
        </is>
      </c>
      <c r="C617" s="224" t="inlineStr">
        <is>
          <t>PHNOM PENH AUTONOMOUS PORT "PPAP"</t>
        </is>
      </c>
      <c r="D617" s="225" t="inlineStr">
        <is>
          <t>L001-100044999</t>
        </is>
      </c>
      <c r="E617" s="359" t="inlineStr">
        <is>
          <t>INV20250539556</t>
        </is>
      </c>
      <c r="F617" s="338" t="n">
        <v>45797</v>
      </c>
      <c r="G617" s="226" t="n"/>
      <c r="H617" s="627" t="n"/>
      <c r="I617" s="627" t="n">
        <v>28021</v>
      </c>
      <c r="J617" s="223" t="inlineStr">
        <is>
          <t>អនុញ្ញាត (បានប្រកាស)</t>
        </is>
      </c>
      <c r="K617" s="628">
        <f>L617</f>
        <v/>
      </c>
      <c r="L617" s="626">
        <f>AD617</f>
        <v/>
      </c>
      <c r="M617" s="598">
        <f>I617-L617</f>
        <v/>
      </c>
      <c r="N617" s="223" t="n"/>
      <c r="O617" s="228">
        <f>U617=E617</f>
        <v/>
      </c>
      <c r="P617" s="228">
        <f>MONTH(F617)-MONTH(T617)</f>
        <v/>
      </c>
      <c r="Q617" s="228">
        <f>$B$5=X617</f>
        <v/>
      </c>
      <c r="R617" s="228">
        <f>I617-AD617</f>
        <v/>
      </c>
      <c r="S617" s="371" t="n"/>
      <c r="T617" s="372" t="n">
        <v>45797</v>
      </c>
      <c r="U617" s="371" t="inlineStr">
        <is>
          <t>INV20250539556</t>
        </is>
      </c>
      <c r="V617" s="371" t="n">
        <v>0</v>
      </c>
      <c r="W617" s="371" t="inlineStr">
        <is>
          <t>បុគ្គលជាប់អាករ</t>
        </is>
      </c>
      <c r="X617" s="371" t="inlineStr">
        <is>
          <t>L001-901640009</t>
        </is>
      </c>
      <c r="Y617" s="371" t="inlineStr">
        <is>
          <t>ហូលីដេ ឌីហ្សាញ (ខេមបូឌា) ឯ.ក</t>
        </is>
      </c>
      <c r="Z617" s="373" t="n">
        <v>308154</v>
      </c>
      <c r="AA617" s="373" t="n">
        <v>280140</v>
      </c>
      <c r="AB617" s="371" t="n">
        <v>0</v>
      </c>
      <c r="AC617" s="371" t="inlineStr">
        <is>
          <t>-</t>
        </is>
      </c>
      <c r="AD617" s="373" t="n">
        <v>28014</v>
      </c>
      <c r="AE617" s="371" t="n">
        <v>0</v>
      </c>
      <c r="AF617" s="625" t="n">
        <v>0</v>
      </c>
      <c r="AG617" s="205" t="n">
        <v>0</v>
      </c>
      <c r="AH617" s="205" t="n">
        <v>0</v>
      </c>
      <c r="AI617" s="205" t="n">
        <v>0</v>
      </c>
      <c r="AJ617" s="205" t="n">
        <v>0</v>
      </c>
      <c r="AK617" s="205" t="n">
        <v>0</v>
      </c>
      <c r="AL617" s="205" t="n">
        <v>0.01</v>
      </c>
      <c r="AM617" s="205" t="n">
        <v>0</v>
      </c>
      <c r="AN617" s="205" t="inlineStr">
        <is>
          <t>ចំណូលពីសេវាកម្ម (លើកដាក់ទំនិញ)</t>
        </is>
      </c>
    </row>
    <row r="618">
      <c r="A618" s="222">
        <f>A617+1</f>
        <v/>
      </c>
      <c r="B618" s="224" t="inlineStr">
        <is>
          <t>Trucking &amp; Clearance-Ex</t>
        </is>
      </c>
      <c r="C618" s="224" t="inlineStr">
        <is>
          <t>BRILLIANT TRANSPORT AND TRADING Co., Ltd.</t>
        </is>
      </c>
      <c r="D618" s="225" t="inlineStr">
        <is>
          <t>K002-100089305</t>
        </is>
      </c>
      <c r="E618" s="359" t="inlineStr">
        <is>
          <t>BTT25-0001030</t>
        </is>
      </c>
      <c r="F618" s="338" t="n">
        <v>45793</v>
      </c>
      <c r="G618" s="226" t="n"/>
      <c r="H618" s="627" t="n"/>
      <c r="I618" s="627" t="n">
        <v>203302</v>
      </c>
      <c r="J618" s="223" t="inlineStr">
        <is>
          <t>អនុញ្ញាត (បានប្រកាស)</t>
        </is>
      </c>
      <c r="K618" s="628" t="n"/>
      <c r="L618" s="626">
        <f>I618</f>
        <v/>
      </c>
      <c r="M618" s="598">
        <f>I618-L618</f>
        <v/>
      </c>
      <c r="N618" s="223" t="n"/>
      <c r="O618" s="228">
        <f>U618=E618</f>
        <v/>
      </c>
      <c r="P618" s="228">
        <f>MONTH(F618)-MONTH(T618)</f>
        <v/>
      </c>
      <c r="Q618" s="228">
        <f>$B$5=X618</f>
        <v/>
      </c>
      <c r="R618" s="228">
        <f>I618-AD618</f>
        <v/>
      </c>
      <c r="S618" s="371" t="n"/>
      <c r="T618" s="372" t="n">
        <v>45793</v>
      </c>
      <c r="U618" s="371" t="inlineStr">
        <is>
          <t>BTT25-0001030</t>
        </is>
      </c>
      <c r="V618" s="371" t="n"/>
      <c r="W618" s="371" t="n"/>
      <c r="X618" s="371" t="n"/>
      <c r="Y618" s="371" t="inlineStr">
        <is>
          <t>ហូលីដេ ឌីហ្សាញ (ខេមបូឌា) ឯ.ក</t>
        </is>
      </c>
      <c r="Z618" s="373" t="n"/>
      <c r="AA618" s="373" t="n"/>
      <c r="AB618" s="371" t="n"/>
      <c r="AC618" s="371" t="n"/>
      <c r="AD618" s="373" t="n">
        <v>203302</v>
      </c>
      <c r="AE618" s="371" t="n"/>
      <c r="AF618" s="625" t="n"/>
      <c r="AN618" s="205" t="inlineStr">
        <is>
          <t>Truking / Service</t>
        </is>
      </c>
    </row>
    <row r="619" ht="23.4" customHeight="1" s="408" thickBot="1">
      <c r="A619" s="222">
        <f>A618+1</f>
        <v/>
      </c>
      <c r="B619" s="224" t="inlineStr">
        <is>
          <t>Lift-Off-Ex</t>
        </is>
      </c>
      <c r="C619" s="224" t="inlineStr">
        <is>
          <t>PHNOM PENH AUTONOMOUS PORT "PPAP"</t>
        </is>
      </c>
      <c r="D619" s="225" t="inlineStr">
        <is>
          <t>L001-100044999</t>
        </is>
      </c>
      <c r="E619" s="359" t="inlineStr">
        <is>
          <t>INV20250539557</t>
        </is>
      </c>
      <c r="F619" s="338" t="n">
        <v>45797</v>
      </c>
      <c r="G619" s="226" t="n"/>
      <c r="H619" s="627" t="n"/>
      <c r="I619" s="627" t="n">
        <v>28021</v>
      </c>
      <c r="J619" s="223" t="inlineStr">
        <is>
          <t>អនុញ្ញាត (បានប្រកាស)</t>
        </is>
      </c>
      <c r="K619" s="628">
        <f>L619</f>
        <v/>
      </c>
      <c r="L619" s="626">
        <f>AD619</f>
        <v/>
      </c>
      <c r="M619" s="598">
        <f>I619-L619</f>
        <v/>
      </c>
      <c r="N619" s="223" t="n"/>
      <c r="O619" s="228">
        <f>U619=E619</f>
        <v/>
      </c>
      <c r="P619" s="228">
        <f>MONTH(F619)-MONTH(T619)</f>
        <v/>
      </c>
      <c r="Q619" s="228">
        <f>$B$5=X619</f>
        <v/>
      </c>
      <c r="R619" s="228">
        <f>I619-AD619</f>
        <v/>
      </c>
      <c r="S619" s="371" t="n"/>
      <c r="T619" s="372" t="n">
        <v>45797</v>
      </c>
      <c r="U619" s="371" t="inlineStr">
        <is>
          <t>INV20250539557</t>
        </is>
      </c>
      <c r="V619" s="371" t="n">
        <v>0</v>
      </c>
      <c r="W619" s="371" t="inlineStr">
        <is>
          <t>បុគ្គលជាប់អាករ</t>
        </is>
      </c>
      <c r="X619" s="371" t="inlineStr">
        <is>
          <t>L001-901640009</t>
        </is>
      </c>
      <c r="Y619" s="371" t="inlineStr">
        <is>
          <t>ហូលីដេ ឌីហ្សាញ (ខេមបូឌា) ឯ.ក</t>
        </is>
      </c>
      <c r="Z619" s="373" t="n">
        <v>308154</v>
      </c>
      <c r="AA619" s="373" t="n">
        <v>280140</v>
      </c>
      <c r="AB619" s="371" t="n">
        <v>0</v>
      </c>
      <c r="AC619" s="371" t="inlineStr">
        <is>
          <t>-</t>
        </is>
      </c>
      <c r="AD619" s="373" t="n">
        <v>28014</v>
      </c>
      <c r="AE619" s="371" t="n">
        <v>0</v>
      </c>
      <c r="AF619" s="625" t="n">
        <v>0</v>
      </c>
      <c r="AG619" s="205" t="n">
        <v>0</v>
      </c>
      <c r="AH619" s="205" t="n">
        <v>0</v>
      </c>
      <c r="AI619" s="205" t="n">
        <v>0</v>
      </c>
      <c r="AJ619" s="205" t="n">
        <v>0</v>
      </c>
      <c r="AK619" s="205" t="n">
        <v>0</v>
      </c>
      <c r="AL619" s="205" t="n">
        <v>0.01</v>
      </c>
      <c r="AM619" s="205" t="n">
        <v>0</v>
      </c>
      <c r="AN619" s="205" t="inlineStr">
        <is>
          <t>ចំណូលពីសេវាកម្ម (លើកដាក់ទំនិញ)</t>
        </is>
      </c>
    </row>
    <row r="620" ht="23.4" customHeight="1" s="408" thickBot="1">
      <c r="A620" s="222">
        <f>A619+1</f>
        <v/>
      </c>
      <c r="B620" s="224" t="inlineStr">
        <is>
          <t>Trucking &amp; Clearance-Ex</t>
        </is>
      </c>
      <c r="C620" s="224" t="inlineStr">
        <is>
          <t>BRILLIANT TRANSPORT AND TRADING Co., Ltd.</t>
        </is>
      </c>
      <c r="D620" s="225" t="inlineStr">
        <is>
          <t>K002-100089305</t>
        </is>
      </c>
      <c r="E620" s="359" t="inlineStr">
        <is>
          <t>BTT25-0001029</t>
        </is>
      </c>
      <c r="F620" s="338" t="n">
        <v>45793</v>
      </c>
      <c r="G620" s="226" t="n"/>
      <c r="H620" s="627" t="n"/>
      <c r="I620" s="627" t="n">
        <v>203302</v>
      </c>
      <c r="J620" s="223" t="inlineStr">
        <is>
          <t>អនុញ្ញាត (បានប្រកាស)</t>
        </is>
      </c>
      <c r="K620" s="628" t="n"/>
      <c r="L620" s="626">
        <f>I620</f>
        <v/>
      </c>
      <c r="M620" s="598">
        <f>I620-L620</f>
        <v/>
      </c>
      <c r="N620" s="223" t="n"/>
      <c r="O620" s="228">
        <f>U620=E620</f>
        <v/>
      </c>
      <c r="P620" s="228">
        <f>MONTH(F620)-MONTH(T620)</f>
        <v/>
      </c>
      <c r="Q620" s="228">
        <f>$B$5=X620</f>
        <v/>
      </c>
      <c r="R620" s="228">
        <f>I620-AD620</f>
        <v/>
      </c>
      <c r="S620" s="371" t="n"/>
      <c r="T620" s="378" t="n">
        <v>45793</v>
      </c>
      <c r="U620" s="379" t="inlineStr">
        <is>
          <t>BTT25-0001029</t>
        </is>
      </c>
      <c r="V620" s="379" t="n"/>
      <c r="W620" s="379" t="n"/>
      <c r="X620" s="380" t="n"/>
      <c r="Y620" s="381" t="inlineStr">
        <is>
          <t>ហូលីដេ ឌីហ្សាញ (ខេមបូឌា) ឯ.ក</t>
        </is>
      </c>
      <c r="Z620" s="382" t="n"/>
      <c r="AA620" s="382" t="n"/>
      <c r="AB620" s="382" t="n"/>
      <c r="AC620" s="383" t="n"/>
      <c r="AD620" s="382" t="n">
        <v>203302</v>
      </c>
      <c r="AE620" s="382" t="n"/>
      <c r="AF620" s="382" t="n"/>
      <c r="AG620" s="382" t="n"/>
      <c r="AH620" s="382" t="n"/>
      <c r="AI620" s="382" t="n"/>
      <c r="AJ620" s="382" t="n"/>
      <c r="AK620" s="382" t="n"/>
      <c r="AL620" s="384" t="n"/>
      <c r="AM620" s="383" t="n"/>
      <c r="AN620" s="381" t="inlineStr">
        <is>
          <t>Truking / Service</t>
        </is>
      </c>
    </row>
    <row r="621" ht="23.4" customHeight="1" s="408" thickBot="1">
      <c r="A621" s="222">
        <f>A620+1</f>
        <v/>
      </c>
      <c r="B621" s="224" t="inlineStr">
        <is>
          <t>Lift-Off-Ex</t>
        </is>
      </c>
      <c r="C621" s="224" t="inlineStr">
        <is>
          <t>PHNOM PENH AUTONOMOUS PORT "PPAP"</t>
        </is>
      </c>
      <c r="D621" s="225" t="inlineStr">
        <is>
          <t>L001-100044999</t>
        </is>
      </c>
      <c r="E621" s="359" t="inlineStr">
        <is>
          <t>INV20250539561</t>
        </is>
      </c>
      <c r="F621" s="338" t="n">
        <v>45797</v>
      </c>
      <c r="G621" s="226" t="n"/>
      <c r="H621" s="627" t="n"/>
      <c r="I621" s="627" t="n">
        <v>28021</v>
      </c>
      <c r="J621" s="223" t="inlineStr">
        <is>
          <t>អនុញ្ញាត (បានប្រកាស)</t>
        </is>
      </c>
      <c r="K621" s="628">
        <f>L621</f>
        <v/>
      </c>
      <c r="L621" s="626">
        <f>AD621</f>
        <v/>
      </c>
      <c r="M621" s="598">
        <f>I621-L621</f>
        <v/>
      </c>
      <c r="N621" s="223" t="n"/>
      <c r="O621" s="228">
        <f>U621=E621</f>
        <v/>
      </c>
      <c r="P621" s="228">
        <f>MONTH(F621)-MONTH(T621)</f>
        <v/>
      </c>
      <c r="Q621" s="228">
        <f>$B$5=X621</f>
        <v/>
      </c>
      <c r="R621" s="228">
        <f>I621-AD621</f>
        <v/>
      </c>
      <c r="S621" s="371" t="n"/>
      <c r="T621" s="372" t="n">
        <v>45797</v>
      </c>
      <c r="U621" s="371" t="inlineStr">
        <is>
          <t>INV20250539561</t>
        </is>
      </c>
      <c r="V621" s="371" t="n">
        <v>0</v>
      </c>
      <c r="W621" s="371" t="inlineStr">
        <is>
          <t>បុគ្គលជាប់អាករ</t>
        </is>
      </c>
      <c r="X621" s="371" t="inlineStr">
        <is>
          <t>L001-901640009</t>
        </is>
      </c>
      <c r="Y621" s="371" t="inlineStr">
        <is>
          <t>ហូលីដេ ឌីហ្សាញ (ខេមបូឌា) ឯ.ក</t>
        </is>
      </c>
      <c r="Z621" s="373" t="n">
        <v>308154</v>
      </c>
      <c r="AA621" s="373" t="n">
        <v>280140</v>
      </c>
      <c r="AB621" s="371" t="n">
        <v>0</v>
      </c>
      <c r="AC621" s="371" t="inlineStr">
        <is>
          <t>-</t>
        </is>
      </c>
      <c r="AD621" s="373" t="n">
        <v>28014</v>
      </c>
      <c r="AE621" s="371" t="n">
        <v>0</v>
      </c>
      <c r="AF621" s="625" t="n">
        <v>0</v>
      </c>
      <c r="AG621" s="205" t="n">
        <v>0</v>
      </c>
      <c r="AH621" s="205" t="n">
        <v>0</v>
      </c>
      <c r="AI621" s="205" t="n">
        <v>0</v>
      </c>
      <c r="AJ621" s="205" t="n">
        <v>0</v>
      </c>
      <c r="AK621" s="205" t="n">
        <v>0</v>
      </c>
      <c r="AL621" s="205" t="n">
        <v>0.01</v>
      </c>
      <c r="AM621" s="205" t="n">
        <v>0</v>
      </c>
      <c r="AN621" s="205" t="inlineStr">
        <is>
          <t>ចំណូលពីសេវាកម្ម (លើកដាក់ទំនិញ)</t>
        </is>
      </c>
    </row>
    <row r="622" ht="23.4" customHeight="1" s="408" thickBot="1">
      <c r="A622" s="222">
        <f>A621+1</f>
        <v/>
      </c>
      <c r="B622" s="224" t="inlineStr">
        <is>
          <t>Trucking &amp; Clearance-Ex</t>
        </is>
      </c>
      <c r="C622" s="224" t="inlineStr">
        <is>
          <t>BRILLIANT TRANSPORT AND TRADING Co., Ltd.</t>
        </is>
      </c>
      <c r="D622" s="225" t="inlineStr">
        <is>
          <t>K002-100089305</t>
        </is>
      </c>
      <c r="E622" s="359" t="inlineStr">
        <is>
          <t>BTT25-0001028</t>
        </is>
      </c>
      <c r="F622" s="338" t="n">
        <v>45793</v>
      </c>
      <c r="G622" s="226" t="n"/>
      <c r="H622" s="627" t="n"/>
      <c r="I622" s="627" t="n">
        <v>203302</v>
      </c>
      <c r="J622" s="223" t="inlineStr">
        <is>
          <t>អនុញ្ញាត (បានប្រកាស)</t>
        </is>
      </c>
      <c r="K622" s="628" t="n"/>
      <c r="L622" s="626">
        <f>I622</f>
        <v/>
      </c>
      <c r="M622" s="598">
        <f>I622-L622</f>
        <v/>
      </c>
      <c r="N622" s="223" t="n"/>
      <c r="O622" s="228">
        <f>U622=E622</f>
        <v/>
      </c>
      <c r="P622" s="228">
        <f>MONTH(F622)-MONTH(T622)</f>
        <v/>
      </c>
      <c r="Q622" s="228">
        <f>$B$5=X622</f>
        <v/>
      </c>
      <c r="R622" s="228">
        <f>I622-AD622</f>
        <v/>
      </c>
      <c r="S622" s="371" t="n"/>
      <c r="T622" s="378" t="n">
        <v>45793</v>
      </c>
      <c r="U622" s="379" t="inlineStr">
        <is>
          <t>BTT25-0001028</t>
        </is>
      </c>
      <c r="V622" s="379" t="n"/>
      <c r="W622" s="379" t="n"/>
      <c r="X622" s="380" t="n"/>
      <c r="Y622" s="381" t="inlineStr">
        <is>
          <t>ហូលីដេ ឌីហ្សាញ (ខេមបូឌា) ឯ.ក</t>
        </is>
      </c>
      <c r="Z622" s="382" t="n"/>
      <c r="AA622" s="382" t="n"/>
      <c r="AB622" s="382" t="n"/>
      <c r="AC622" s="383" t="n"/>
      <c r="AD622" s="382" t="n">
        <v>203302</v>
      </c>
      <c r="AE622" s="382" t="n"/>
      <c r="AF622" s="382" t="n"/>
      <c r="AG622" s="382" t="n"/>
      <c r="AH622" s="382" t="n"/>
      <c r="AI622" s="382" t="n"/>
      <c r="AJ622" s="382" t="n"/>
      <c r="AK622" s="382" t="n"/>
      <c r="AL622" s="384" t="n"/>
      <c r="AM622" s="383" t="n"/>
      <c r="AN622" s="381" t="inlineStr">
        <is>
          <t>Truking / Service</t>
        </is>
      </c>
    </row>
    <row r="623">
      <c r="A623" s="222">
        <f>A622+1</f>
        <v/>
      </c>
      <c r="B623" s="224" t="inlineStr">
        <is>
          <t>Lift-Off-Ex</t>
        </is>
      </c>
      <c r="C623" s="224" t="inlineStr">
        <is>
          <t>PHNOM PENH AUTONOMOUS PORT "PPAP"</t>
        </is>
      </c>
      <c r="D623" s="225" t="inlineStr">
        <is>
          <t>L001-100044999</t>
        </is>
      </c>
      <c r="E623" s="359" t="inlineStr">
        <is>
          <t>INV20250539562</t>
        </is>
      </c>
      <c r="F623" s="338" t="n">
        <v>45797</v>
      </c>
      <c r="G623" s="226" t="n"/>
      <c r="H623" s="627" t="n"/>
      <c r="I623" s="627" t="n">
        <v>28021</v>
      </c>
      <c r="J623" s="223" t="inlineStr">
        <is>
          <t>អនុញ្ញាត (បានប្រកាស)</t>
        </is>
      </c>
      <c r="K623" s="628">
        <f>L623</f>
        <v/>
      </c>
      <c r="L623" s="626">
        <f>AD623</f>
        <v/>
      </c>
      <c r="M623" s="598">
        <f>I623-L623</f>
        <v/>
      </c>
      <c r="N623" s="223" t="n"/>
      <c r="O623" s="228">
        <f>U623=E623</f>
        <v/>
      </c>
      <c r="P623" s="228">
        <f>MONTH(F623)-MONTH(T623)</f>
        <v/>
      </c>
      <c r="Q623" s="228">
        <f>$B$5=X623</f>
        <v/>
      </c>
      <c r="R623" s="228">
        <f>I623-AD623</f>
        <v/>
      </c>
      <c r="S623" s="371" t="n"/>
      <c r="T623" s="372" t="n">
        <v>45797</v>
      </c>
      <c r="U623" s="371" t="inlineStr">
        <is>
          <t>INV20250539562</t>
        </is>
      </c>
      <c r="V623" s="371" t="n">
        <v>0</v>
      </c>
      <c r="W623" s="371" t="inlineStr">
        <is>
          <t>បុគ្គលជាប់អាករ</t>
        </is>
      </c>
      <c r="X623" s="371" t="inlineStr">
        <is>
          <t>L001-901640009</t>
        </is>
      </c>
      <c r="Y623" s="371" t="inlineStr">
        <is>
          <t>ហូលីដេ ឌីហ្សាញ (ខេមបូឌា) ឯ.ក</t>
        </is>
      </c>
      <c r="Z623" s="373" t="n">
        <v>308154</v>
      </c>
      <c r="AA623" s="373" t="n">
        <v>280140</v>
      </c>
      <c r="AB623" s="371" t="n">
        <v>0</v>
      </c>
      <c r="AC623" s="371" t="inlineStr">
        <is>
          <t>-</t>
        </is>
      </c>
      <c r="AD623" s="373" t="n">
        <v>28014</v>
      </c>
      <c r="AE623" s="371" t="n">
        <v>0</v>
      </c>
      <c r="AF623" s="625" t="n">
        <v>0</v>
      </c>
      <c r="AG623" s="205" t="n">
        <v>0</v>
      </c>
      <c r="AH623" s="205" t="n">
        <v>0</v>
      </c>
      <c r="AI623" s="205" t="n">
        <v>0</v>
      </c>
      <c r="AJ623" s="205" t="n">
        <v>0</v>
      </c>
      <c r="AK623" s="205" t="n">
        <v>0</v>
      </c>
      <c r="AL623" s="205" t="n">
        <v>0.01</v>
      </c>
      <c r="AM623" s="205" t="n">
        <v>0</v>
      </c>
      <c r="AN623" s="205" t="inlineStr">
        <is>
          <t>ចំណូលពីសេវាកម្ម (លើកដាក់ទំនិញ)</t>
        </is>
      </c>
    </row>
    <row r="624">
      <c r="A624" s="222">
        <f>A623+1</f>
        <v/>
      </c>
      <c r="B624" s="224" t="inlineStr">
        <is>
          <t>Trucking &amp; Clearance-Ex</t>
        </is>
      </c>
      <c r="C624" s="224" t="inlineStr">
        <is>
          <t>BRILLIANT TRANSPORT AND TRADING Co., Ltd.</t>
        </is>
      </c>
      <c r="D624" s="225" t="inlineStr">
        <is>
          <t>K002-100089305</t>
        </is>
      </c>
      <c r="E624" s="359" t="inlineStr">
        <is>
          <t>BTT25-0001027</t>
        </is>
      </c>
      <c r="F624" s="338" t="n">
        <v>45793</v>
      </c>
      <c r="G624" s="226" t="n"/>
      <c r="H624" s="627" t="n"/>
      <c r="I624" s="627" t="n">
        <v>203302</v>
      </c>
      <c r="J624" s="223" t="inlineStr">
        <is>
          <t>អនុញ្ញាត (បានប្រកាស)</t>
        </is>
      </c>
      <c r="K624" s="628" t="n"/>
      <c r="L624" s="626">
        <f>I624</f>
        <v/>
      </c>
      <c r="M624" s="598">
        <f>I624-L624</f>
        <v/>
      </c>
      <c r="N624" s="223" t="n"/>
      <c r="O624" s="228">
        <f>U624=E624</f>
        <v/>
      </c>
      <c r="P624" s="228">
        <f>MONTH(F624)-MONTH(T624)</f>
        <v/>
      </c>
      <c r="Q624" s="228">
        <f>$B$5=X624</f>
        <v/>
      </c>
      <c r="R624" s="228">
        <f>I624-AD624</f>
        <v/>
      </c>
      <c r="S624" s="371" t="n"/>
      <c r="T624" s="372" t="n">
        <v>45793</v>
      </c>
      <c r="U624" s="371" t="inlineStr">
        <is>
          <t>BTT25-0001027</t>
        </is>
      </c>
      <c r="V624" s="371" t="n"/>
      <c r="W624" s="371" t="n"/>
      <c r="X624" s="371" t="n"/>
      <c r="Y624" s="371" t="inlineStr">
        <is>
          <t>ហូលីដេ ឌីហ្សាញ (ខេមបូឌា) ឯ.ក</t>
        </is>
      </c>
      <c r="Z624" s="373" t="n"/>
      <c r="AA624" s="373" t="n"/>
      <c r="AB624" s="371" t="n"/>
      <c r="AC624" s="371" t="n"/>
      <c r="AD624" s="373" t="n">
        <v>203302</v>
      </c>
      <c r="AE624" s="371" t="n"/>
      <c r="AF624" s="625" t="n"/>
      <c r="AN624" s="205" t="inlineStr">
        <is>
          <t>Truking / Service</t>
        </is>
      </c>
    </row>
    <row r="625">
      <c r="A625" s="222">
        <f>A624+1</f>
        <v/>
      </c>
      <c r="B625" s="224" t="inlineStr">
        <is>
          <t>Trucking &amp; Clearance-Ex</t>
        </is>
      </c>
      <c r="C625" s="224" t="inlineStr">
        <is>
          <t>BRILLIANT TRANSPORT AND TRADING Co., Ltd.</t>
        </is>
      </c>
      <c r="D625" s="225" t="inlineStr">
        <is>
          <t>K002-100089305</t>
        </is>
      </c>
      <c r="E625" s="359" t="inlineStr">
        <is>
          <t>BTT25-0001033</t>
        </is>
      </c>
      <c r="F625" s="338" t="n">
        <v>45793</v>
      </c>
      <c r="G625" s="226" t="n"/>
      <c r="H625" s="627" t="n"/>
      <c r="I625" s="627" t="n">
        <v>406603</v>
      </c>
      <c r="J625" s="223" t="inlineStr">
        <is>
          <t>អនុញ្ញាត (បានប្រកាស)</t>
        </is>
      </c>
      <c r="K625" s="628" t="n"/>
      <c r="L625" s="626">
        <f>I625</f>
        <v/>
      </c>
      <c r="M625" s="598">
        <f>I625-L625</f>
        <v/>
      </c>
      <c r="N625" s="223" t="n"/>
      <c r="O625" s="228">
        <f>U625=E625</f>
        <v/>
      </c>
      <c r="P625" s="228">
        <f>MONTH(F625)-MONTH(T625)</f>
        <v/>
      </c>
      <c r="Q625" s="228">
        <f>$B$5=X625</f>
        <v/>
      </c>
      <c r="R625" s="228">
        <f>I625-AD625</f>
        <v/>
      </c>
      <c r="S625" s="371" t="n"/>
      <c r="T625" s="372" t="n">
        <v>45793</v>
      </c>
      <c r="U625" s="371" t="inlineStr">
        <is>
          <t>BTT25-0001033</t>
        </is>
      </c>
      <c r="V625" s="371" t="n"/>
      <c r="W625" s="371" t="n"/>
      <c r="X625" s="371" t="n"/>
      <c r="Y625" s="371" t="inlineStr">
        <is>
          <t>ហូលីដេ ឌីហ្សាញ (ខេមបូឌា) ឯ.ក</t>
        </is>
      </c>
      <c r="Z625" s="373" t="n"/>
      <c r="AA625" s="373" t="n"/>
      <c r="AB625" s="371" t="n"/>
      <c r="AC625" s="371" t="n"/>
      <c r="AD625" s="373" t="n">
        <v>406603</v>
      </c>
      <c r="AE625" s="371" t="n"/>
      <c r="AF625" s="625" t="n"/>
      <c r="AN625" s="205" t="inlineStr">
        <is>
          <t>Truking / Service</t>
        </is>
      </c>
    </row>
    <row r="626">
      <c r="A626" s="222">
        <f>A625+1</f>
        <v/>
      </c>
      <c r="B626" s="224" t="inlineStr">
        <is>
          <t>Lift-Off-Ex</t>
        </is>
      </c>
      <c r="C626" s="224" t="inlineStr">
        <is>
          <t>PHNOM PENH AUTONOMOUS PORT "PPAP"</t>
        </is>
      </c>
      <c r="D626" s="225" t="inlineStr">
        <is>
          <t>L001-100044999</t>
        </is>
      </c>
      <c r="E626" s="359" t="inlineStr">
        <is>
          <t>INV20250539553</t>
        </is>
      </c>
      <c r="F626" s="338" t="n">
        <v>45797</v>
      </c>
      <c r="G626" s="226" t="n"/>
      <c r="H626" s="627" t="n"/>
      <c r="I626" s="627" t="n">
        <v>56042</v>
      </c>
      <c r="J626" s="223" t="inlineStr">
        <is>
          <t>អនុញ្ញាត (បានប្រកាស)</t>
        </is>
      </c>
      <c r="K626" s="628">
        <f>L626</f>
        <v/>
      </c>
      <c r="L626" s="626">
        <f>AD626</f>
        <v/>
      </c>
      <c r="M626" s="598">
        <f>I626-L626</f>
        <v/>
      </c>
      <c r="N626" s="223" t="n"/>
      <c r="O626" s="228">
        <f>U626=E626</f>
        <v/>
      </c>
      <c r="P626" s="228">
        <f>MONTH(F626)-MONTH(T626)</f>
        <v/>
      </c>
      <c r="Q626" s="228">
        <f>$B$5=X626</f>
        <v/>
      </c>
      <c r="R626" s="228">
        <f>I626-AD626</f>
        <v/>
      </c>
      <c r="S626" s="371" t="n"/>
      <c r="T626" s="372" t="n">
        <v>45797</v>
      </c>
      <c r="U626" s="371" t="inlineStr">
        <is>
          <t>INV20250539553</t>
        </is>
      </c>
      <c r="V626" s="371" t="n">
        <v>0</v>
      </c>
      <c r="W626" s="371" t="inlineStr">
        <is>
          <t>បុគ្គលជាប់អាករ</t>
        </is>
      </c>
      <c r="X626" s="371" t="inlineStr">
        <is>
          <t>L001-901640009</t>
        </is>
      </c>
      <c r="Y626" s="371" t="inlineStr">
        <is>
          <t>ហូលីដេ ឌីហ្សាញ (ខេមបូឌា) ឯ.ក</t>
        </is>
      </c>
      <c r="Z626" s="373" t="n">
        <v>616308</v>
      </c>
      <c r="AA626" s="373" t="n">
        <v>560280</v>
      </c>
      <c r="AB626" s="371" t="n">
        <v>0</v>
      </c>
      <c r="AC626" s="371" t="inlineStr">
        <is>
          <t>-</t>
        </is>
      </c>
      <c r="AD626" s="373" t="n">
        <v>56028</v>
      </c>
      <c r="AE626" s="371" t="n">
        <v>0</v>
      </c>
      <c r="AF626" s="625" t="n">
        <v>0</v>
      </c>
      <c r="AG626" s="205" t="n">
        <v>0</v>
      </c>
      <c r="AH626" s="205" t="n">
        <v>0</v>
      </c>
      <c r="AI626" s="205" t="n">
        <v>0</v>
      </c>
      <c r="AJ626" s="205" t="n">
        <v>0</v>
      </c>
      <c r="AK626" s="205" t="n">
        <v>0</v>
      </c>
      <c r="AL626" s="205" t="n">
        <v>0.01</v>
      </c>
      <c r="AM626" s="205" t="n">
        <v>0</v>
      </c>
      <c r="AN626" s="205" t="inlineStr">
        <is>
          <t>ចំណូលពីសេវាកម្ម (លើកដាក់ទំនិញ)</t>
        </is>
      </c>
    </row>
    <row r="627">
      <c r="A627" s="222">
        <f>A626+1</f>
        <v/>
      </c>
      <c r="B627" s="224" t="inlineStr">
        <is>
          <t>Lift-Off-Ex</t>
        </is>
      </c>
      <c r="C627" s="224" t="inlineStr">
        <is>
          <t>PHNOM PENH AUTONOMOUS PORT "PPAP"</t>
        </is>
      </c>
      <c r="D627" s="225" t="inlineStr">
        <is>
          <t>L001-100044999</t>
        </is>
      </c>
      <c r="E627" s="359" t="inlineStr">
        <is>
          <t>INV20250541415</t>
        </is>
      </c>
      <c r="F627" s="338" t="n">
        <v>45803</v>
      </c>
      <c r="G627" s="226" t="n"/>
      <c r="H627" s="627" t="n"/>
      <c r="I627" s="627" t="n">
        <v>56028</v>
      </c>
      <c r="J627" s="223" t="inlineStr">
        <is>
          <t>អនុញ្ញាត (បានប្រកាស)</t>
        </is>
      </c>
      <c r="K627" s="628" t="n"/>
      <c r="L627" s="626">
        <f>I627</f>
        <v/>
      </c>
      <c r="M627" s="598">
        <f>I627-L627</f>
        <v/>
      </c>
      <c r="N627" s="223" t="n"/>
      <c r="O627" s="228">
        <f>U627=E627</f>
        <v/>
      </c>
      <c r="P627" s="228">
        <f>MONTH(F627)-MONTH(T627)</f>
        <v/>
      </c>
      <c r="Q627" s="228">
        <f>$B$5=X627</f>
        <v/>
      </c>
      <c r="R627" s="228">
        <f>I627-AD627</f>
        <v/>
      </c>
      <c r="S627" s="371" t="n"/>
      <c r="T627" s="372" t="n">
        <v>45803</v>
      </c>
      <c r="U627" s="371" t="inlineStr">
        <is>
          <t>INV20250541415</t>
        </is>
      </c>
      <c r="V627" s="371" t="n">
        <v>0</v>
      </c>
      <c r="W627" s="371" t="inlineStr">
        <is>
          <t>បុគ្គលជាប់អាករ</t>
        </is>
      </c>
      <c r="X627" s="371" t="inlineStr">
        <is>
          <t>L001-901640009</t>
        </is>
      </c>
      <c r="Y627" s="371" t="inlineStr">
        <is>
          <t>ហូលីដេ ឌីហ្សាញ (ខេមបូឌា) ឯ.ក</t>
        </is>
      </c>
      <c r="Z627" s="373" t="n">
        <v>616308</v>
      </c>
      <c r="AA627" s="373" t="n">
        <v>560280</v>
      </c>
      <c r="AB627" s="371" t="n">
        <v>0</v>
      </c>
      <c r="AC627" s="371" t="inlineStr">
        <is>
          <t>-</t>
        </is>
      </c>
      <c r="AD627" s="373" t="n">
        <v>56028</v>
      </c>
      <c r="AE627" s="371" t="n">
        <v>0</v>
      </c>
      <c r="AF627" s="625" t="n">
        <v>0</v>
      </c>
      <c r="AG627" s="205" t="n">
        <v>0</v>
      </c>
      <c r="AH627" s="205" t="n">
        <v>0</v>
      </c>
      <c r="AI627" s="205" t="n">
        <v>0</v>
      </c>
      <c r="AJ627" s="205" t="n">
        <v>0</v>
      </c>
      <c r="AK627" s="205" t="n">
        <v>0</v>
      </c>
      <c r="AL627" s="205" t="n">
        <v>0.01</v>
      </c>
      <c r="AM627" s="205" t="n">
        <v>0</v>
      </c>
      <c r="AN627" s="205" t="inlineStr">
        <is>
          <t>ចំណូលពីសេវាកម្ម (លើកដាក់ទំនិញ)</t>
        </is>
      </c>
    </row>
    <row r="628">
      <c r="A628" s="222">
        <f>A627+1</f>
        <v/>
      </c>
      <c r="B628" s="224" t="inlineStr">
        <is>
          <t>Trucking &amp; Clearance-Ex</t>
        </is>
      </c>
      <c r="C628" s="224" t="inlineStr">
        <is>
          <t>BRILLIANT TRANSPORT AND TRADING Co., Ltd.</t>
        </is>
      </c>
      <c r="D628" s="225" t="inlineStr">
        <is>
          <t>K002-100089305</t>
        </is>
      </c>
      <c r="E628" s="359" t="inlineStr">
        <is>
          <t>BTT25-0001116</t>
        </is>
      </c>
      <c r="F628" s="338" t="n">
        <v>45800</v>
      </c>
      <c r="G628" s="226" t="n"/>
      <c r="H628" s="627" t="n"/>
      <c r="I628" s="627" t="n">
        <v>406705</v>
      </c>
      <c r="J628" s="223" t="inlineStr">
        <is>
          <t>អនុញ្ញាត (បានប្រកាស)</t>
        </is>
      </c>
      <c r="K628" s="628" t="n"/>
      <c r="L628" s="626">
        <f>I628</f>
        <v/>
      </c>
      <c r="M628" s="598">
        <f>I628-L628</f>
        <v/>
      </c>
      <c r="N628" s="223" t="n"/>
      <c r="O628" s="228">
        <f>U628=E628</f>
        <v/>
      </c>
      <c r="P628" s="228">
        <f>MONTH(F628)-MONTH(T628)</f>
        <v/>
      </c>
      <c r="Q628" s="228">
        <f>$B$5=X628</f>
        <v/>
      </c>
      <c r="R628" s="228">
        <f>I628-AD628</f>
        <v/>
      </c>
      <c r="S628" s="371" t="n"/>
      <c r="T628" s="372" t="n">
        <v>45800</v>
      </c>
      <c r="U628" s="371" t="inlineStr">
        <is>
          <t>BTT25-0001116</t>
        </is>
      </c>
      <c r="V628" s="371" t="n"/>
      <c r="W628" s="371" t="n"/>
      <c r="X628" s="371" t="n"/>
      <c r="Y628" s="371" t="inlineStr">
        <is>
          <t>ហូលីដេ ឌីហ្សាញ (ខេមបូឌា) ឯ.ក</t>
        </is>
      </c>
      <c r="Z628" s="373" t="n"/>
      <c r="AA628" s="373" t="n"/>
      <c r="AB628" s="371" t="n"/>
      <c r="AC628" s="371" t="n"/>
      <c r="AD628" s="373" t="n">
        <v>406705</v>
      </c>
      <c r="AE628" s="371" t="n"/>
      <c r="AF628" s="625" t="n"/>
      <c r="AN628" s="205" t="inlineStr">
        <is>
          <t>Truking / Service</t>
        </is>
      </c>
    </row>
    <row r="629">
      <c r="A629" s="222">
        <f>A628+1</f>
        <v/>
      </c>
      <c r="B629" s="224" t="inlineStr">
        <is>
          <t>Lift-Off-Ex</t>
        </is>
      </c>
      <c r="C629" s="224" t="inlineStr">
        <is>
          <t>PHNOM PENH AUTONOMOUS PORT "PPAP"</t>
        </is>
      </c>
      <c r="D629" s="225" t="inlineStr">
        <is>
          <t>L001-100044999</t>
        </is>
      </c>
      <c r="E629" s="359" t="inlineStr">
        <is>
          <t>INV20250541414</t>
        </is>
      </c>
      <c r="F629" s="338" t="n">
        <v>45803</v>
      </c>
      <c r="G629" s="226" t="n"/>
      <c r="H629" s="627" t="n"/>
      <c r="I629" s="627" t="n">
        <v>56028</v>
      </c>
      <c r="J629" s="223" t="inlineStr">
        <is>
          <t>អនុញ្ញាត (បានប្រកាស)</t>
        </is>
      </c>
      <c r="K629" s="628" t="n"/>
      <c r="L629" s="626">
        <f>I629</f>
        <v/>
      </c>
      <c r="M629" s="598">
        <f>I629-L629</f>
        <v/>
      </c>
      <c r="N629" s="223" t="n"/>
      <c r="O629" s="228">
        <f>U629=E629</f>
        <v/>
      </c>
      <c r="P629" s="228">
        <f>MONTH(F629)-MONTH(T629)</f>
        <v/>
      </c>
      <c r="Q629" s="228">
        <f>$B$5=X629</f>
        <v/>
      </c>
      <c r="R629" s="228">
        <f>I629-AD629</f>
        <v/>
      </c>
      <c r="S629" s="371" t="n"/>
      <c r="T629" s="372" t="n">
        <v>45803</v>
      </c>
      <c r="U629" s="371" t="inlineStr">
        <is>
          <t>INV20250541414</t>
        </is>
      </c>
      <c r="V629" s="371" t="n">
        <v>0</v>
      </c>
      <c r="W629" s="371" t="inlineStr">
        <is>
          <t>បុគ្គលជាប់អាករ</t>
        </is>
      </c>
      <c r="X629" s="371" t="inlineStr">
        <is>
          <t>L001-901640009</t>
        </is>
      </c>
      <c r="Y629" s="371" t="inlineStr">
        <is>
          <t>ហូលីដេ ឌីហ្សាញ (ខេមបូឌា) ឯ.ក</t>
        </is>
      </c>
      <c r="Z629" s="373" t="n">
        <v>616308</v>
      </c>
      <c r="AA629" s="373" t="n">
        <v>560280</v>
      </c>
      <c r="AB629" s="371" t="n">
        <v>0</v>
      </c>
      <c r="AC629" s="371" t="inlineStr">
        <is>
          <t>-</t>
        </is>
      </c>
      <c r="AD629" s="373" t="n">
        <v>56028</v>
      </c>
      <c r="AE629" s="371" t="n">
        <v>0</v>
      </c>
      <c r="AF629" s="625" t="n">
        <v>0</v>
      </c>
      <c r="AG629" s="205" t="n">
        <v>0</v>
      </c>
      <c r="AH629" s="205" t="n">
        <v>0</v>
      </c>
      <c r="AI629" s="205" t="n">
        <v>0</v>
      </c>
      <c r="AJ629" s="205" t="n">
        <v>0</v>
      </c>
      <c r="AK629" s="205" t="n">
        <v>0</v>
      </c>
      <c r="AL629" s="205" t="n">
        <v>0.01</v>
      </c>
      <c r="AM629" s="205" t="n">
        <v>0</v>
      </c>
      <c r="AN629" s="205" t="inlineStr">
        <is>
          <t>ចំណូលពីសេវាកម្ម (លើកដាក់ទំនិញ)</t>
        </is>
      </c>
    </row>
    <row r="630">
      <c r="A630" s="222">
        <f>A629+1</f>
        <v/>
      </c>
      <c r="B630" s="224" t="inlineStr">
        <is>
          <t>Trucking &amp; Clearance-Ex</t>
        </is>
      </c>
      <c r="C630" s="224" t="inlineStr">
        <is>
          <t>BRILLIANT TRANSPORT AND TRADING Co., Ltd.</t>
        </is>
      </c>
      <c r="D630" s="225" t="inlineStr">
        <is>
          <t>K002-100089305</t>
        </is>
      </c>
      <c r="E630" s="359" t="inlineStr">
        <is>
          <t>BTT25-0001115</t>
        </is>
      </c>
      <c r="F630" s="338" t="n">
        <v>45800</v>
      </c>
      <c r="G630" s="226" t="n"/>
      <c r="H630" s="627" t="n"/>
      <c r="I630" s="627" t="n">
        <v>406705</v>
      </c>
      <c r="J630" s="223" t="inlineStr">
        <is>
          <t>អនុញ្ញាត (បានប្រកាស)</t>
        </is>
      </c>
      <c r="K630" s="628" t="n"/>
      <c r="L630" s="626">
        <f>I630</f>
        <v/>
      </c>
      <c r="M630" s="598">
        <f>I630-L630</f>
        <v/>
      </c>
      <c r="N630" s="223" t="n"/>
      <c r="O630" s="228">
        <f>U630=E630</f>
        <v/>
      </c>
      <c r="P630" s="228">
        <f>MONTH(F630)-MONTH(T630)</f>
        <v/>
      </c>
      <c r="Q630" s="228">
        <f>$B$5=X630</f>
        <v/>
      </c>
      <c r="R630" s="228">
        <f>I630-AD630</f>
        <v/>
      </c>
      <c r="S630" s="371" t="n"/>
      <c r="T630" s="372" t="n">
        <v>45800</v>
      </c>
      <c r="U630" s="371" t="inlineStr">
        <is>
          <t>BTT25-0001115</t>
        </is>
      </c>
      <c r="V630" s="371" t="n"/>
      <c r="W630" s="371" t="n"/>
      <c r="X630" s="371" t="n"/>
      <c r="Y630" s="371" t="inlineStr">
        <is>
          <t>ហូលីដេ ឌីហ្សាញ (ខេមបូឌា) ឯ.ក</t>
        </is>
      </c>
      <c r="Z630" s="373" t="n"/>
      <c r="AA630" s="373" t="n"/>
      <c r="AB630" s="371" t="n"/>
      <c r="AC630" s="371" t="n"/>
      <c r="AD630" s="373" t="n">
        <v>406705</v>
      </c>
      <c r="AE630" s="371" t="n"/>
      <c r="AF630" s="625" t="n"/>
      <c r="AN630" s="205" t="inlineStr">
        <is>
          <t>Truking / Service</t>
        </is>
      </c>
    </row>
    <row r="631">
      <c r="A631" s="222">
        <f>A630+1</f>
        <v/>
      </c>
      <c r="B631" s="224" t="inlineStr">
        <is>
          <t>Lift-Off-Ex</t>
        </is>
      </c>
      <c r="C631" s="224" t="inlineStr">
        <is>
          <t>PHNOM PENH AUTONOMOUS PORT "PPAP"</t>
        </is>
      </c>
      <c r="D631" s="225" t="inlineStr">
        <is>
          <t>L001-100044999</t>
        </is>
      </c>
      <c r="E631" s="359" t="inlineStr">
        <is>
          <t>INV20250541413</t>
        </is>
      </c>
      <c r="F631" s="338" t="n">
        <v>45803</v>
      </c>
      <c r="G631" s="226" t="n"/>
      <c r="H631" s="627" t="n"/>
      <c r="I631" s="627" t="n">
        <v>56028</v>
      </c>
      <c r="J631" s="223" t="inlineStr">
        <is>
          <t>អនុញ្ញាត (បានប្រកាស)</t>
        </is>
      </c>
      <c r="K631" s="628" t="n"/>
      <c r="L631" s="626">
        <f>I631</f>
        <v/>
      </c>
      <c r="M631" s="598">
        <f>I631-L631</f>
        <v/>
      </c>
      <c r="N631" s="223" t="n"/>
      <c r="O631" s="228">
        <f>U631=E631</f>
        <v/>
      </c>
      <c r="P631" s="228">
        <f>MONTH(F631)-MONTH(T631)</f>
        <v/>
      </c>
      <c r="Q631" s="228">
        <f>$B$5=X631</f>
        <v/>
      </c>
      <c r="R631" s="228">
        <f>I631-AD631</f>
        <v/>
      </c>
      <c r="S631" s="371" t="n"/>
      <c r="T631" s="372" t="n">
        <v>45803</v>
      </c>
      <c r="U631" s="371" t="inlineStr">
        <is>
          <t>INV20250541413</t>
        </is>
      </c>
      <c r="V631" s="371" t="n">
        <v>0</v>
      </c>
      <c r="W631" s="371" t="inlineStr">
        <is>
          <t>បុគ្គលជាប់អាករ</t>
        </is>
      </c>
      <c r="X631" s="371" t="inlineStr">
        <is>
          <t>L001-901640009</t>
        </is>
      </c>
      <c r="Y631" s="371" t="inlineStr">
        <is>
          <t>ហូលីដេ ឌីហ្សាញ (ខេមបូឌា) ឯ.ក</t>
        </is>
      </c>
      <c r="Z631" s="373" t="n">
        <v>616308</v>
      </c>
      <c r="AA631" s="373" t="n">
        <v>560280</v>
      </c>
      <c r="AB631" s="371" t="n">
        <v>0</v>
      </c>
      <c r="AC631" s="371" t="inlineStr">
        <is>
          <t>-</t>
        </is>
      </c>
      <c r="AD631" s="373" t="n">
        <v>56028</v>
      </c>
      <c r="AE631" s="371" t="n">
        <v>0</v>
      </c>
      <c r="AF631" s="625" t="n">
        <v>0</v>
      </c>
      <c r="AG631" s="205" t="n">
        <v>0</v>
      </c>
      <c r="AH631" s="205" t="n">
        <v>0</v>
      </c>
      <c r="AI631" s="205" t="n">
        <v>0</v>
      </c>
      <c r="AJ631" s="205" t="n">
        <v>0</v>
      </c>
      <c r="AK631" s="205" t="n">
        <v>0</v>
      </c>
      <c r="AL631" s="205" t="n">
        <v>0.01</v>
      </c>
      <c r="AM631" s="205" t="n">
        <v>0</v>
      </c>
      <c r="AN631" s="205" t="inlineStr">
        <is>
          <t>ចំណូលពីសេវាកម្ម (លើកដាក់ទំនិញ)</t>
        </is>
      </c>
    </row>
    <row r="632">
      <c r="A632" s="222">
        <f>A631+1</f>
        <v/>
      </c>
      <c r="B632" s="224" t="inlineStr">
        <is>
          <t>Trucking &amp; Clearance-Ex</t>
        </is>
      </c>
      <c r="C632" s="224" t="inlineStr">
        <is>
          <t>BRILLIANT TRANSPORT AND TRADING Co., Ltd.</t>
        </is>
      </c>
      <c r="D632" s="225" t="inlineStr">
        <is>
          <t>K002-100089305</t>
        </is>
      </c>
      <c r="E632" s="359" t="inlineStr">
        <is>
          <t>BTT25-0001114</t>
        </is>
      </c>
      <c r="F632" s="338" t="n">
        <v>45800</v>
      </c>
      <c r="G632" s="226" t="n"/>
      <c r="H632" s="627" t="n"/>
      <c r="I632" s="627" t="n">
        <v>406705</v>
      </c>
      <c r="J632" s="223" t="inlineStr">
        <is>
          <t>អនុញ្ញាត (បានប្រកាស)</t>
        </is>
      </c>
      <c r="K632" s="628" t="n"/>
      <c r="L632" s="626">
        <f>I632</f>
        <v/>
      </c>
      <c r="M632" s="598">
        <f>I632-L632</f>
        <v/>
      </c>
      <c r="N632" s="223" t="n"/>
      <c r="O632" s="228">
        <f>U632=E632</f>
        <v/>
      </c>
      <c r="P632" s="228">
        <f>MONTH(F632)-MONTH(T632)</f>
        <v/>
      </c>
      <c r="Q632" s="228">
        <f>$B$5=X632</f>
        <v/>
      </c>
      <c r="R632" s="228">
        <f>I632-AD632</f>
        <v/>
      </c>
      <c r="S632" s="371" t="n"/>
      <c r="T632" s="372" t="n">
        <v>45800</v>
      </c>
      <c r="U632" s="371" t="inlineStr">
        <is>
          <t>BTT25-0001114</t>
        </is>
      </c>
      <c r="V632" s="371" t="n"/>
      <c r="W632" s="371" t="n"/>
      <c r="X632" s="371" t="n"/>
      <c r="Y632" s="371" t="inlineStr">
        <is>
          <t>ហូលីដេ ឌីហ្សាញ (ខេមបូឌា) ឯ.ក</t>
        </is>
      </c>
      <c r="Z632" s="373" t="n"/>
      <c r="AA632" s="373" t="n"/>
      <c r="AB632" s="371" t="n"/>
      <c r="AC632" s="371" t="n"/>
      <c r="AD632" s="373" t="n">
        <v>406705</v>
      </c>
      <c r="AE632" s="371" t="n"/>
      <c r="AF632" s="625" t="n"/>
      <c r="AN632" s="205" t="inlineStr">
        <is>
          <t>Truking / Service</t>
        </is>
      </c>
    </row>
    <row r="633">
      <c r="A633" s="222">
        <f>A632+1</f>
        <v/>
      </c>
      <c r="B633" s="224" t="inlineStr">
        <is>
          <t>Lift-Off-Ex</t>
        </is>
      </c>
      <c r="C633" s="224" t="inlineStr">
        <is>
          <t>PHNOM PENH AUTONOMOUS PORT "PPAP"</t>
        </is>
      </c>
      <c r="D633" s="225" t="inlineStr">
        <is>
          <t>L001-100044999</t>
        </is>
      </c>
      <c r="E633" s="359" t="inlineStr">
        <is>
          <t>INV20250541412</t>
        </is>
      </c>
      <c r="F633" s="338" t="n">
        <v>45803</v>
      </c>
      <c r="G633" s="226" t="n"/>
      <c r="H633" s="627" t="n"/>
      <c r="I633" s="627" t="n">
        <v>28014</v>
      </c>
      <c r="J633" s="223" t="inlineStr">
        <is>
          <t>អនុញ្ញាត (បានប្រកាស)</t>
        </is>
      </c>
      <c r="K633" s="628" t="n"/>
      <c r="L633" s="626">
        <f>I633</f>
        <v/>
      </c>
      <c r="M633" s="598">
        <f>I633-L633</f>
        <v/>
      </c>
      <c r="N633" s="223" t="n"/>
      <c r="O633" s="228">
        <f>U633=E633</f>
        <v/>
      </c>
      <c r="P633" s="228">
        <f>MONTH(F633)-MONTH(T633)</f>
        <v/>
      </c>
      <c r="Q633" s="228">
        <f>$B$5=X633</f>
        <v/>
      </c>
      <c r="R633" s="228">
        <f>I633-AD633</f>
        <v/>
      </c>
      <c r="S633" s="371" t="n"/>
      <c r="T633" s="372" t="n">
        <v>45803</v>
      </c>
      <c r="U633" s="371" t="inlineStr">
        <is>
          <t>INV20250541412</t>
        </is>
      </c>
      <c r="V633" s="371" t="n">
        <v>0</v>
      </c>
      <c r="W633" s="371" t="inlineStr">
        <is>
          <t>បុគ្គលជាប់អាករ</t>
        </is>
      </c>
      <c r="X633" s="371" t="inlineStr">
        <is>
          <t>L001-901640009</t>
        </is>
      </c>
      <c r="Y633" s="371" t="inlineStr">
        <is>
          <t>ហូលីដេ ឌីហ្សាញ (ខេមបូឌា) ឯ.ក</t>
        </is>
      </c>
      <c r="Z633" s="373" t="n">
        <v>308154</v>
      </c>
      <c r="AA633" s="373" t="n">
        <v>280140</v>
      </c>
      <c r="AB633" s="371" t="n">
        <v>0</v>
      </c>
      <c r="AC633" s="371" t="inlineStr">
        <is>
          <t>-</t>
        </is>
      </c>
      <c r="AD633" s="373" t="n">
        <v>28014</v>
      </c>
      <c r="AE633" s="371" t="n">
        <v>0</v>
      </c>
      <c r="AF633" s="625" t="n">
        <v>0</v>
      </c>
      <c r="AG633" s="205" t="n">
        <v>0</v>
      </c>
      <c r="AH633" s="205" t="n">
        <v>0</v>
      </c>
      <c r="AI633" s="205" t="n">
        <v>0</v>
      </c>
      <c r="AJ633" s="205" t="n">
        <v>0</v>
      </c>
      <c r="AK633" s="205" t="n">
        <v>0</v>
      </c>
      <c r="AL633" s="205" t="n">
        <v>0.01</v>
      </c>
      <c r="AM633" s="205" t="n">
        <v>0</v>
      </c>
      <c r="AN633" s="205" t="inlineStr">
        <is>
          <t>ចំណូលពីសេវាកម្ម (លើកដាក់ទំនិញ)</t>
        </is>
      </c>
    </row>
    <row r="634">
      <c r="A634" s="222">
        <f>A633+1</f>
        <v/>
      </c>
      <c r="B634" s="224" t="inlineStr">
        <is>
          <t>Trucking &amp; Clearance-Ex</t>
        </is>
      </c>
      <c r="C634" s="224" t="inlineStr">
        <is>
          <t>BRILLIANT TRANSPORT AND TRADING Co., Ltd.</t>
        </is>
      </c>
      <c r="D634" s="225" t="inlineStr">
        <is>
          <t>K002-100089305</t>
        </is>
      </c>
      <c r="E634" s="359" t="inlineStr">
        <is>
          <t>BTT25-0001111</t>
        </is>
      </c>
      <c r="F634" s="338" t="n">
        <v>45800</v>
      </c>
      <c r="G634" s="226" t="n"/>
      <c r="H634" s="627" t="n"/>
      <c r="I634" s="627" t="n">
        <v>586039</v>
      </c>
      <c r="J634" s="223" t="inlineStr">
        <is>
          <t>អនុញ្ញាត (បានប្រកាស)</t>
        </is>
      </c>
      <c r="K634" s="628" t="n"/>
      <c r="L634" s="626">
        <f>I634</f>
        <v/>
      </c>
      <c r="M634" s="598">
        <f>I634-L634</f>
        <v/>
      </c>
      <c r="N634" s="223" t="n"/>
      <c r="O634" s="228">
        <f>U634=E634</f>
        <v/>
      </c>
      <c r="P634" s="228">
        <f>MONTH(F634)-MONTH(T634)</f>
        <v/>
      </c>
      <c r="Q634" s="228">
        <f>$B$5=X634</f>
        <v/>
      </c>
      <c r="R634" s="228">
        <f>I634-AD634</f>
        <v/>
      </c>
      <c r="S634" s="371" t="n"/>
      <c r="T634" s="372" t="n">
        <v>45800</v>
      </c>
      <c r="U634" s="371" t="inlineStr">
        <is>
          <t>BTT25-0001111</t>
        </is>
      </c>
      <c r="V634" s="371" t="n"/>
      <c r="W634" s="371" t="n"/>
      <c r="X634" s="371" t="n"/>
      <c r="Y634" s="371" t="inlineStr">
        <is>
          <t>ហូលីដេ ឌីហ្សាញ (ខេមបូឌា) ឯ.ក</t>
        </is>
      </c>
      <c r="Z634" s="373" t="n"/>
      <c r="AA634" s="373" t="n"/>
      <c r="AB634" s="371" t="n"/>
      <c r="AC634" s="371" t="n"/>
      <c r="AD634" s="373" t="n">
        <v>586039</v>
      </c>
      <c r="AE634" s="371" t="n"/>
      <c r="AF634" s="625" t="n"/>
      <c r="AN634" s="205" t="inlineStr">
        <is>
          <t>Truking / Service</t>
        </is>
      </c>
    </row>
    <row r="635" ht="23.4" customHeight="1" s="408" thickBot="1">
      <c r="A635" s="222">
        <f>A634+1</f>
        <v/>
      </c>
      <c r="B635" s="224" t="inlineStr">
        <is>
          <t>Trucking &amp; Clearance-Ex</t>
        </is>
      </c>
      <c r="C635" s="224" t="inlineStr">
        <is>
          <t>BRILLIANT TRANSPORT AND TRADING Co., Ltd.</t>
        </is>
      </c>
      <c r="D635" s="225" t="inlineStr">
        <is>
          <t>K002-100089305</t>
        </is>
      </c>
      <c r="E635" s="359" t="inlineStr">
        <is>
          <t>BTT25-0001113</t>
        </is>
      </c>
      <c r="F635" s="338" t="n">
        <v>45800</v>
      </c>
      <c r="G635" s="226" t="n"/>
      <c r="H635" s="627" t="n"/>
      <c r="I635" s="627" t="n">
        <v>203352</v>
      </c>
      <c r="J635" s="223" t="inlineStr">
        <is>
          <t>អនុញ្ញាត (បានប្រកាស)</t>
        </is>
      </c>
      <c r="K635" s="628" t="n"/>
      <c r="L635" s="626">
        <f>I635</f>
        <v/>
      </c>
      <c r="M635" s="598">
        <f>I635-L635</f>
        <v/>
      </c>
      <c r="N635" s="223" t="n"/>
      <c r="O635" s="228">
        <f>U635=E635</f>
        <v/>
      </c>
      <c r="P635" s="228">
        <f>MONTH(F635)-MONTH(T635)</f>
        <v/>
      </c>
      <c r="Q635" s="228">
        <f>$B$5=X635</f>
        <v/>
      </c>
      <c r="R635" s="228">
        <f>I635-AD635</f>
        <v/>
      </c>
      <c r="S635" s="371" t="n"/>
      <c r="T635" s="372" t="n">
        <v>45800</v>
      </c>
      <c r="U635" s="371" t="inlineStr">
        <is>
          <t>BTT25-0001113</t>
        </is>
      </c>
      <c r="V635" s="371" t="n"/>
      <c r="W635" s="371" t="n"/>
      <c r="X635" s="371" t="n"/>
      <c r="Y635" s="371" t="inlineStr">
        <is>
          <t>ហូលីដេ ឌីហ្សាញ (ខេមបូឌា) ឯ.ក</t>
        </is>
      </c>
      <c r="Z635" s="373" t="n"/>
      <c r="AA635" s="373" t="n"/>
      <c r="AB635" s="371" t="n"/>
      <c r="AC635" s="371" t="n"/>
      <c r="AD635" s="373" t="n">
        <v>203352</v>
      </c>
      <c r="AE635" s="371" t="n"/>
      <c r="AF635" s="625" t="n"/>
      <c r="AN635" s="205" t="inlineStr">
        <is>
          <t>Truking / Service</t>
        </is>
      </c>
    </row>
    <row r="636" ht="23.4" customHeight="1" s="408" thickBot="1">
      <c r="A636" s="222">
        <f>A635+1</f>
        <v/>
      </c>
      <c r="B636" s="224" t="inlineStr">
        <is>
          <t>Lift-Off-Ex</t>
        </is>
      </c>
      <c r="C636" s="224" t="inlineStr">
        <is>
          <t>PHNOM PENH AUTONOMOUS PORT "PPAP"</t>
        </is>
      </c>
      <c r="D636" s="225" t="inlineStr">
        <is>
          <t>L001-100044999</t>
        </is>
      </c>
      <c r="E636" s="359" t="inlineStr">
        <is>
          <t>INV20250541411</t>
        </is>
      </c>
      <c r="F636" s="338" t="n">
        <v>45803</v>
      </c>
      <c r="G636" s="226" t="n"/>
      <c r="H636" s="627" t="n"/>
      <c r="I636" s="627" t="n">
        <v>280140</v>
      </c>
      <c r="J636" s="223" t="inlineStr">
        <is>
          <t>អនុញ្ញាត (បានប្រកាស)</t>
        </is>
      </c>
      <c r="K636" s="628" t="n"/>
      <c r="L636" s="626">
        <f>I636</f>
        <v/>
      </c>
      <c r="M636" s="598">
        <f>I636-L636</f>
        <v/>
      </c>
      <c r="N636" s="223" t="n"/>
      <c r="O636" s="228">
        <f>U636=E636</f>
        <v/>
      </c>
      <c r="P636" s="228">
        <f>MONTH(F636)-MONTH(T636)</f>
        <v/>
      </c>
      <c r="Q636" s="228">
        <f>$B$5=X636</f>
        <v/>
      </c>
      <c r="R636" s="228">
        <f>I636-AD636</f>
        <v/>
      </c>
      <c r="S636" s="371" t="n"/>
      <c r="T636" s="378" t="n">
        <v>45803</v>
      </c>
      <c r="U636" s="379" t="inlineStr">
        <is>
          <t>INV20250541411</t>
        </is>
      </c>
      <c r="V636" s="379" t="n">
        <v>0</v>
      </c>
      <c r="W636" s="379" t="inlineStr">
        <is>
          <t>បុគ្គលជាប់អាករ</t>
        </is>
      </c>
      <c r="X636" s="380" t="inlineStr">
        <is>
          <t>L001-901640009</t>
        </is>
      </c>
      <c r="Y636" s="381" t="inlineStr">
        <is>
          <t>ហូលីដេ ឌីហ្សាញ (ខេមបូឌា) ឯ.ក</t>
        </is>
      </c>
      <c r="Z636" s="382" t="n">
        <v>3081540</v>
      </c>
      <c r="AA636" s="382" t="n">
        <v>2801400</v>
      </c>
      <c r="AB636" s="382" t="n">
        <v>0</v>
      </c>
      <c r="AC636" s="383" t="inlineStr">
        <is>
          <t>-</t>
        </is>
      </c>
      <c r="AD636" s="382" t="n">
        <v>280140</v>
      </c>
      <c r="AE636" s="382" t="n">
        <v>0</v>
      </c>
      <c r="AF636" s="382" t="n">
        <v>0</v>
      </c>
      <c r="AG636" s="382" t="n">
        <v>0</v>
      </c>
      <c r="AH636" s="382" t="n">
        <v>0</v>
      </c>
      <c r="AI636" s="382" t="n">
        <v>0</v>
      </c>
      <c r="AJ636" s="382" t="n">
        <v>0</v>
      </c>
      <c r="AK636" s="382" t="n">
        <v>0</v>
      </c>
      <c r="AL636" s="384" t="n">
        <v>0.01</v>
      </c>
      <c r="AM636" s="383" t="n">
        <v>0</v>
      </c>
      <c r="AN636" s="381" t="inlineStr">
        <is>
          <t>ចំណូលពីសេវាកម្ម (លើកដាក់ទំនិញ)</t>
        </is>
      </c>
    </row>
    <row r="637">
      <c r="A637" s="222">
        <f>A636+1</f>
        <v/>
      </c>
      <c r="B637" s="224" t="inlineStr">
        <is>
          <t>Trucking &amp; Clearance-Ex</t>
        </is>
      </c>
      <c r="C637" s="224" t="inlineStr">
        <is>
          <t>BRILLIANT TRANSPORT AND TRADING Co., Ltd.</t>
        </is>
      </c>
      <c r="D637" s="225" t="inlineStr">
        <is>
          <t>K002-100089305</t>
        </is>
      </c>
      <c r="E637" s="359" t="inlineStr">
        <is>
          <t>BTT25-0001112</t>
        </is>
      </c>
      <c r="F637" s="338" t="n">
        <v>45800</v>
      </c>
      <c r="G637" s="226" t="n"/>
      <c r="H637" s="627" t="n"/>
      <c r="I637" s="627" t="n">
        <v>2093569</v>
      </c>
      <c r="J637" s="223" t="inlineStr">
        <is>
          <t>អនុញ្ញាត (បានប្រកាស)</t>
        </is>
      </c>
      <c r="K637" s="628" t="n"/>
      <c r="L637" s="626">
        <f>I637</f>
        <v/>
      </c>
      <c r="M637" s="598">
        <f>I637-L637</f>
        <v/>
      </c>
      <c r="N637" s="223" t="n"/>
      <c r="O637" s="228">
        <f>U637=E637</f>
        <v/>
      </c>
      <c r="P637" s="228">
        <f>MONTH(F637)-MONTH(T637)</f>
        <v/>
      </c>
      <c r="Q637" s="228">
        <f>$B$5=X637</f>
        <v/>
      </c>
      <c r="R637" s="228">
        <f>I637-AD637</f>
        <v/>
      </c>
      <c r="S637" s="371" t="n"/>
      <c r="T637" s="372" t="n">
        <v>45800</v>
      </c>
      <c r="U637" s="371" t="inlineStr">
        <is>
          <t>BTT25-0001112</t>
        </is>
      </c>
      <c r="V637" s="371" t="n"/>
      <c r="W637" s="371" t="n"/>
      <c r="X637" s="371" t="n"/>
      <c r="Y637" s="371" t="inlineStr">
        <is>
          <t>ហូលីដេ ឌីហ្សាញ (ខេមបូឌា) ឯ.ក</t>
        </is>
      </c>
      <c r="Z637" s="373" t="n"/>
      <c r="AA637" s="373" t="n"/>
      <c r="AB637" s="371" t="n"/>
      <c r="AC637" s="371" t="n"/>
      <c r="AD637" s="373" t="n">
        <v>2093569</v>
      </c>
      <c r="AE637" s="371" t="n"/>
      <c r="AF637" s="625" t="n"/>
      <c r="AN637" s="205" t="inlineStr">
        <is>
          <t>Truking / Service</t>
        </is>
      </c>
    </row>
    <row r="638">
      <c r="A638" s="222">
        <f>A637+1</f>
        <v/>
      </c>
      <c r="B638" s="224" t="inlineStr">
        <is>
          <t>Lift-Off-Ex</t>
        </is>
      </c>
      <c r="C638" s="224" t="inlineStr">
        <is>
          <t>Port Autonome Du Sihanoukville</t>
        </is>
      </c>
      <c r="D638" s="225" t="inlineStr">
        <is>
          <t>L001-100044638</t>
        </is>
      </c>
      <c r="E638" s="359" t="n">
        <v>202500120022</v>
      </c>
      <c r="F638" s="338" t="n">
        <v>45800</v>
      </c>
      <c r="G638" s="226" t="n"/>
      <c r="H638" s="627" t="n"/>
      <c r="I638" s="627" t="n">
        <v>20415</v>
      </c>
      <c r="J638" s="223" t="inlineStr">
        <is>
          <t>អនុញ្ញាត (បានប្រកាស)</t>
        </is>
      </c>
      <c r="K638" s="628" t="n"/>
      <c r="L638" s="626">
        <f>I638</f>
        <v/>
      </c>
      <c r="M638" s="598">
        <f>I638-L638</f>
        <v/>
      </c>
      <c r="N638" s="223" t="n"/>
      <c r="O638" s="228">
        <f>U638=E638</f>
        <v/>
      </c>
      <c r="P638" s="228">
        <f>MONTH(F638)-MONTH(T638)</f>
        <v/>
      </c>
      <c r="Q638" s="228">
        <f>$B$5=X638</f>
        <v/>
      </c>
      <c r="R638" s="228">
        <f>I638-AD638</f>
        <v/>
      </c>
      <c r="S638" s="371" t="n"/>
      <c r="T638" s="374" t="n">
        <v>45800</v>
      </c>
      <c r="U638" s="371" t="n">
        <v>202500120022</v>
      </c>
      <c r="V638" s="371" t="n"/>
      <c r="W638" s="371" t="inlineStr">
        <is>
          <t>បុគ្គលជាប់អាករ</t>
        </is>
      </c>
      <c r="X638" s="371" t="inlineStr">
        <is>
          <t>L001-901640009</t>
        </is>
      </c>
      <c r="Y638" s="371" t="inlineStr">
        <is>
          <t>ហូលីដេ ឌីហ្សាញ (ខេមបូឌា) ឯ.ក</t>
        </is>
      </c>
      <c r="Z638" s="373" t="n">
        <v>224568</v>
      </c>
      <c r="AA638" s="373" t="n">
        <v>204153</v>
      </c>
      <c r="AB638" s="371" t="n">
        <v>0</v>
      </c>
      <c r="AC638" s="371" t="inlineStr">
        <is>
          <t>-</t>
        </is>
      </c>
      <c r="AD638" s="373" t="n">
        <v>20415</v>
      </c>
      <c r="AE638" s="371" t="n"/>
      <c r="AF638" s="625" t="n"/>
    </row>
    <row r="639" ht="23.4" customHeight="1" s="408" thickBot="1">
      <c r="A639" s="222">
        <f>A638+1</f>
        <v/>
      </c>
      <c r="B639" s="224" t="inlineStr">
        <is>
          <t>Lift-Off-Ex</t>
        </is>
      </c>
      <c r="C639" s="224" t="inlineStr">
        <is>
          <t>Port Autonome Du Sihanoukville</t>
        </is>
      </c>
      <c r="D639" s="225" t="inlineStr">
        <is>
          <t>L001-100044638</t>
        </is>
      </c>
      <c r="E639" s="359" t="n">
        <v>202500120026</v>
      </c>
      <c r="F639" s="338" t="n">
        <v>45800</v>
      </c>
      <c r="G639" s="226" t="n"/>
      <c r="H639" s="627" t="n"/>
      <c r="I639" s="627" t="n">
        <v>6805</v>
      </c>
      <c r="J639" s="223" t="inlineStr">
        <is>
          <t>អនុញ្ញាត (បានប្រកាស)</t>
        </is>
      </c>
      <c r="K639" s="628" t="n"/>
      <c r="L639" s="626">
        <f>I639</f>
        <v/>
      </c>
      <c r="M639" s="598">
        <f>I639-L639</f>
        <v/>
      </c>
      <c r="N639" s="223" t="n"/>
      <c r="O639" s="228">
        <f>U639=E639</f>
        <v/>
      </c>
      <c r="P639" s="228">
        <f>MONTH(F639)-MONTH(T639)</f>
        <v/>
      </c>
      <c r="Q639" s="228">
        <f>$B$5=X639</f>
        <v/>
      </c>
      <c r="R639" s="228">
        <f>I639-AD639</f>
        <v/>
      </c>
      <c r="S639" s="371" t="n"/>
      <c r="T639" s="372" t="n">
        <v>45800</v>
      </c>
      <c r="U639" s="371" t="n">
        <v>202500120026</v>
      </c>
      <c r="V639" s="371" t="n"/>
      <c r="W639" s="371" t="inlineStr">
        <is>
          <t>បុគ្គលជាប់អាករ</t>
        </is>
      </c>
      <c r="X639" s="371" t="inlineStr">
        <is>
          <t>L001-901640009</t>
        </is>
      </c>
      <c r="Y639" s="371" t="inlineStr">
        <is>
          <t>ហូលីដេ ឌីហ្សាញ (ខេមបូឌា) ឯ.ក</t>
        </is>
      </c>
      <c r="Z639" s="373" t="n">
        <v>74856</v>
      </c>
      <c r="AA639" s="373" t="n">
        <v>68051</v>
      </c>
      <c r="AB639" s="371" t="n">
        <v>0</v>
      </c>
      <c r="AC639" s="371" t="inlineStr">
        <is>
          <t>-</t>
        </is>
      </c>
      <c r="AD639" s="373" t="n">
        <v>6805</v>
      </c>
      <c r="AE639" s="371" t="n">
        <v>0</v>
      </c>
      <c r="AF639" s="625" t="n"/>
    </row>
    <row r="640" ht="23.4" customHeight="1" s="408" thickBot="1">
      <c r="A640" s="222">
        <f>A639+1</f>
        <v/>
      </c>
      <c r="B640" s="224" t="inlineStr">
        <is>
          <t>Trucking &amp; Clearance-Ex</t>
        </is>
      </c>
      <c r="C640" s="224" t="inlineStr">
        <is>
          <t>WANAKA LOGISTICS CO., LTD.</t>
        </is>
      </c>
      <c r="D640" s="225" t="inlineStr">
        <is>
          <t>K005-901907953</t>
        </is>
      </c>
      <c r="E640" s="359" t="inlineStr">
        <is>
          <t>WL25-001897</t>
        </is>
      </c>
      <c r="F640" s="338" t="n">
        <v>45805</v>
      </c>
      <c r="G640" s="226" t="n"/>
      <c r="H640" s="627" t="n"/>
      <c r="I640" s="627" t="n">
        <v>156117</v>
      </c>
      <c r="J640" s="223" t="inlineStr">
        <is>
          <t>អនុញ្ញាត (បានប្រកាស)</t>
        </is>
      </c>
      <c r="K640" s="628" t="n"/>
      <c r="L640" s="626">
        <f>I640</f>
        <v/>
      </c>
      <c r="M640" s="598">
        <f>I640-L640</f>
        <v/>
      </c>
      <c r="N640" s="223" t="n"/>
      <c r="O640" s="228">
        <f>U640=E640</f>
        <v/>
      </c>
      <c r="P640" s="228">
        <f>MONTH(F640)-MONTH(T640)</f>
        <v/>
      </c>
      <c r="Q640" s="228">
        <f>$B$5=X640</f>
        <v/>
      </c>
      <c r="R640" s="228">
        <f>I640-AD640</f>
        <v/>
      </c>
      <c r="S640" s="371" t="n"/>
      <c r="T640" s="378" t="n">
        <v>45805</v>
      </c>
      <c r="U640" s="379" t="inlineStr">
        <is>
          <t>WL25-001897</t>
        </is>
      </c>
      <c r="V640" s="379" t="n"/>
      <c r="W640" s="379" t="n"/>
      <c r="X640" s="380" t="n"/>
      <c r="Y640" s="381" t="inlineStr">
        <is>
          <t>ហូលីដេ ឌីហ្សាញ (ខេមបូឌា) ឯ.ក</t>
        </is>
      </c>
      <c r="Z640" s="382" t="n"/>
      <c r="AA640" s="382" t="n"/>
      <c r="AB640" s="382" t="n"/>
      <c r="AC640" s="383" t="n"/>
      <c r="AD640" s="382" t="n">
        <v>156117</v>
      </c>
      <c r="AE640" s="382" t="n"/>
      <c r="AF640" s="382" t="n"/>
      <c r="AG640" s="382" t="n"/>
      <c r="AH640" s="382" t="n"/>
      <c r="AI640" s="382" t="n"/>
      <c r="AJ640" s="382" t="n"/>
      <c r="AK640" s="382" t="n"/>
      <c r="AL640" s="384" t="n"/>
      <c r="AM640" s="383" t="n"/>
      <c r="AN640" s="381" t="n"/>
    </row>
    <row r="641">
      <c r="A641" s="222">
        <f>A640+1</f>
        <v/>
      </c>
      <c r="B641" s="224" t="inlineStr">
        <is>
          <t>Lift-Off-Ex</t>
        </is>
      </c>
      <c r="C641" s="224" t="inlineStr">
        <is>
          <t>PHNOM PENH AUTONOMOUS PORT "PPAP"</t>
        </is>
      </c>
      <c r="D641" s="225" t="inlineStr">
        <is>
          <t>L001-100044999</t>
        </is>
      </c>
      <c r="E641" s="359" t="inlineStr">
        <is>
          <t>INV20250542478</t>
        </is>
      </c>
      <c r="F641" s="338" t="n">
        <v>45805</v>
      </c>
      <c r="G641" s="226" t="n"/>
      <c r="H641" s="627" t="n"/>
      <c r="I641" s="627" t="n">
        <v>28021</v>
      </c>
      <c r="J641" s="223" t="inlineStr">
        <is>
          <t>អនុញ្ញាត (បានប្រកាស)</t>
        </is>
      </c>
      <c r="K641" s="628" t="n"/>
      <c r="L641" s="626">
        <f>I641</f>
        <v/>
      </c>
      <c r="M641" s="598">
        <f>I641-L641</f>
        <v/>
      </c>
      <c r="N641" s="223" t="n"/>
      <c r="O641" s="228">
        <f>U641=E641</f>
        <v/>
      </c>
      <c r="P641" s="228">
        <f>MONTH(F641)-MONTH(T641)</f>
        <v/>
      </c>
      <c r="Q641" s="228">
        <f>$B$5=X641</f>
        <v/>
      </c>
      <c r="R641" s="228">
        <f>I641-AD641</f>
        <v/>
      </c>
      <c r="S641" s="371" t="n"/>
      <c r="T641" s="372" t="n">
        <v>45805</v>
      </c>
      <c r="U641" s="371" t="inlineStr">
        <is>
          <t>INV20250542478</t>
        </is>
      </c>
      <c r="V641" s="371" t="n">
        <v>0</v>
      </c>
      <c r="W641" s="371" t="inlineStr">
        <is>
          <t>បុគ្គលជាប់អាករ</t>
        </is>
      </c>
      <c r="X641" s="371" t="inlineStr">
        <is>
          <t>L001-901640009</t>
        </is>
      </c>
      <c r="Y641" s="371" t="inlineStr">
        <is>
          <t>ហូលីដេ ឌីហ្សាញ (ខេមបូឌា) ឯ.ក</t>
        </is>
      </c>
      <c r="Z641" s="373" t="n">
        <v>308231</v>
      </c>
      <c r="AA641" s="373" t="n">
        <v>280210</v>
      </c>
      <c r="AB641" s="371" t="n">
        <v>0</v>
      </c>
      <c r="AC641" s="371" t="inlineStr">
        <is>
          <t>-</t>
        </is>
      </c>
      <c r="AD641" s="373" t="n">
        <v>28021</v>
      </c>
      <c r="AE641" s="371" t="n">
        <v>0</v>
      </c>
      <c r="AF641" s="625" t="n">
        <v>0</v>
      </c>
      <c r="AG641" s="205" t="n">
        <v>0</v>
      </c>
      <c r="AH641" s="205" t="n">
        <v>0</v>
      </c>
      <c r="AI641" s="205" t="n">
        <v>0</v>
      </c>
      <c r="AJ641" s="205" t="n">
        <v>0</v>
      </c>
      <c r="AK641" s="205" t="n">
        <v>0</v>
      </c>
      <c r="AL641" s="205" t="n">
        <v>0.01</v>
      </c>
      <c r="AM641" s="205" t="n">
        <v>0</v>
      </c>
      <c r="AN641" s="205" t="inlineStr">
        <is>
          <t>ចំណូលពីសេវាកម្ម (លើកដាក់ទំនិញ)</t>
        </is>
      </c>
    </row>
    <row r="642">
      <c r="A642" s="222">
        <f>A641+1</f>
        <v/>
      </c>
      <c r="B642" s="224" t="inlineStr">
        <is>
          <t>Trucking &amp; Clearance-Ex</t>
        </is>
      </c>
      <c r="C642" s="224" t="inlineStr">
        <is>
          <t>KR GLOBAL LOGISTICS CO., LTD.</t>
        </is>
      </c>
      <c r="D642" s="225" t="inlineStr">
        <is>
          <t>K005-902004162</t>
        </is>
      </c>
      <c r="E642" s="359" t="inlineStr">
        <is>
          <t>KR252617</t>
        </is>
      </c>
      <c r="F642" s="338" t="n">
        <v>45807</v>
      </c>
      <c r="G642" s="226" t="n"/>
      <c r="H642" s="627" t="n"/>
      <c r="I642" s="627" t="n">
        <v>839849</v>
      </c>
      <c r="J642" s="223" t="inlineStr">
        <is>
          <t>អនុញ្ញាត (បានប្រកាស)</t>
        </is>
      </c>
      <c r="K642" s="628" t="n"/>
      <c r="L642" s="626">
        <f>I642</f>
        <v/>
      </c>
      <c r="M642" s="598">
        <f>I642-L642</f>
        <v/>
      </c>
      <c r="N642" s="223" t="n"/>
      <c r="O642" s="228">
        <f>U642=E642</f>
        <v/>
      </c>
      <c r="P642" s="228">
        <f>MONTH(F642)-MONTH(T642)</f>
        <v/>
      </c>
      <c r="Q642" s="228">
        <f>$B$5=X642</f>
        <v/>
      </c>
      <c r="R642" s="228">
        <f>I642-AD642</f>
        <v/>
      </c>
      <c r="S642" s="371" t="n"/>
      <c r="T642" s="372" t="n">
        <v>45807</v>
      </c>
      <c r="U642" s="371" t="inlineStr">
        <is>
          <t>KR252617</t>
        </is>
      </c>
      <c r="V642" s="371" t="n"/>
      <c r="W642" s="371" t="n"/>
      <c r="X642" s="371" t="n"/>
      <c r="Y642" s="371" t="inlineStr">
        <is>
          <t>ហូលីដេ ឌីហ្សាញ (ខេមបូឌា) ឯ.ក</t>
        </is>
      </c>
      <c r="Z642" s="373" t="n"/>
      <c r="AA642" s="373" t="n"/>
      <c r="AB642" s="371" t="n"/>
      <c r="AC642" s="371" t="n"/>
      <c r="AD642" s="373" t="n">
        <v>839849</v>
      </c>
      <c r="AE642" s="371" t="n"/>
      <c r="AF642" s="625" t="n"/>
    </row>
    <row r="643">
      <c r="A643" s="222">
        <f>A642+1</f>
        <v/>
      </c>
      <c r="B643" s="224" t="inlineStr">
        <is>
          <t>Trucking &amp; Clearance-Ex</t>
        </is>
      </c>
      <c r="C643" s="224" t="inlineStr">
        <is>
          <t>KR GLOBAL LOGISTICS CO., LTD.</t>
        </is>
      </c>
      <c r="D643" s="225" t="inlineStr">
        <is>
          <t>K005-902004162</t>
        </is>
      </c>
      <c r="E643" s="359" t="inlineStr">
        <is>
          <t>KR252616</t>
        </is>
      </c>
      <c r="F643" s="338" t="n">
        <v>45807</v>
      </c>
      <c r="G643" s="226" t="n"/>
      <c r="H643" s="627" t="n"/>
      <c r="I643" s="627" t="n">
        <v>169412</v>
      </c>
      <c r="J643" s="223" t="inlineStr">
        <is>
          <t>អនុញ្ញាត (បានប្រកាស)</t>
        </is>
      </c>
      <c r="K643" s="628" t="n"/>
      <c r="L643" s="626">
        <f>I643</f>
        <v/>
      </c>
      <c r="M643" s="598">
        <f>I643-L643</f>
        <v/>
      </c>
      <c r="N643" s="223" t="n"/>
      <c r="O643" s="228">
        <f>U643=E643</f>
        <v/>
      </c>
      <c r="P643" s="228">
        <f>MONTH(F643)-MONTH(T643)</f>
        <v/>
      </c>
      <c r="Q643" s="228">
        <f>$B$5=X643</f>
        <v/>
      </c>
      <c r="R643" s="228">
        <f>I643-AD643</f>
        <v/>
      </c>
      <c r="S643" s="371" t="n"/>
      <c r="T643" s="372" t="n">
        <v>45807</v>
      </c>
      <c r="U643" s="371" t="inlineStr">
        <is>
          <t>KR252616</t>
        </is>
      </c>
      <c r="V643" s="371" t="n"/>
      <c r="W643" s="371" t="n"/>
      <c r="X643" s="371" t="n"/>
      <c r="Y643" s="371" t="inlineStr">
        <is>
          <t>ហូលីដេ ឌីហ្សាញ (ខេមបូឌា) ឯ.ក</t>
        </is>
      </c>
      <c r="Z643" s="373" t="n"/>
      <c r="AA643" s="373" t="n"/>
      <c r="AB643" s="371" t="n"/>
      <c r="AC643" s="371" t="n"/>
      <c r="AD643" s="373" t="n">
        <v>169412</v>
      </c>
      <c r="AE643" s="371" t="n"/>
      <c r="AF643" s="625" t="n"/>
    </row>
    <row r="644">
      <c r="A644" s="222">
        <f>A643+1</f>
        <v/>
      </c>
      <c r="B644" s="224" t="inlineStr">
        <is>
          <t>Trucking &amp; Clearance-Ex</t>
        </is>
      </c>
      <c r="C644" s="224" t="inlineStr">
        <is>
          <t>KR GLOBAL LOGISTICS CO., LTD.</t>
        </is>
      </c>
      <c r="D644" s="225" t="inlineStr">
        <is>
          <t>K005-902004162</t>
        </is>
      </c>
      <c r="E644" s="359" t="inlineStr">
        <is>
          <t>KR252615</t>
        </is>
      </c>
      <c r="F644" s="338" t="n">
        <v>45807</v>
      </c>
      <c r="G644" s="226" t="n"/>
      <c r="H644" s="627" t="n"/>
      <c r="I644" s="627" t="n">
        <v>673441</v>
      </c>
      <c r="J644" s="223" t="inlineStr">
        <is>
          <t>អនុញ្ញាត (បានប្រកាស)</t>
        </is>
      </c>
      <c r="K644" s="628" t="n"/>
      <c r="L644" s="626">
        <f>I644</f>
        <v/>
      </c>
      <c r="M644" s="598">
        <f>I644-L644</f>
        <v/>
      </c>
      <c r="N644" s="223" t="n"/>
      <c r="O644" s="228">
        <f>U644=E644</f>
        <v/>
      </c>
      <c r="P644" s="228">
        <f>MONTH(F644)-MONTH(T644)</f>
        <v/>
      </c>
      <c r="Q644" s="228">
        <f>$B$5=X644</f>
        <v/>
      </c>
      <c r="R644" s="228">
        <f>I644-AD644</f>
        <v/>
      </c>
      <c r="S644" s="371" t="n"/>
      <c r="T644" s="372" t="n">
        <v>45807</v>
      </c>
      <c r="U644" s="371" t="inlineStr">
        <is>
          <t>KR252615</t>
        </is>
      </c>
      <c r="V644" s="371" t="n"/>
      <c r="W644" s="371" t="n"/>
      <c r="X644" s="371" t="n"/>
      <c r="Y644" s="371" t="inlineStr">
        <is>
          <t>ហូលីដេ ឌីហ្សាញ (ខេមបូឌា) ឯ.ក</t>
        </is>
      </c>
      <c r="Z644" s="373" t="n"/>
      <c r="AA644" s="373" t="n"/>
      <c r="AB644" s="371" t="n"/>
      <c r="AC644" s="371" t="n"/>
      <c r="AD644" s="373" t="n">
        <v>673441</v>
      </c>
      <c r="AE644" s="371" t="n"/>
      <c r="AF644" s="625" t="n"/>
    </row>
    <row r="645">
      <c r="A645" s="222">
        <f>A644+1</f>
        <v/>
      </c>
      <c r="B645" s="224" t="inlineStr">
        <is>
          <t>Trucking &amp; Clearance-Ex</t>
        </is>
      </c>
      <c r="C645" s="224" t="inlineStr">
        <is>
          <t>KR GLOBAL LOGISTICS CO., LTD.</t>
        </is>
      </c>
      <c r="D645" s="225" t="inlineStr">
        <is>
          <t>K005-902004162</t>
        </is>
      </c>
      <c r="E645" s="359" t="inlineStr">
        <is>
          <t>KR252614</t>
        </is>
      </c>
      <c r="F645" s="338" t="n">
        <v>45807</v>
      </c>
      <c r="G645" s="226" t="n"/>
      <c r="H645" s="627" t="n"/>
      <c r="I645" s="627" t="n">
        <v>678848</v>
      </c>
      <c r="J645" s="223" t="inlineStr">
        <is>
          <t>អនុញ្ញាត (បានប្រកាស)</t>
        </is>
      </c>
      <c r="K645" s="628" t="n"/>
      <c r="L645" s="626">
        <f>I645</f>
        <v/>
      </c>
      <c r="M645" s="598">
        <f>I645-L645</f>
        <v/>
      </c>
      <c r="N645" s="223" t="n"/>
      <c r="O645" s="228">
        <f>U645=E645</f>
        <v/>
      </c>
      <c r="P645" s="228">
        <f>MONTH(F645)-MONTH(T645)</f>
        <v/>
      </c>
      <c r="Q645" s="228">
        <f>$B$5=X645</f>
        <v/>
      </c>
      <c r="R645" s="228">
        <f>I645-AD645</f>
        <v/>
      </c>
      <c r="S645" s="371" t="n"/>
      <c r="T645" s="372" t="n">
        <v>45807</v>
      </c>
      <c r="U645" s="371" t="inlineStr">
        <is>
          <t>KR252614</t>
        </is>
      </c>
      <c r="V645" s="371" t="n"/>
      <c r="W645" s="371" t="n"/>
      <c r="X645" s="371" t="n"/>
      <c r="Y645" s="371" t="inlineStr">
        <is>
          <t>ហូលីដេ ឌីហ្សាញ (ខេមបូឌា) ឯ.ក</t>
        </is>
      </c>
      <c r="Z645" s="373" t="n"/>
      <c r="AA645" s="373" t="n"/>
      <c r="AB645" s="371" t="n"/>
      <c r="AC645" s="371" t="n"/>
      <c r="AD645" s="373" t="n">
        <v>678848</v>
      </c>
      <c r="AE645" s="371" t="n"/>
      <c r="AF645" s="625" t="n"/>
    </row>
    <row r="646">
      <c r="A646" s="222">
        <f>A645+1</f>
        <v/>
      </c>
      <c r="B646" s="224" t="inlineStr">
        <is>
          <t>Trucking &amp; Clearance-Ex</t>
        </is>
      </c>
      <c r="C646" s="224" t="inlineStr">
        <is>
          <t>KR GLOBAL LOGISTICS CO., LTD.</t>
        </is>
      </c>
      <c r="D646" s="225" t="inlineStr">
        <is>
          <t>K005-902004162</t>
        </is>
      </c>
      <c r="E646" s="359" t="inlineStr">
        <is>
          <t>KR252612</t>
        </is>
      </c>
      <c r="F646" s="338" t="n">
        <v>45807</v>
      </c>
      <c r="G646" s="226" t="n"/>
      <c r="H646" s="627" t="n"/>
      <c r="I646" s="627" t="n">
        <v>210663</v>
      </c>
      <c r="J646" s="223" t="inlineStr">
        <is>
          <t>អនុញ្ញាត (បានប្រកាស)</t>
        </is>
      </c>
      <c r="K646" s="628" t="n"/>
      <c r="L646" s="626">
        <f>I646</f>
        <v/>
      </c>
      <c r="M646" s="598">
        <f>I646-L646</f>
        <v/>
      </c>
      <c r="N646" s="223" t="n"/>
      <c r="O646" s="228">
        <f>U646=E646</f>
        <v/>
      </c>
      <c r="P646" s="228">
        <f>MONTH(F646)-MONTH(T646)</f>
        <v/>
      </c>
      <c r="Q646" s="228">
        <f>$B$5=X646</f>
        <v/>
      </c>
      <c r="R646" s="228">
        <f>I646-AD646</f>
        <v/>
      </c>
      <c r="S646" s="371" t="n"/>
      <c r="T646" s="372" t="n">
        <v>45807</v>
      </c>
      <c r="U646" s="371" t="inlineStr">
        <is>
          <t>KR252612</t>
        </is>
      </c>
      <c r="V646" s="371" t="n"/>
      <c r="W646" s="371" t="n"/>
      <c r="X646" s="371" t="n"/>
      <c r="Y646" s="371" t="inlineStr">
        <is>
          <t>ហូលីដេ ឌីហ្សាញ (ខេមបូឌា) ឯ.ក</t>
        </is>
      </c>
      <c r="Z646" s="373" t="n"/>
      <c r="AA646" s="373" t="n"/>
      <c r="AB646" s="371" t="n"/>
      <c r="AC646" s="371" t="n"/>
      <c r="AD646" s="373" t="n">
        <v>210663</v>
      </c>
      <c r="AE646" s="371" t="n"/>
      <c r="AF646" s="625" t="n"/>
    </row>
    <row r="647">
      <c r="A647" s="222">
        <f>A646+1</f>
        <v/>
      </c>
      <c r="B647" s="224" t="inlineStr">
        <is>
          <t>Lift-Off-Ex</t>
        </is>
      </c>
      <c r="C647" s="224" t="inlineStr">
        <is>
          <t>PHNOM PENH AUTONOMOUS PORT "PPAP"</t>
        </is>
      </c>
      <c r="D647" s="225" t="inlineStr">
        <is>
          <t>L001-100044999</t>
        </is>
      </c>
      <c r="E647" s="359" t="inlineStr">
        <is>
          <t>INV20250541767</t>
        </is>
      </c>
      <c r="F647" s="338" t="n">
        <v>45803</v>
      </c>
      <c r="G647" s="226" t="n"/>
      <c r="H647" s="627" t="n"/>
      <c r="I647" s="627" t="n">
        <v>18409</v>
      </c>
      <c r="J647" s="223" t="inlineStr">
        <is>
          <t>អនុញ្ញាត (បានប្រកាស)</t>
        </is>
      </c>
      <c r="K647" s="628" t="n"/>
      <c r="L647" s="626">
        <f>I647</f>
        <v/>
      </c>
      <c r="M647" s="598">
        <f>I647-L647</f>
        <v/>
      </c>
      <c r="N647" s="223" t="n"/>
      <c r="O647" s="228">
        <f>U647=E647</f>
        <v/>
      </c>
      <c r="P647" s="228">
        <f>MONTH(F647)-MONTH(T647)</f>
        <v/>
      </c>
      <c r="Q647" s="228">
        <f>$B$5=X647</f>
        <v/>
      </c>
      <c r="R647" s="228">
        <f>I647-AD647</f>
        <v/>
      </c>
      <c r="S647" s="371" t="n"/>
      <c r="T647" s="372" t="n">
        <v>45803</v>
      </c>
      <c r="U647" s="371" t="inlineStr">
        <is>
          <t>INV20250541767</t>
        </is>
      </c>
      <c r="V647" s="371" t="n">
        <v>0</v>
      </c>
      <c r="W647" s="371" t="inlineStr">
        <is>
          <t>បុគ្គលជាប់អាករ</t>
        </is>
      </c>
      <c r="X647" s="371" t="inlineStr">
        <is>
          <t>L001-901640009</t>
        </is>
      </c>
      <c r="Y647" s="371" t="inlineStr">
        <is>
          <t>ហូលីដេ ឌីហ្សាញ (ខេមបូឌា) ឯ.ក</t>
        </is>
      </c>
      <c r="Z647" s="373" t="n">
        <v>202499</v>
      </c>
      <c r="AA647" s="373" t="n">
        <v>184090</v>
      </c>
      <c r="AB647" s="371" t="n">
        <v>0</v>
      </c>
      <c r="AC647" s="371" t="inlineStr">
        <is>
          <t>-</t>
        </is>
      </c>
      <c r="AD647" s="373" t="n">
        <v>18409</v>
      </c>
      <c r="AE647" s="371" t="n">
        <v>0</v>
      </c>
      <c r="AF647" s="625" t="n">
        <v>0</v>
      </c>
      <c r="AG647" s="205" t="n">
        <v>0</v>
      </c>
      <c r="AH647" s="205" t="n">
        <v>0</v>
      </c>
      <c r="AI647" s="205" t="n">
        <v>0</v>
      </c>
      <c r="AJ647" s="205" t="n">
        <v>0</v>
      </c>
      <c r="AK647" s="205" t="n">
        <v>0</v>
      </c>
      <c r="AL647" s="205" t="n">
        <v>0.01</v>
      </c>
      <c r="AM647" s="205" t="n">
        <v>0</v>
      </c>
      <c r="AN647" s="205" t="inlineStr">
        <is>
          <t>ចំណូលពីសេវាកម្ម (លើកដាក់ទំនិញ)</t>
        </is>
      </c>
    </row>
    <row r="648">
      <c r="A648" s="222">
        <f>A647+1</f>
        <v/>
      </c>
      <c r="B648" s="224" t="inlineStr">
        <is>
          <t>Trucking &amp; Clearance-Ex</t>
        </is>
      </c>
      <c r="C648" s="224" t="inlineStr">
        <is>
          <t>KR GLOBAL LOGISTICS CO., LTD.</t>
        </is>
      </c>
      <c r="D648" s="225" t="inlineStr">
        <is>
          <t>K005-902004162</t>
        </is>
      </c>
      <c r="E648" s="359" t="inlineStr">
        <is>
          <t>KR252611</t>
        </is>
      </c>
      <c r="F648" s="338" t="n">
        <v>45807</v>
      </c>
      <c r="G648" s="226" t="n"/>
      <c r="H648" s="627" t="n"/>
      <c r="I648" s="627" t="n">
        <v>161402</v>
      </c>
      <c r="J648" s="223" t="inlineStr">
        <is>
          <t>អនុញ្ញាត (បានប្រកាស)</t>
        </is>
      </c>
      <c r="K648" s="628" t="n"/>
      <c r="L648" s="626">
        <f>I648</f>
        <v/>
      </c>
      <c r="M648" s="598">
        <f>I648-L648</f>
        <v/>
      </c>
      <c r="N648" s="223" t="n"/>
      <c r="O648" s="228">
        <f>U648=E648</f>
        <v/>
      </c>
      <c r="P648" s="228">
        <f>MONTH(F648)-MONTH(T648)</f>
        <v/>
      </c>
      <c r="Q648" s="228">
        <f>$B$5=X648</f>
        <v/>
      </c>
      <c r="R648" s="228">
        <f>I648-AD648</f>
        <v/>
      </c>
      <c r="S648" s="371" t="n"/>
      <c r="T648" s="372" t="n">
        <v>45807</v>
      </c>
      <c r="U648" s="371" t="inlineStr">
        <is>
          <t>KR252611</t>
        </is>
      </c>
      <c r="V648" s="371" t="n"/>
      <c r="W648" s="371" t="n"/>
      <c r="X648" s="371" t="n"/>
      <c r="Y648" s="371" t="inlineStr">
        <is>
          <t>ហូលីដេ ឌីហ្សាញ (ខេមបូឌា) ឯ.ក</t>
        </is>
      </c>
      <c r="Z648" s="373" t="n"/>
      <c r="AA648" s="373" t="n"/>
      <c r="AB648" s="371" t="n"/>
      <c r="AC648" s="371" t="n"/>
      <c r="AD648" s="373" t="n">
        <v>161402</v>
      </c>
      <c r="AE648" s="371" t="n"/>
      <c r="AF648" s="625" t="n"/>
    </row>
    <row r="649">
      <c r="A649" s="222">
        <f>A648+1</f>
        <v/>
      </c>
      <c r="B649" s="224" t="inlineStr">
        <is>
          <t>Lift-Off-Ex</t>
        </is>
      </c>
      <c r="C649" s="224" t="inlineStr">
        <is>
          <t>PHNOM PENH AUTONOMOUS PORT "PPAP"</t>
        </is>
      </c>
      <c r="D649" s="225" t="inlineStr">
        <is>
          <t>L001-100044999</t>
        </is>
      </c>
      <c r="E649" s="359" t="inlineStr">
        <is>
          <t>INV20250541766</t>
        </is>
      </c>
      <c r="F649" s="338" t="n">
        <v>45803</v>
      </c>
      <c r="G649" s="226" t="n"/>
      <c r="H649" s="627" t="n"/>
      <c r="I649" s="627" t="n">
        <v>28014</v>
      </c>
      <c r="J649" s="223" t="inlineStr">
        <is>
          <t>អនុញ្ញាត (បានប្រកាស)</t>
        </is>
      </c>
      <c r="K649" s="628" t="n"/>
      <c r="L649" s="626">
        <f>I649</f>
        <v/>
      </c>
      <c r="M649" s="598">
        <f>I649-L649</f>
        <v/>
      </c>
      <c r="N649" s="223" t="n"/>
      <c r="O649" s="228">
        <f>U649=E649</f>
        <v/>
      </c>
      <c r="P649" s="228">
        <f>MONTH(F649)-MONTH(T649)</f>
        <v/>
      </c>
      <c r="Q649" s="228">
        <f>$B$5=X649</f>
        <v/>
      </c>
      <c r="R649" s="228">
        <f>I649-AD649</f>
        <v/>
      </c>
      <c r="S649" s="371" t="n"/>
      <c r="T649" s="372" t="n">
        <v>45803</v>
      </c>
      <c r="U649" s="371" t="inlineStr">
        <is>
          <t>INV20250541766</t>
        </is>
      </c>
      <c r="V649" s="371" t="n">
        <v>0</v>
      </c>
      <c r="W649" s="371" t="inlineStr">
        <is>
          <t>បុគ្គលជាប់អាករ</t>
        </is>
      </c>
      <c r="X649" s="371" t="inlineStr">
        <is>
          <t>L001-901640009</t>
        </is>
      </c>
      <c r="Y649" s="371" t="inlineStr">
        <is>
          <t>ហូលីដេ ឌីហ្សាញ (ខេមបូឌា) ឯ.ក</t>
        </is>
      </c>
      <c r="Z649" s="373" t="n">
        <v>308154</v>
      </c>
      <c r="AA649" s="373" t="n">
        <v>280140</v>
      </c>
      <c r="AB649" s="371" t="n">
        <v>0</v>
      </c>
      <c r="AC649" s="371" t="inlineStr">
        <is>
          <t>-</t>
        </is>
      </c>
      <c r="AD649" s="373" t="n">
        <v>28014</v>
      </c>
      <c r="AE649" s="371" t="n">
        <v>0</v>
      </c>
      <c r="AF649" s="625" t="n">
        <v>0</v>
      </c>
      <c r="AG649" s="205" t="n">
        <v>0</v>
      </c>
      <c r="AH649" s="205" t="n">
        <v>0</v>
      </c>
      <c r="AI649" s="205" t="n">
        <v>0</v>
      </c>
      <c r="AJ649" s="205" t="n">
        <v>0</v>
      </c>
      <c r="AK649" s="205" t="n">
        <v>0</v>
      </c>
      <c r="AL649" s="205" t="n">
        <v>0.01</v>
      </c>
      <c r="AM649" s="205" t="n">
        <v>0</v>
      </c>
      <c r="AN649" s="205" t="inlineStr">
        <is>
          <t>ចំណូលពីសេវាកម្ម (លើកដាក់ទំនិញ)</t>
        </is>
      </c>
    </row>
    <row r="650">
      <c r="A650" s="222">
        <f>A649+1</f>
        <v/>
      </c>
      <c r="B650" s="224" t="inlineStr">
        <is>
          <t>Trucking &amp; Clearance-Ex</t>
        </is>
      </c>
      <c r="C650" s="224" t="inlineStr">
        <is>
          <t>KR GLOBAL LOGISTICS CO., LTD.</t>
        </is>
      </c>
      <c r="D650" s="225" t="inlineStr">
        <is>
          <t>K005-902004162</t>
        </is>
      </c>
      <c r="E650" s="359" t="inlineStr">
        <is>
          <t>KR252610</t>
        </is>
      </c>
      <c r="F650" s="338" t="n">
        <v>45807</v>
      </c>
      <c r="G650" s="226" t="n"/>
      <c r="H650" s="627" t="n"/>
      <c r="I650" s="627" t="n">
        <v>169412</v>
      </c>
      <c r="J650" s="223" t="inlineStr">
        <is>
          <t>អនុញ្ញាត (បានប្រកាស)</t>
        </is>
      </c>
      <c r="K650" s="628" t="n"/>
      <c r="L650" s="626">
        <f>I650</f>
        <v/>
      </c>
      <c r="M650" s="598">
        <f>I650-L650</f>
        <v/>
      </c>
      <c r="N650" s="223" t="n"/>
      <c r="O650" s="228">
        <f>U650=E650</f>
        <v/>
      </c>
      <c r="P650" s="228">
        <f>MONTH(F650)-MONTH(T650)</f>
        <v/>
      </c>
      <c r="Q650" s="228">
        <f>$B$5=X650</f>
        <v/>
      </c>
      <c r="R650" s="228">
        <f>I650-AD650</f>
        <v/>
      </c>
      <c r="S650" s="371" t="n"/>
      <c r="T650" s="372" t="n">
        <v>45807</v>
      </c>
      <c r="U650" s="371" t="inlineStr">
        <is>
          <t>KR252610</t>
        </is>
      </c>
      <c r="V650" s="371" t="n"/>
      <c r="W650" s="371" t="n"/>
      <c r="X650" s="371" t="n"/>
      <c r="Y650" s="371" t="inlineStr">
        <is>
          <t>ហូលីដេ ឌីហ្សាញ (ខេមបូឌា) ឯ.ក</t>
        </is>
      </c>
      <c r="Z650" s="373" t="n"/>
      <c r="AA650" s="373" t="n"/>
      <c r="AB650" s="371" t="n"/>
      <c r="AC650" s="371" t="n"/>
      <c r="AD650" s="373" t="n">
        <v>169412</v>
      </c>
      <c r="AE650" s="371" t="n"/>
      <c r="AF650" s="625" t="n"/>
    </row>
    <row r="651">
      <c r="A651" s="222">
        <f>A650+1</f>
        <v/>
      </c>
      <c r="B651" s="224" t="inlineStr">
        <is>
          <t>Lift-Off-Ex</t>
        </is>
      </c>
      <c r="C651" s="224" t="inlineStr">
        <is>
          <t>PHNOM PENH AUTONOMOUS PORT "PPAP"</t>
        </is>
      </c>
      <c r="D651" s="225" t="inlineStr">
        <is>
          <t>L001-100044999</t>
        </is>
      </c>
      <c r="E651" s="359" t="inlineStr">
        <is>
          <t>INV20250541764</t>
        </is>
      </c>
      <c r="F651" s="338" t="n">
        <v>45803</v>
      </c>
      <c r="G651" s="226" t="n"/>
      <c r="H651" s="627" t="n"/>
      <c r="I651" s="627" t="n">
        <v>28014</v>
      </c>
      <c r="J651" s="223" t="inlineStr">
        <is>
          <t>អនុញ្ញាត (បានប្រកាស)</t>
        </is>
      </c>
      <c r="K651" s="628" t="n"/>
      <c r="L651" s="626">
        <f>I651</f>
        <v/>
      </c>
      <c r="M651" s="598">
        <f>I651-L651</f>
        <v/>
      </c>
      <c r="N651" s="223" t="n"/>
      <c r="O651" s="228">
        <f>U651=E651</f>
        <v/>
      </c>
      <c r="P651" s="228">
        <f>MONTH(F651)-MONTH(T651)</f>
        <v/>
      </c>
      <c r="Q651" s="228">
        <f>$B$5=X651</f>
        <v/>
      </c>
      <c r="R651" s="228">
        <f>I651-AD651</f>
        <v/>
      </c>
      <c r="S651" s="371" t="n"/>
      <c r="T651" s="372" t="n">
        <v>45803</v>
      </c>
      <c r="U651" s="371" t="inlineStr">
        <is>
          <t>INV20250541764</t>
        </is>
      </c>
      <c r="V651" s="371" t="n">
        <v>0</v>
      </c>
      <c r="W651" s="371" t="inlineStr">
        <is>
          <t>បុគ្គលជាប់អាករ</t>
        </is>
      </c>
      <c r="X651" s="371" t="inlineStr">
        <is>
          <t>L001-901640009</t>
        </is>
      </c>
      <c r="Y651" s="371" t="inlineStr">
        <is>
          <t>ហូលីដេ ឌីហ្សាញ (ខេមបូឌា) ឯ.ក</t>
        </is>
      </c>
      <c r="Z651" s="373" t="n">
        <v>308154</v>
      </c>
      <c r="AA651" s="373" t="n">
        <v>280140</v>
      </c>
      <c r="AB651" s="371" t="n">
        <v>0</v>
      </c>
      <c r="AC651" s="371" t="inlineStr">
        <is>
          <t>-</t>
        </is>
      </c>
      <c r="AD651" s="373" t="n">
        <v>28014</v>
      </c>
      <c r="AE651" s="371" t="n">
        <v>0</v>
      </c>
      <c r="AF651" s="625" t="n">
        <v>0</v>
      </c>
      <c r="AG651" s="205" t="n">
        <v>0</v>
      </c>
      <c r="AH651" s="205" t="n">
        <v>0</v>
      </c>
      <c r="AI651" s="205" t="n">
        <v>0</v>
      </c>
      <c r="AJ651" s="205" t="n">
        <v>0</v>
      </c>
      <c r="AK651" s="205" t="n">
        <v>0</v>
      </c>
      <c r="AL651" s="205" t="n">
        <v>0.01</v>
      </c>
      <c r="AM651" s="205" t="n">
        <v>0</v>
      </c>
      <c r="AN651" s="205" t="inlineStr">
        <is>
          <t>ចំណូលពីសេវាកម្ម (លើកដាក់ទំនិញ)</t>
        </is>
      </c>
    </row>
    <row r="652">
      <c r="A652" s="222">
        <f>A651+1</f>
        <v/>
      </c>
      <c r="B652" s="224" t="inlineStr">
        <is>
          <t>Trucking &amp; Clearance-Ex</t>
        </is>
      </c>
      <c r="C652" s="224" t="inlineStr">
        <is>
          <t>KR GLOBAL LOGISTICS CO., LTD.</t>
        </is>
      </c>
      <c r="D652" s="225" t="inlineStr">
        <is>
          <t>K005-902004162</t>
        </is>
      </c>
      <c r="E652" s="359" t="inlineStr">
        <is>
          <t>KR252607</t>
        </is>
      </c>
      <c r="F652" s="338" t="n">
        <v>45807</v>
      </c>
      <c r="G652" s="226" t="n"/>
      <c r="H652" s="627" t="n"/>
      <c r="I652" s="627" t="n">
        <v>169412</v>
      </c>
      <c r="J652" s="223" t="inlineStr">
        <is>
          <t>អនុញ្ញាត (បានប្រកាស)</t>
        </is>
      </c>
      <c r="K652" s="628" t="n"/>
      <c r="L652" s="626">
        <f>I652</f>
        <v/>
      </c>
      <c r="M652" s="598">
        <f>I652-L652</f>
        <v/>
      </c>
      <c r="N652" s="223" t="n"/>
      <c r="O652" s="228">
        <f>U652=E652</f>
        <v/>
      </c>
      <c r="P652" s="228">
        <f>MONTH(F652)-MONTH(T652)</f>
        <v/>
      </c>
      <c r="Q652" s="228">
        <f>$B$5=X652</f>
        <v/>
      </c>
      <c r="R652" s="228">
        <f>I652-AD652</f>
        <v/>
      </c>
      <c r="S652" s="371" t="n"/>
      <c r="T652" s="372" t="n">
        <v>45807</v>
      </c>
      <c r="U652" s="371" t="inlineStr">
        <is>
          <t>KR252607</t>
        </is>
      </c>
      <c r="V652" s="371" t="n"/>
      <c r="W652" s="371" t="n"/>
      <c r="X652" s="371" t="n"/>
      <c r="Y652" s="371" t="inlineStr">
        <is>
          <t>ហូលីដេ ឌីហ្សាញ (ខេមបូឌា) ឯ.ក</t>
        </is>
      </c>
      <c r="Z652" s="373" t="n"/>
      <c r="AA652" s="373" t="n"/>
      <c r="AB652" s="371" t="n"/>
      <c r="AC652" s="371" t="n"/>
      <c r="AD652" s="373" t="n">
        <v>169412</v>
      </c>
      <c r="AE652" s="371" t="n"/>
      <c r="AF652" s="625" t="n"/>
    </row>
    <row r="653">
      <c r="A653" s="222">
        <f>A652+1</f>
        <v/>
      </c>
      <c r="B653" s="224" t="inlineStr">
        <is>
          <t>Trucking &amp; Clearance-Ex</t>
        </is>
      </c>
      <c r="C653" s="224" t="inlineStr">
        <is>
          <t>WANAKA LOGISTICS CO., LTD.</t>
        </is>
      </c>
      <c r="D653" s="225" t="inlineStr">
        <is>
          <t>K005-901907953</t>
        </is>
      </c>
      <c r="E653" s="359" t="inlineStr">
        <is>
          <t>WL25-001757</t>
        </is>
      </c>
      <c r="F653" s="338" t="n">
        <v>45800</v>
      </c>
      <c r="G653" s="226" t="n"/>
      <c r="H653" s="627" t="n"/>
      <c r="I653" s="627" t="n">
        <v>782987</v>
      </c>
      <c r="J653" s="223" t="inlineStr">
        <is>
          <t>អនុញ្ញាត (បានប្រកាស)</t>
        </is>
      </c>
      <c r="K653" s="628" t="n"/>
      <c r="L653" s="626">
        <f>I653</f>
        <v/>
      </c>
      <c r="M653" s="598">
        <f>I653-L653</f>
        <v/>
      </c>
      <c r="N653" s="223" t="n"/>
      <c r="O653" s="228">
        <f>U653=E653</f>
        <v/>
      </c>
      <c r="P653" s="228">
        <f>MONTH(F653)-MONTH(T653)</f>
        <v/>
      </c>
      <c r="Q653" s="228">
        <f>$B$5=X653</f>
        <v/>
      </c>
      <c r="R653" s="228">
        <f>I653-AD653</f>
        <v/>
      </c>
      <c r="S653" s="371" t="n"/>
      <c r="T653" s="372" t="n">
        <v>45800</v>
      </c>
      <c r="U653" s="371" t="inlineStr">
        <is>
          <t>WL25-001757</t>
        </is>
      </c>
      <c r="V653" s="371" t="n"/>
      <c r="W653" s="371" t="n"/>
      <c r="X653" s="371" t="n"/>
      <c r="Y653" s="371" t="inlineStr">
        <is>
          <t>ហូលីដេ ឌីហ្សាញ (ខេមបូឌា) ឯ.ក</t>
        </is>
      </c>
      <c r="Z653" s="373" t="n"/>
      <c r="AA653" s="373" t="n"/>
      <c r="AB653" s="371" t="n"/>
      <c r="AC653" s="371" t="n"/>
      <c r="AD653" s="373" t="n">
        <v>782987</v>
      </c>
      <c r="AE653" s="371" t="n"/>
      <c r="AF653" s="625" t="n"/>
    </row>
    <row r="654">
      <c r="A654" s="222">
        <f>A653+1</f>
        <v/>
      </c>
      <c r="B654" s="224" t="inlineStr">
        <is>
          <t>Lift-Off-Ex</t>
        </is>
      </c>
      <c r="C654" s="224" t="inlineStr">
        <is>
          <t>PHNOM PENH AUTONOMOUS PORT "PPAP"</t>
        </is>
      </c>
      <c r="D654" s="225" t="inlineStr">
        <is>
          <t>L001-100044999</t>
        </is>
      </c>
      <c r="E654" s="359" t="inlineStr">
        <is>
          <t>INV20250539874</t>
        </is>
      </c>
      <c r="F654" s="338" t="n">
        <v>45798</v>
      </c>
      <c r="G654" s="226" t="n"/>
      <c r="H654" s="627" t="n"/>
      <c r="I654" s="627" t="n">
        <v>140105</v>
      </c>
      <c r="J654" s="223" t="inlineStr">
        <is>
          <t>អនុញ្ញាត (បានប្រកាស)</t>
        </is>
      </c>
      <c r="K654" s="628" t="n"/>
      <c r="L654" s="626">
        <f>I654</f>
        <v/>
      </c>
      <c r="M654" s="598">
        <f>I654-L654</f>
        <v/>
      </c>
      <c r="N654" s="223" t="n"/>
      <c r="O654" s="228">
        <f>U654=E654</f>
        <v/>
      </c>
      <c r="P654" s="228">
        <f>MONTH(F654)-MONTH(T654)</f>
        <v/>
      </c>
      <c r="Q654" s="228">
        <f>$B$5=X654</f>
        <v/>
      </c>
      <c r="R654" s="228">
        <f>I654-AD654</f>
        <v/>
      </c>
      <c r="S654" s="371" t="n"/>
      <c r="T654" s="372" t="n">
        <v>45798</v>
      </c>
      <c r="U654" s="371" t="inlineStr">
        <is>
          <t>INV20250539874</t>
        </is>
      </c>
      <c r="V654" s="371" t="n">
        <v>0</v>
      </c>
      <c r="W654" s="371" t="inlineStr">
        <is>
          <t>បុគ្គលជាប់អាករ</t>
        </is>
      </c>
      <c r="X654" s="371" t="inlineStr">
        <is>
          <t>L001-901640009</t>
        </is>
      </c>
      <c r="Y654" s="371" t="inlineStr">
        <is>
          <t>ហូលីដេ ឌីហ្សាញ (ខេមបូឌា) ឯ.ក</t>
        </is>
      </c>
      <c r="Z654" s="373" t="n">
        <v>1541155</v>
      </c>
      <c r="AA654" s="373" t="n">
        <v>1401050</v>
      </c>
      <c r="AB654" s="371" t="n">
        <v>0</v>
      </c>
      <c r="AC654" s="371" t="inlineStr">
        <is>
          <t>-</t>
        </is>
      </c>
      <c r="AD654" s="373" t="n">
        <v>140105</v>
      </c>
      <c r="AE654" s="371" t="n">
        <v>0</v>
      </c>
      <c r="AF654" s="625" t="n">
        <v>0</v>
      </c>
      <c r="AG654" s="205" t="n">
        <v>0</v>
      </c>
      <c r="AH654" s="205" t="n">
        <v>0</v>
      </c>
      <c r="AI654" s="205" t="n">
        <v>0</v>
      </c>
      <c r="AJ654" s="205" t="n">
        <v>0</v>
      </c>
      <c r="AK654" s="205" t="n">
        <v>0</v>
      </c>
      <c r="AL654" s="205" t="n">
        <v>0.01</v>
      </c>
      <c r="AM654" s="205" t="n">
        <v>0</v>
      </c>
      <c r="AN654" s="205" t="inlineStr">
        <is>
          <t>ចំណូលពីសេវាកម្ម (លើកដាក់ទំនិញ)</t>
        </is>
      </c>
    </row>
    <row r="655">
      <c r="A655" s="222">
        <f>A654+1</f>
        <v/>
      </c>
      <c r="B655" s="224" t="inlineStr">
        <is>
          <t>Lift-Off-Ex</t>
        </is>
      </c>
      <c r="C655" s="224" t="inlineStr">
        <is>
          <t>PHNOM PENH AUTONOMOUS PORT "PPAP"</t>
        </is>
      </c>
      <c r="D655" s="225" t="inlineStr">
        <is>
          <t>L001-100044999</t>
        </is>
      </c>
      <c r="E655" s="359" t="inlineStr">
        <is>
          <t>INV20250539882</t>
        </is>
      </c>
      <c r="F655" s="338" t="n">
        <v>45798</v>
      </c>
      <c r="G655" s="226" t="n"/>
      <c r="H655" s="627" t="n"/>
      <c r="I655" s="627" t="n">
        <v>56042</v>
      </c>
      <c r="J655" s="223" t="inlineStr">
        <is>
          <t>អនុញ្ញាត (បានប្រកាស)</t>
        </is>
      </c>
      <c r="K655" s="628" t="n"/>
      <c r="L655" s="626">
        <f>I655</f>
        <v/>
      </c>
      <c r="M655" s="598">
        <f>I655-L655</f>
        <v/>
      </c>
      <c r="N655" s="223" t="n"/>
      <c r="O655" s="228">
        <f>U655=E655</f>
        <v/>
      </c>
      <c r="P655" s="228">
        <f>MONTH(F655)-MONTH(T655)</f>
        <v/>
      </c>
      <c r="Q655" s="228">
        <f>$B$5=X655</f>
        <v/>
      </c>
      <c r="R655" s="228">
        <f>I655-AD655</f>
        <v/>
      </c>
      <c r="S655" s="371" t="n"/>
      <c r="T655" s="372" t="n">
        <v>45798</v>
      </c>
      <c r="U655" s="371" t="inlineStr">
        <is>
          <t>INV20250539882</t>
        </is>
      </c>
      <c r="V655" s="371" t="n">
        <v>0</v>
      </c>
      <c r="W655" s="371" t="inlineStr">
        <is>
          <t>បុគ្គលជាប់អាករ</t>
        </is>
      </c>
      <c r="X655" s="371" t="inlineStr">
        <is>
          <t>L001-901640009</t>
        </is>
      </c>
      <c r="Y655" s="371" t="inlineStr">
        <is>
          <t>ហូលីដេ ឌីហ្សាញ (ខេមបូឌា) ឯ.ក</t>
        </is>
      </c>
      <c r="Z655" s="373" t="n">
        <v>616462</v>
      </c>
      <c r="AA655" s="373" t="n">
        <v>560420</v>
      </c>
      <c r="AB655" s="371" t="n">
        <v>0</v>
      </c>
      <c r="AC655" s="371" t="inlineStr">
        <is>
          <t>-</t>
        </is>
      </c>
      <c r="AD655" s="373" t="n">
        <v>56042</v>
      </c>
      <c r="AE655" s="371" t="n">
        <v>0</v>
      </c>
      <c r="AF655" s="625" t="n">
        <v>0</v>
      </c>
      <c r="AG655" s="205" t="n">
        <v>0</v>
      </c>
      <c r="AH655" s="205" t="n">
        <v>0</v>
      </c>
      <c r="AI655" s="205" t="n">
        <v>0</v>
      </c>
      <c r="AJ655" s="205" t="n">
        <v>0</v>
      </c>
      <c r="AK655" s="205" t="n">
        <v>0</v>
      </c>
      <c r="AL655" s="205" t="n">
        <v>0.01</v>
      </c>
      <c r="AM655" s="205" t="n">
        <v>0</v>
      </c>
      <c r="AN655" s="205" t="inlineStr">
        <is>
          <t>ចំណូលពីសេវាកម្ម (លើកដាក់ទំនិញ)</t>
        </is>
      </c>
    </row>
    <row r="656">
      <c r="A656" s="222">
        <f>A655+1</f>
        <v/>
      </c>
      <c r="B656" s="224" t="inlineStr">
        <is>
          <t>Trucking &amp; Clearance-Ex</t>
        </is>
      </c>
      <c r="C656" s="224" t="inlineStr">
        <is>
          <t>WANAKA LOGISTICS CO., LTD.</t>
        </is>
      </c>
      <c r="D656" s="225" t="inlineStr">
        <is>
          <t>K005-901907953</t>
        </is>
      </c>
      <c r="E656" s="359" t="inlineStr">
        <is>
          <t>WL25-001763</t>
        </is>
      </c>
      <c r="F656" s="338" t="n">
        <v>45800</v>
      </c>
      <c r="G656" s="226" t="n"/>
      <c r="H656" s="627" t="n"/>
      <c r="I656" s="627" t="n">
        <v>314636</v>
      </c>
      <c r="J656" s="223" t="inlineStr">
        <is>
          <t>អនុញ្ញាត (បានប្រកាស)</t>
        </is>
      </c>
      <c r="K656" s="628" t="n"/>
      <c r="L656" s="626">
        <f>I656</f>
        <v/>
      </c>
      <c r="M656" s="598">
        <f>I656-L656</f>
        <v/>
      </c>
      <c r="N656" s="223" t="n"/>
      <c r="O656" s="228">
        <f>U656=E656</f>
        <v/>
      </c>
      <c r="P656" s="228">
        <f>MONTH(F656)-MONTH(T656)</f>
        <v/>
      </c>
      <c r="Q656" s="228">
        <f>$B$5=X656</f>
        <v/>
      </c>
      <c r="R656" s="228">
        <f>I656-AD656</f>
        <v/>
      </c>
      <c r="S656" s="371" t="n"/>
      <c r="T656" s="372" t="n">
        <v>45800</v>
      </c>
      <c r="U656" s="371" t="inlineStr">
        <is>
          <t>WL25-001763</t>
        </is>
      </c>
      <c r="V656" s="371" t="n"/>
      <c r="W656" s="371" t="n"/>
      <c r="X656" s="371" t="n"/>
      <c r="Y656" s="371" t="inlineStr">
        <is>
          <t>ហូលីដេ ឌីហ្សាញ (ខេមបូឌា) ឯ.ក</t>
        </is>
      </c>
      <c r="Z656" s="373" t="n"/>
      <c r="AA656" s="373" t="n"/>
      <c r="AB656" s="371" t="n"/>
      <c r="AC656" s="371" t="n"/>
      <c r="AD656" s="373" t="n">
        <v>314636</v>
      </c>
      <c r="AE656" s="371" t="n"/>
      <c r="AF656" s="625" t="n"/>
    </row>
    <row r="657">
      <c r="A657" s="222">
        <f>A656+1</f>
        <v/>
      </c>
      <c r="B657" s="224" t="inlineStr">
        <is>
          <t>Storage 40 Feet Container-Ex</t>
        </is>
      </c>
      <c r="C657" s="224" t="inlineStr">
        <is>
          <t>PHNOM PENH AUTONOMOUS PORT "PPAP"</t>
        </is>
      </c>
      <c r="D657" s="225" t="inlineStr">
        <is>
          <t>L001-100044999</t>
        </is>
      </c>
      <c r="E657" s="359" t="inlineStr">
        <is>
          <t>INV20250542847</t>
        </is>
      </c>
      <c r="F657" s="338" t="n">
        <v>45807</v>
      </c>
      <c r="G657" s="226" t="n"/>
      <c r="H657" s="627" t="n"/>
      <c r="I657" s="627" t="n">
        <v>9612</v>
      </c>
      <c r="J657" s="223" t="inlineStr">
        <is>
          <t>អនុញ្ញាត (បានប្រកាស)</t>
        </is>
      </c>
      <c r="K657" s="628" t="n"/>
      <c r="L657" s="626">
        <f>I657</f>
        <v/>
      </c>
      <c r="M657" s="598">
        <f>I657-L657</f>
        <v/>
      </c>
      <c r="N657" s="223" t="n"/>
      <c r="O657" s="228">
        <f>U657=E657</f>
        <v/>
      </c>
      <c r="P657" s="228">
        <f>MONTH(F657)-MONTH(T657)</f>
        <v/>
      </c>
      <c r="Q657" s="228">
        <f>$B$5=X657</f>
        <v/>
      </c>
      <c r="R657" s="228">
        <f>I657-AD657</f>
        <v/>
      </c>
      <c r="S657" s="371" t="n"/>
      <c r="T657" s="372" t="n">
        <v>45807</v>
      </c>
      <c r="U657" s="371" t="inlineStr">
        <is>
          <t>INV20250542847</t>
        </is>
      </c>
      <c r="V657" s="371" t="n">
        <v>0</v>
      </c>
      <c r="W657" s="371" t="inlineStr">
        <is>
          <t>បុគ្គលជាប់អាករ</t>
        </is>
      </c>
      <c r="X657" s="371" t="inlineStr">
        <is>
          <t>L001-901640009</t>
        </is>
      </c>
      <c r="Y657" s="371" t="inlineStr">
        <is>
          <t>ហូលីដេ ឌីហ្សាញ (ខេមបូឌា) ឯ.ក</t>
        </is>
      </c>
      <c r="Z657" s="373" t="n">
        <v>105732</v>
      </c>
      <c r="AA657" s="373" t="n">
        <v>96120</v>
      </c>
      <c r="AB657" s="371" t="n">
        <v>0</v>
      </c>
      <c r="AC657" s="371" t="inlineStr">
        <is>
          <t>-</t>
        </is>
      </c>
      <c r="AD657" s="373" t="n">
        <v>9612</v>
      </c>
      <c r="AE657" s="371" t="n">
        <v>0</v>
      </c>
      <c r="AF657" s="625" t="n">
        <v>0</v>
      </c>
      <c r="AG657" s="205" t="n">
        <v>0</v>
      </c>
      <c r="AH657" s="205" t="n">
        <v>0</v>
      </c>
      <c r="AI657" s="205" t="n">
        <v>0</v>
      </c>
      <c r="AJ657" s="205" t="n">
        <v>0</v>
      </c>
      <c r="AK657" s="205" t="n">
        <v>0</v>
      </c>
      <c r="AL657" s="205" t="n">
        <v>0.01</v>
      </c>
      <c r="AM657" s="205" t="n">
        <v>0</v>
      </c>
      <c r="AN657" s="205" t="inlineStr">
        <is>
          <t>ចំណូលពីសេវាកម្ម (លើកដាក់ទំនិញ)</t>
        </is>
      </c>
    </row>
    <row r="658">
      <c r="A658" s="222">
        <f>A657+1</f>
        <v/>
      </c>
      <c r="B658" s="224" t="inlineStr">
        <is>
          <t>Lift-Off-Ex</t>
        </is>
      </c>
      <c r="C658" s="224" t="inlineStr">
        <is>
          <t>PHNOM PENH AUTONOMOUS PORT "PPAP"</t>
        </is>
      </c>
      <c r="D658" s="225" t="inlineStr">
        <is>
          <t>L001-100044999</t>
        </is>
      </c>
      <c r="E658" s="359" t="inlineStr">
        <is>
          <t>INV20250539878</t>
        </is>
      </c>
      <c r="F658" s="338" t="n">
        <v>45798</v>
      </c>
      <c r="G658" s="226" t="n"/>
      <c r="H658" s="627" t="n"/>
      <c r="I658" s="627" t="n">
        <v>112084</v>
      </c>
      <c r="J658" s="223" t="inlineStr">
        <is>
          <t>អនុញ្ញាត (បានប្រកាស)</t>
        </is>
      </c>
      <c r="K658" s="628" t="n"/>
      <c r="L658" s="626">
        <f>I658</f>
        <v/>
      </c>
      <c r="M658" s="598">
        <f>I658-L658</f>
        <v/>
      </c>
      <c r="N658" s="223" t="n"/>
      <c r="O658" s="228">
        <f>U658=E658</f>
        <v/>
      </c>
      <c r="P658" s="228">
        <f>MONTH(F658)-MONTH(T658)</f>
        <v/>
      </c>
      <c r="Q658" s="228">
        <f>$B$5=X658</f>
        <v/>
      </c>
      <c r="R658" s="228">
        <f>I658-AD658</f>
        <v/>
      </c>
      <c r="S658" s="371" t="n"/>
      <c r="T658" s="372" t="n">
        <v>45798</v>
      </c>
      <c r="U658" s="371" t="inlineStr">
        <is>
          <t>INV20250539878</t>
        </is>
      </c>
      <c r="V658" s="371" t="n">
        <v>0</v>
      </c>
      <c r="W658" s="371" t="inlineStr">
        <is>
          <t>បុគ្គលជាប់អាករ</t>
        </is>
      </c>
      <c r="X658" s="371" t="inlineStr">
        <is>
          <t>L001-901640009</t>
        </is>
      </c>
      <c r="Y658" s="371" t="inlineStr">
        <is>
          <t>ហូលីដេ ឌីហ្សាញ (ខេមបូឌា) ឯ.ក</t>
        </is>
      </c>
      <c r="Z658" s="373" t="n">
        <v>1232924</v>
      </c>
      <c r="AA658" s="373" t="n">
        <v>1120840</v>
      </c>
      <c r="AB658" s="371" t="n">
        <v>0</v>
      </c>
      <c r="AC658" s="371" t="inlineStr">
        <is>
          <t>-</t>
        </is>
      </c>
      <c r="AD658" s="373" t="n">
        <v>112084</v>
      </c>
      <c r="AE658" s="371" t="n">
        <v>0</v>
      </c>
      <c r="AF658" s="625" t="n">
        <v>0</v>
      </c>
      <c r="AG658" s="205" t="n">
        <v>0</v>
      </c>
      <c r="AH658" s="205" t="n">
        <v>0</v>
      </c>
      <c r="AI658" s="205" t="n">
        <v>0</v>
      </c>
      <c r="AJ658" s="205" t="n">
        <v>0</v>
      </c>
      <c r="AK658" s="205" t="n">
        <v>0</v>
      </c>
      <c r="AL658" s="205" t="n">
        <v>0.01</v>
      </c>
      <c r="AM658" s="205" t="n">
        <v>0</v>
      </c>
      <c r="AN658" s="205" t="inlineStr">
        <is>
          <t>ចំណូលពីសេវាកម្ម (លើកដាក់ទំនិញ)</t>
        </is>
      </c>
    </row>
    <row r="659">
      <c r="A659" s="222">
        <f>A658+1</f>
        <v/>
      </c>
      <c r="B659" s="224" t="inlineStr">
        <is>
          <t>Trucking &amp; Clearance-Ex</t>
        </is>
      </c>
      <c r="C659" s="224" t="inlineStr">
        <is>
          <t>WANAKA LOGISTICS CO., LTD.</t>
        </is>
      </c>
      <c r="D659" s="225" t="inlineStr">
        <is>
          <t>K005-901907953</t>
        </is>
      </c>
      <c r="E659" s="359" t="inlineStr">
        <is>
          <t>WL25-001762</t>
        </is>
      </c>
      <c r="F659" s="338" t="n">
        <v>45800</v>
      </c>
      <c r="G659" s="226" t="n"/>
      <c r="H659" s="627" t="n"/>
      <c r="I659" s="627" t="n">
        <v>629272</v>
      </c>
      <c r="J659" s="223" t="inlineStr">
        <is>
          <t>អនុញ្ញាត (បានប្រកាស)</t>
        </is>
      </c>
      <c r="K659" s="628" t="n"/>
      <c r="L659" s="626">
        <f>I659</f>
        <v/>
      </c>
      <c r="M659" s="598">
        <f>I659-L659</f>
        <v/>
      </c>
      <c r="N659" s="223" t="n"/>
      <c r="O659" s="228">
        <f>U659=E659</f>
        <v/>
      </c>
      <c r="P659" s="228">
        <f>MONTH(F659)-MONTH(T659)</f>
        <v/>
      </c>
      <c r="Q659" s="228">
        <f>$B$5=X659</f>
        <v/>
      </c>
      <c r="R659" s="228">
        <f>I659-AD659</f>
        <v/>
      </c>
      <c r="S659" s="371" t="n"/>
      <c r="T659" s="372" t="n">
        <v>45800</v>
      </c>
      <c r="U659" s="371" t="inlineStr">
        <is>
          <t>WL25-001762</t>
        </is>
      </c>
      <c r="V659" s="371" t="n"/>
      <c r="W659" s="371" t="n"/>
      <c r="X659" s="371" t="n"/>
      <c r="Y659" s="371" t="inlineStr">
        <is>
          <t>ហូលីដេ ឌីហ្សាញ (ខេមបូឌា) ឯ.ក</t>
        </is>
      </c>
      <c r="Z659" s="373" t="n"/>
      <c r="AA659" s="373" t="n"/>
      <c r="AB659" s="371" t="n"/>
      <c r="AC659" s="371" t="n"/>
      <c r="AD659" s="373" t="n">
        <v>629272</v>
      </c>
      <c r="AE659" s="371" t="n"/>
      <c r="AF659" s="625" t="n"/>
    </row>
    <row r="660">
      <c r="A660" s="222">
        <f>A659+1</f>
        <v/>
      </c>
      <c r="B660" s="224" t="inlineStr">
        <is>
          <t>Lift-Off-Ex</t>
        </is>
      </c>
      <c r="C660" s="224" t="inlineStr">
        <is>
          <t>PHNOM PENH AUTONOMOUS PORT "PPAP"</t>
        </is>
      </c>
      <c r="D660" s="225" t="inlineStr">
        <is>
          <t>L001-100044999</t>
        </is>
      </c>
      <c r="E660" s="359" t="inlineStr">
        <is>
          <t>INV20250539889</t>
        </is>
      </c>
      <c r="F660" s="338" t="n">
        <v>45798</v>
      </c>
      <c r="G660" s="226" t="n"/>
      <c r="H660" s="627" t="n"/>
      <c r="I660" s="627" t="n">
        <v>28021</v>
      </c>
      <c r="J660" s="223" t="inlineStr">
        <is>
          <t>អនុញ្ញាត (បានប្រកាស)</t>
        </is>
      </c>
      <c r="K660" s="628" t="n"/>
      <c r="L660" s="626">
        <f>I660</f>
        <v/>
      </c>
      <c r="M660" s="598">
        <f>I660-L660</f>
        <v/>
      </c>
      <c r="N660" s="223" t="n"/>
      <c r="O660" s="228">
        <f>U660=E660</f>
        <v/>
      </c>
      <c r="P660" s="228">
        <f>MONTH(F660)-MONTH(T660)</f>
        <v/>
      </c>
      <c r="Q660" s="228">
        <f>$B$5=X660</f>
        <v/>
      </c>
      <c r="R660" s="228">
        <f>I660-AD660</f>
        <v/>
      </c>
      <c r="S660" s="371" t="n"/>
      <c r="T660" s="372" t="n">
        <v>45798</v>
      </c>
      <c r="U660" s="371" t="inlineStr">
        <is>
          <t>INV20250539889</t>
        </is>
      </c>
      <c r="V660" s="371" t="n">
        <v>0</v>
      </c>
      <c r="W660" s="371" t="inlineStr">
        <is>
          <t>បុគ្គលជាប់អាករ</t>
        </is>
      </c>
      <c r="X660" s="371" t="inlineStr">
        <is>
          <t>L001-901640009</t>
        </is>
      </c>
      <c r="Y660" s="371" t="inlineStr">
        <is>
          <t>ហូលីដេ ឌីហ្សាញ (ខេមបូឌា) ឯ.ក</t>
        </is>
      </c>
      <c r="Z660" s="373" t="n">
        <v>308231</v>
      </c>
      <c r="AA660" s="373" t="n">
        <v>280210</v>
      </c>
      <c r="AB660" s="371" t="n">
        <v>0</v>
      </c>
      <c r="AC660" s="371" t="inlineStr">
        <is>
          <t>-</t>
        </is>
      </c>
      <c r="AD660" s="373" t="n">
        <v>28021</v>
      </c>
      <c r="AE660" s="371" t="n">
        <v>0</v>
      </c>
      <c r="AF660" s="625" t="n">
        <v>0</v>
      </c>
      <c r="AG660" s="205" t="n">
        <v>0</v>
      </c>
      <c r="AH660" s="205" t="n">
        <v>0</v>
      </c>
      <c r="AI660" s="205" t="n">
        <v>0</v>
      </c>
      <c r="AJ660" s="205" t="n">
        <v>0</v>
      </c>
      <c r="AK660" s="205" t="n">
        <v>0</v>
      </c>
      <c r="AL660" s="205" t="n">
        <v>0.01</v>
      </c>
      <c r="AM660" s="205" t="n">
        <v>0</v>
      </c>
      <c r="AN660" s="205" t="inlineStr">
        <is>
          <t>ចំណូលពីសេវាកម្ម (លើកដាក់ទំនិញ)</t>
        </is>
      </c>
    </row>
    <row r="661">
      <c r="A661" s="222">
        <f>A660+1</f>
        <v/>
      </c>
      <c r="B661" s="224" t="inlineStr">
        <is>
          <t>Trucking &amp; Clearance-Ex</t>
        </is>
      </c>
      <c r="C661" s="224" t="inlineStr">
        <is>
          <t>WANAKA LOGISTICS CO., LTD.</t>
        </is>
      </c>
      <c r="D661" s="225" t="inlineStr">
        <is>
          <t>K005-901907953</t>
        </is>
      </c>
      <c r="E661" s="359" t="inlineStr">
        <is>
          <t>WL25-001761</t>
        </is>
      </c>
      <c r="F661" s="338" t="n">
        <v>45800</v>
      </c>
      <c r="G661" s="226" t="n"/>
      <c r="H661" s="627" t="n"/>
      <c r="I661" s="627" t="n">
        <v>157318</v>
      </c>
      <c r="J661" s="223" t="inlineStr">
        <is>
          <t>អនុញ្ញាត (បានប្រកាស)</t>
        </is>
      </c>
      <c r="K661" s="628" t="n"/>
      <c r="L661" s="626">
        <f>I661</f>
        <v/>
      </c>
      <c r="M661" s="598">
        <f>I661-L661</f>
        <v/>
      </c>
      <c r="N661" s="223" t="n"/>
      <c r="O661" s="228">
        <f>U661=E661</f>
        <v/>
      </c>
      <c r="P661" s="228">
        <f>MONTH(F661)-MONTH(T661)</f>
        <v/>
      </c>
      <c r="Q661" s="228">
        <f>$B$5=X661</f>
        <v/>
      </c>
      <c r="R661" s="228">
        <f>I661-AD661</f>
        <v/>
      </c>
      <c r="S661" s="371" t="n"/>
      <c r="T661" s="372" t="n">
        <v>45800</v>
      </c>
      <c r="U661" s="371" t="inlineStr">
        <is>
          <t>WL25-001761</t>
        </is>
      </c>
      <c r="V661" s="371" t="n"/>
      <c r="W661" s="371" t="n"/>
      <c r="X661" s="371" t="n"/>
      <c r="Y661" s="371" t="inlineStr">
        <is>
          <t>ហូលីដេ ឌីហ្សាញ (ខេមបូឌា) ឯ.ក</t>
        </is>
      </c>
      <c r="Z661" s="373" t="n"/>
      <c r="AA661" s="373" t="n"/>
      <c r="AB661" s="371" t="n"/>
      <c r="AC661" s="371" t="n"/>
      <c r="AD661" s="373" t="n">
        <v>157318</v>
      </c>
      <c r="AE661" s="371" t="n"/>
      <c r="AF661" s="625" t="n"/>
    </row>
    <row r="662">
      <c r="A662" s="222">
        <f>A661+1</f>
        <v/>
      </c>
      <c r="B662" s="224" t="inlineStr">
        <is>
          <t>Trucking &amp; Clearance-Ex</t>
        </is>
      </c>
      <c r="C662" s="224" t="inlineStr">
        <is>
          <t>WANAKA LOGISTICS CO., LTD.</t>
        </is>
      </c>
      <c r="D662" s="225" t="inlineStr">
        <is>
          <t>K005-901907953</t>
        </is>
      </c>
      <c r="E662" s="359" t="inlineStr">
        <is>
          <t>WL25-001758</t>
        </is>
      </c>
      <c r="F662" s="338" t="n">
        <v>45800</v>
      </c>
      <c r="G662" s="226" t="n"/>
      <c r="H662" s="627" t="n"/>
      <c r="I662" s="627" t="n">
        <v>312234</v>
      </c>
      <c r="J662" s="223" t="inlineStr">
        <is>
          <t>អនុញ្ញាត (បានប្រកាស)</t>
        </is>
      </c>
      <c r="K662" s="628" t="n"/>
      <c r="L662" s="626">
        <f>I662</f>
        <v/>
      </c>
      <c r="M662" s="598">
        <f>I662-L662</f>
        <v/>
      </c>
      <c r="N662" s="223" t="n"/>
      <c r="O662" s="228">
        <f>U662=E662</f>
        <v/>
      </c>
      <c r="P662" s="228">
        <f>MONTH(F662)-MONTH(T662)</f>
        <v/>
      </c>
      <c r="Q662" s="228">
        <f>$B$5=X662</f>
        <v/>
      </c>
      <c r="R662" s="228">
        <f>I662-AD662</f>
        <v/>
      </c>
      <c r="S662" s="371" t="n"/>
      <c r="T662" s="372" t="n">
        <v>45800</v>
      </c>
      <c r="U662" s="371" t="inlineStr">
        <is>
          <t>WL25-001758</t>
        </is>
      </c>
      <c r="V662" s="371" t="n"/>
      <c r="W662" s="371" t="n"/>
      <c r="X662" s="371" t="n"/>
      <c r="Y662" s="371" t="inlineStr">
        <is>
          <t>ហូលីដេ ឌីហ្សាញ (ខេមបូឌា) ឯ.ក</t>
        </is>
      </c>
      <c r="Z662" s="373" t="n"/>
      <c r="AA662" s="373" t="n"/>
      <c r="AB662" s="371" t="n"/>
      <c r="AC662" s="371" t="n"/>
      <c r="AD662" s="373" t="n">
        <v>312234</v>
      </c>
      <c r="AE662" s="371" t="n"/>
      <c r="AF662" s="625" t="n"/>
    </row>
    <row r="663">
      <c r="A663" s="222">
        <f>A662+1</f>
        <v/>
      </c>
      <c r="B663" s="224" t="inlineStr">
        <is>
          <t>Lift-Off-Ex</t>
        </is>
      </c>
      <c r="C663" s="224" t="inlineStr">
        <is>
          <t>PHNOM PENH AUTONOMOUS PORT "PPAP"</t>
        </is>
      </c>
      <c r="D663" s="225" t="inlineStr">
        <is>
          <t>L001-100044999</t>
        </is>
      </c>
      <c r="E663" s="359" t="inlineStr">
        <is>
          <t>INV20250539890</t>
        </is>
      </c>
      <c r="F663" s="338" t="n">
        <v>45798</v>
      </c>
      <c r="G663" s="226" t="n"/>
      <c r="H663" s="627" t="n"/>
      <c r="I663" s="627" t="n">
        <v>18414</v>
      </c>
      <c r="J663" s="223" t="inlineStr">
        <is>
          <t>អនុញ្ញាត (បានប្រកាស)</t>
        </is>
      </c>
      <c r="K663" s="628" t="n"/>
      <c r="L663" s="626">
        <f>I663</f>
        <v/>
      </c>
      <c r="M663" s="598">
        <f>I663-L663</f>
        <v/>
      </c>
      <c r="N663" s="223" t="n"/>
      <c r="O663" s="228">
        <f>U663=E663</f>
        <v/>
      </c>
      <c r="P663" s="228">
        <f>MONTH(F663)-MONTH(T663)</f>
        <v/>
      </c>
      <c r="Q663" s="228">
        <f>$B$5=X663</f>
        <v/>
      </c>
      <c r="R663" s="228">
        <f>I663-AD663</f>
        <v/>
      </c>
      <c r="S663" s="371" t="n"/>
      <c r="T663" s="372" t="n">
        <v>45798</v>
      </c>
      <c r="U663" s="371" t="inlineStr">
        <is>
          <t>INV20250539890</t>
        </is>
      </c>
      <c r="V663" s="371" t="n">
        <v>0</v>
      </c>
      <c r="W663" s="371" t="inlineStr">
        <is>
          <t>បុគ្គលជាប់អាករ</t>
        </is>
      </c>
      <c r="X663" s="371" t="inlineStr">
        <is>
          <t>L001-901640009</t>
        </is>
      </c>
      <c r="Y663" s="371" t="inlineStr">
        <is>
          <t>ហូលីដេ ឌីហ្សាញ (ខេមបូឌា) ឯ.ក</t>
        </is>
      </c>
      <c r="Z663" s="373" t="n">
        <v>202554</v>
      </c>
      <c r="AA663" s="373" t="n">
        <v>184140</v>
      </c>
      <c r="AB663" s="371" t="n">
        <v>0</v>
      </c>
      <c r="AC663" s="371" t="inlineStr">
        <is>
          <t>-</t>
        </is>
      </c>
      <c r="AD663" s="373" t="n">
        <v>18414</v>
      </c>
      <c r="AE663" s="371" t="n">
        <v>0</v>
      </c>
      <c r="AF663" s="625" t="n">
        <v>0</v>
      </c>
      <c r="AG663" s="205" t="n">
        <v>0</v>
      </c>
      <c r="AH663" s="205" t="n">
        <v>0</v>
      </c>
      <c r="AI663" s="205" t="n">
        <v>0</v>
      </c>
      <c r="AJ663" s="205" t="n">
        <v>0</v>
      </c>
      <c r="AK663" s="205" t="n">
        <v>0</v>
      </c>
      <c r="AL663" s="205" t="n">
        <v>0.01</v>
      </c>
      <c r="AM663" s="205" t="n">
        <v>0</v>
      </c>
      <c r="AN663" s="205" t="inlineStr">
        <is>
          <t>ចំណូលពីសេវាកម្ម (លើកដាក់ទំនិញ)</t>
        </is>
      </c>
    </row>
    <row r="664">
      <c r="A664" s="222">
        <f>A663+1</f>
        <v/>
      </c>
      <c r="B664" s="224" t="inlineStr">
        <is>
          <t>Trucking &amp; Clearance-Ex</t>
        </is>
      </c>
      <c r="C664" s="224" t="inlineStr">
        <is>
          <t>WANAKA LOGISTICS CO., LTD.</t>
        </is>
      </c>
      <c r="D664" s="225" t="inlineStr">
        <is>
          <t>K005-901907953</t>
        </is>
      </c>
      <c r="E664" s="359" t="inlineStr">
        <is>
          <t>WL25-001760</t>
        </is>
      </c>
      <c r="F664" s="338" t="n">
        <v>45800</v>
      </c>
      <c r="G664" s="226" t="n"/>
      <c r="H664" s="627" t="n"/>
      <c r="I664" s="627" t="n">
        <v>148912</v>
      </c>
      <c r="J664" s="223" t="inlineStr">
        <is>
          <t>អនុញ្ញាត (បានប្រកាស)</t>
        </is>
      </c>
      <c r="K664" s="628" t="n"/>
      <c r="L664" s="626">
        <f>I664</f>
        <v/>
      </c>
      <c r="M664" s="598">
        <f>I664-L664</f>
        <v/>
      </c>
      <c r="N664" s="223" t="n"/>
      <c r="O664" s="228">
        <f>U664=E664</f>
        <v/>
      </c>
      <c r="P664" s="228">
        <f>MONTH(F664)-MONTH(T664)</f>
        <v/>
      </c>
      <c r="Q664" s="228">
        <f>$B$5=X664</f>
        <v/>
      </c>
      <c r="R664" s="228">
        <f>I664-AD664</f>
        <v/>
      </c>
      <c r="S664" s="371" t="n"/>
      <c r="T664" s="372" t="n">
        <v>45800</v>
      </c>
      <c r="U664" s="371" t="inlineStr">
        <is>
          <t>WL25-001760</t>
        </is>
      </c>
      <c r="V664" s="371" t="n"/>
      <c r="W664" s="371" t="n"/>
      <c r="X664" s="371" t="n"/>
      <c r="Y664" s="371" t="inlineStr">
        <is>
          <t>ហូលីដេ ឌីហ្សាញ (ខេមបូឌា) ឯ.ក</t>
        </is>
      </c>
      <c r="Z664" s="373" t="n"/>
      <c r="AA664" s="373" t="n"/>
      <c r="AB664" s="371" t="n"/>
      <c r="AC664" s="371" t="n"/>
      <c r="AD664" s="373" t="n">
        <v>148912</v>
      </c>
      <c r="AE664" s="371" t="n"/>
      <c r="AF664" s="625" t="n"/>
    </row>
    <row r="665">
      <c r="A665" s="222">
        <f>A664+1</f>
        <v/>
      </c>
      <c r="B665" s="224" t="inlineStr">
        <is>
          <t>Lift-Off-Ex</t>
        </is>
      </c>
      <c r="C665" s="224" t="inlineStr">
        <is>
          <t>PHNOM PENH AUTONOMOUS PORT "PPAP"</t>
        </is>
      </c>
      <c r="D665" s="225" t="inlineStr">
        <is>
          <t>L001-100044999</t>
        </is>
      </c>
      <c r="E665" s="359" t="inlineStr">
        <is>
          <t>INV20250539873</t>
        </is>
      </c>
      <c r="F665" s="338" t="n">
        <v>45798</v>
      </c>
      <c r="G665" s="226" t="n"/>
      <c r="H665" s="627" t="n"/>
      <c r="I665" s="627" t="n">
        <v>196147</v>
      </c>
      <c r="J665" s="223" t="inlineStr">
        <is>
          <t>អនុញ្ញាត (បានប្រកាស)</t>
        </is>
      </c>
      <c r="K665" s="628" t="n"/>
      <c r="L665" s="626">
        <f>I665</f>
        <v/>
      </c>
      <c r="M665" s="598">
        <f>I665-L665</f>
        <v/>
      </c>
      <c r="N665" s="223" t="n"/>
      <c r="O665" s="228">
        <f>U665=E665</f>
        <v/>
      </c>
      <c r="P665" s="228">
        <f>MONTH(F665)-MONTH(T665)</f>
        <v/>
      </c>
      <c r="Q665" s="228">
        <f>$B$5=X665</f>
        <v/>
      </c>
      <c r="R665" s="228">
        <f>I665-AD665</f>
        <v/>
      </c>
      <c r="S665" s="371" t="n"/>
      <c r="T665" s="372" t="n">
        <v>45798</v>
      </c>
      <c r="U665" s="371" t="inlineStr">
        <is>
          <t>INV20250539873</t>
        </is>
      </c>
      <c r="V665" s="371" t="n">
        <v>0</v>
      </c>
      <c r="W665" s="371" t="inlineStr">
        <is>
          <t>បុគ្គលជាប់អាករ</t>
        </is>
      </c>
      <c r="X665" s="371" t="inlineStr">
        <is>
          <t>L001-901640009</t>
        </is>
      </c>
      <c r="Y665" s="371" t="inlineStr">
        <is>
          <t>ហូលីដេ ឌីហ្សាញ (ខេមបូឌា) ឯ.ក</t>
        </is>
      </c>
      <c r="Z665" s="373" t="n">
        <v>2157617</v>
      </c>
      <c r="AA665" s="373" t="n">
        <v>1961470</v>
      </c>
      <c r="AB665" s="371" t="n">
        <v>0</v>
      </c>
      <c r="AC665" s="371" t="inlineStr">
        <is>
          <t>-</t>
        </is>
      </c>
      <c r="AD665" s="373" t="n">
        <v>196147</v>
      </c>
      <c r="AE665" s="371" t="n">
        <v>0</v>
      </c>
      <c r="AF665" s="625" t="n">
        <v>0</v>
      </c>
      <c r="AG665" s="205" t="n">
        <v>0</v>
      </c>
      <c r="AH665" s="205" t="n">
        <v>0</v>
      </c>
      <c r="AI665" s="205" t="n">
        <v>0</v>
      </c>
      <c r="AJ665" s="205" t="n">
        <v>0</v>
      </c>
      <c r="AK665" s="205" t="n">
        <v>0</v>
      </c>
      <c r="AL665" s="205" t="n">
        <v>0.01</v>
      </c>
      <c r="AM665" s="205" t="n">
        <v>0</v>
      </c>
      <c r="AN665" s="205" t="inlineStr">
        <is>
          <t>ចំណូលពីសេវាកម្ម (លើកដាក់ទំនិញ)</t>
        </is>
      </c>
    </row>
    <row r="666">
      <c r="A666" s="222">
        <f>A665+1</f>
        <v/>
      </c>
      <c r="B666" s="224" t="inlineStr">
        <is>
          <t>Trucking &amp; Clearance-Ex</t>
        </is>
      </c>
      <c r="C666" s="224" t="inlineStr">
        <is>
          <t>WANAKA LOGISTICS CO., LTD.</t>
        </is>
      </c>
      <c r="D666" s="225" t="inlineStr">
        <is>
          <t>K005-901907953</t>
        </is>
      </c>
      <c r="E666" s="359" t="inlineStr">
        <is>
          <t>WL25-001759</t>
        </is>
      </c>
      <c r="F666" s="338" t="n">
        <v>45800</v>
      </c>
      <c r="G666" s="226" t="n"/>
      <c r="H666" s="627" t="n"/>
      <c r="I666" s="627" t="n">
        <v>1095221</v>
      </c>
      <c r="J666" s="223" t="inlineStr">
        <is>
          <t>អនុញ្ញាត (បានប្រកាស)</t>
        </is>
      </c>
      <c r="K666" s="628" t="n"/>
      <c r="L666" s="626">
        <f>I666</f>
        <v/>
      </c>
      <c r="M666" s="598">
        <f>I666-L666</f>
        <v/>
      </c>
      <c r="N666" s="223" t="n"/>
      <c r="O666" s="228">
        <f>U666=E666</f>
        <v/>
      </c>
      <c r="P666" s="228">
        <f>MONTH(F666)-MONTH(T666)</f>
        <v/>
      </c>
      <c r="Q666" s="228">
        <f>$B$5=X666</f>
        <v/>
      </c>
      <c r="R666" s="228">
        <f>I666-AD666</f>
        <v/>
      </c>
      <c r="S666" s="371" t="n"/>
      <c r="T666" s="372" t="n">
        <v>45800</v>
      </c>
      <c r="U666" s="371" t="inlineStr">
        <is>
          <t>WL25-001759</t>
        </is>
      </c>
      <c r="V666" s="371" t="n"/>
      <c r="W666" s="371" t="n"/>
      <c r="X666" s="371" t="n"/>
      <c r="Y666" s="371" t="inlineStr">
        <is>
          <t>ហូលីដេ ឌីហ្សាញ (ខេមបូឌា) ឯ.ក</t>
        </is>
      </c>
      <c r="Z666" s="373" t="n"/>
      <c r="AA666" s="373" t="n"/>
      <c r="AB666" s="371" t="n"/>
      <c r="AC666" s="371" t="n"/>
      <c r="AD666" s="373" t="n">
        <v>1095221</v>
      </c>
      <c r="AE666" s="371" t="n"/>
      <c r="AF666" s="625" t="n"/>
    </row>
    <row r="667">
      <c r="A667" s="222">
        <f>A666+1</f>
        <v/>
      </c>
      <c r="B667" s="224" t="inlineStr">
        <is>
          <t>Lift-Off-Ex</t>
        </is>
      </c>
      <c r="C667" s="224" t="inlineStr">
        <is>
          <t>PHNOM PENH AUTONOMOUS PORT "PPAP"</t>
        </is>
      </c>
      <c r="D667" s="225" t="inlineStr">
        <is>
          <t>L001-100044999</t>
        </is>
      </c>
      <c r="E667" s="359" t="inlineStr">
        <is>
          <t>INV20250539883</t>
        </is>
      </c>
      <c r="F667" s="338" t="n">
        <v>45798</v>
      </c>
      <c r="G667" s="226" t="n"/>
      <c r="H667" s="627" t="n"/>
      <c r="I667" s="627" t="n">
        <v>56042</v>
      </c>
      <c r="J667" s="223" t="inlineStr">
        <is>
          <t>អនុញ្ញាត (បានប្រកាស)</t>
        </is>
      </c>
      <c r="K667" s="628" t="n"/>
      <c r="L667" s="626">
        <f>I667</f>
        <v/>
      </c>
      <c r="M667" s="598">
        <f>I667-L667</f>
        <v/>
      </c>
      <c r="N667" s="223" t="n"/>
      <c r="O667" s="228">
        <f>U667=E667</f>
        <v/>
      </c>
      <c r="P667" s="228">
        <f>MONTH(F667)-MONTH(T667)</f>
        <v/>
      </c>
      <c r="Q667" s="228">
        <f>$B$5=X667</f>
        <v/>
      </c>
      <c r="R667" s="228">
        <f>I667-AD667</f>
        <v/>
      </c>
      <c r="S667" s="371" t="n"/>
      <c r="T667" s="372" t="n">
        <v>45798</v>
      </c>
      <c r="U667" s="371" t="inlineStr">
        <is>
          <t>INV20250539883</t>
        </is>
      </c>
      <c r="V667" s="371" t="n">
        <v>0</v>
      </c>
      <c r="W667" s="371" t="inlineStr">
        <is>
          <t>បុគ្គលជាប់អាករ</t>
        </is>
      </c>
      <c r="X667" s="371" t="inlineStr">
        <is>
          <t>L001-901640009</t>
        </is>
      </c>
      <c r="Y667" s="371" t="inlineStr">
        <is>
          <t>ហូលីដេ ឌីហ្សាញ (ខេមបូឌា) ឯ.ក</t>
        </is>
      </c>
      <c r="Z667" s="373" t="n">
        <v>616462</v>
      </c>
      <c r="AA667" s="373" t="n">
        <v>560420</v>
      </c>
      <c r="AB667" s="371" t="n">
        <v>0</v>
      </c>
      <c r="AC667" s="371" t="inlineStr">
        <is>
          <t>-</t>
        </is>
      </c>
      <c r="AD667" s="373" t="n">
        <v>56042</v>
      </c>
      <c r="AE667" s="371" t="n">
        <v>0</v>
      </c>
      <c r="AF667" s="625" t="n">
        <v>0</v>
      </c>
      <c r="AG667" s="205" t="n">
        <v>0</v>
      </c>
      <c r="AH667" s="205" t="n">
        <v>0</v>
      </c>
      <c r="AI667" s="205" t="n">
        <v>0</v>
      </c>
      <c r="AJ667" s="205" t="n">
        <v>0</v>
      </c>
      <c r="AK667" s="205" t="n">
        <v>0</v>
      </c>
      <c r="AL667" s="205" t="n">
        <v>0.01</v>
      </c>
      <c r="AM667" s="205" t="n">
        <v>0</v>
      </c>
      <c r="AN667" s="205" t="inlineStr">
        <is>
          <t>ចំណូលពីសេវាកម្ម (លើកដាក់ទំនិញ)</t>
        </is>
      </c>
    </row>
    <row r="668">
      <c r="A668" s="222">
        <f>A667+1</f>
        <v/>
      </c>
      <c r="B668" s="224" t="inlineStr">
        <is>
          <t>Lift-Off-Ex</t>
        </is>
      </c>
      <c r="C668" s="224" t="inlineStr">
        <is>
          <t>PHNOM PENH AUTONOMOUS PORT "PPAP"</t>
        </is>
      </c>
      <c r="D668" s="225" t="inlineStr">
        <is>
          <t>L001-100044999</t>
        </is>
      </c>
      <c r="E668" s="359" t="inlineStr">
        <is>
          <t>INV20250541763</t>
        </is>
      </c>
      <c r="F668" s="338" t="n">
        <v>45803</v>
      </c>
      <c r="G668" s="226" t="n"/>
      <c r="H668" s="627" t="n"/>
      <c r="I668" s="627" t="n">
        <v>56028</v>
      </c>
      <c r="J668" s="223" t="inlineStr">
        <is>
          <t>អនុញ្ញាត (បានប្រកាស)</t>
        </is>
      </c>
      <c r="K668" s="628" t="n"/>
      <c r="L668" s="626">
        <f>I668</f>
        <v/>
      </c>
      <c r="M668" s="598">
        <f>I668-L668</f>
        <v/>
      </c>
      <c r="N668" s="223" t="n"/>
      <c r="O668" s="228">
        <f>U668=E668</f>
        <v/>
      </c>
      <c r="P668" s="228">
        <f>MONTH(F668)-MONTH(T668)</f>
        <v/>
      </c>
      <c r="Q668" s="228">
        <f>$B$5=X668</f>
        <v/>
      </c>
      <c r="R668" s="228">
        <f>I668-AD668</f>
        <v/>
      </c>
      <c r="S668" s="371" t="n"/>
      <c r="T668" s="372" t="n">
        <v>45803</v>
      </c>
      <c r="U668" s="371" t="inlineStr">
        <is>
          <t>INV20250541763</t>
        </is>
      </c>
      <c r="V668" s="371" t="n">
        <v>0</v>
      </c>
      <c r="W668" s="371" t="inlineStr">
        <is>
          <t>បុគ្គលជាប់អាករ</t>
        </is>
      </c>
      <c r="X668" s="371" t="inlineStr">
        <is>
          <t>L001-901640009</t>
        </is>
      </c>
      <c r="Y668" s="371" t="inlineStr">
        <is>
          <t>ហូលីដេ ឌីហ្សាញ (ខេមបូឌា) ឯ.ក</t>
        </is>
      </c>
      <c r="Z668" s="373" t="n">
        <v>616308</v>
      </c>
      <c r="AA668" s="373" t="n">
        <v>560280</v>
      </c>
      <c r="AB668" s="371" t="n">
        <v>0</v>
      </c>
      <c r="AC668" s="371" t="inlineStr">
        <is>
          <t>-</t>
        </is>
      </c>
      <c r="AD668" s="373" t="n">
        <v>56028</v>
      </c>
      <c r="AE668" s="371" t="n">
        <v>0</v>
      </c>
      <c r="AF668" s="625" t="n">
        <v>0</v>
      </c>
      <c r="AG668" s="205" t="n">
        <v>0</v>
      </c>
      <c r="AH668" s="205" t="n">
        <v>0</v>
      </c>
      <c r="AI668" s="205" t="n">
        <v>0</v>
      </c>
      <c r="AJ668" s="205" t="n">
        <v>0</v>
      </c>
      <c r="AK668" s="205" t="n">
        <v>0</v>
      </c>
      <c r="AL668" s="205" t="n">
        <v>0.01</v>
      </c>
      <c r="AM668" s="205" t="n">
        <v>0</v>
      </c>
      <c r="AN668" s="205" t="inlineStr">
        <is>
          <t>ចំណូលពីសេវាកម្ម (លើកដាក់ទំនិញ)</t>
        </is>
      </c>
    </row>
    <row r="669">
      <c r="A669" s="222">
        <f>A668+1</f>
        <v/>
      </c>
      <c r="B669" s="224" t="inlineStr">
        <is>
          <t>Trucking &amp; Clearance-Ex</t>
        </is>
      </c>
      <c r="C669" s="224" t="inlineStr">
        <is>
          <t>KR GLOBAL LOGISTICS CO., LTD.</t>
        </is>
      </c>
      <c r="D669" s="225" t="inlineStr">
        <is>
          <t>K005-902004162</t>
        </is>
      </c>
      <c r="E669" s="359" t="inlineStr">
        <is>
          <t>KR252606</t>
        </is>
      </c>
      <c r="F669" s="338" t="n">
        <v>45807</v>
      </c>
      <c r="G669" s="226" t="n"/>
      <c r="H669" s="627" t="n"/>
      <c r="I669" s="627" t="n">
        <v>340025</v>
      </c>
      <c r="J669" s="223" t="inlineStr">
        <is>
          <t>អនុញ្ញាត (បានប្រកាស)</t>
        </is>
      </c>
      <c r="K669" s="628" t="n"/>
      <c r="L669" s="626">
        <f>I669</f>
        <v/>
      </c>
      <c r="M669" s="598">
        <f>I669-L669</f>
        <v/>
      </c>
      <c r="N669" s="223" t="n"/>
      <c r="O669" s="228">
        <f>U669=E669</f>
        <v/>
      </c>
      <c r="P669" s="228">
        <f>MONTH(F669)-MONTH(T669)</f>
        <v/>
      </c>
      <c r="Q669" s="228">
        <f>$B$5=X669</f>
        <v/>
      </c>
      <c r="R669" s="228">
        <f>I669-AD669</f>
        <v/>
      </c>
      <c r="S669" s="371" t="n"/>
      <c r="T669" s="372" t="n">
        <v>45807</v>
      </c>
      <c r="U669" s="371" t="inlineStr">
        <is>
          <t>KR252606</t>
        </is>
      </c>
      <c r="V669" s="371" t="n"/>
      <c r="W669" s="371" t="n"/>
      <c r="X669" s="371" t="n"/>
      <c r="Y669" s="371" t="inlineStr">
        <is>
          <t>ហូលីដេ ឌីហ្សាញ (ខេមបូឌា) ឯ.ក</t>
        </is>
      </c>
      <c r="Z669" s="373" t="n"/>
      <c r="AA669" s="373" t="n"/>
      <c r="AB669" s="371" t="n"/>
      <c r="AC669" s="371" t="n"/>
      <c r="AD669" s="373" t="n">
        <v>340025</v>
      </c>
      <c r="AE669" s="371" t="n"/>
      <c r="AF669" s="625" t="n"/>
    </row>
    <row r="670">
      <c r="A670" s="222">
        <f>A669+1</f>
        <v/>
      </c>
      <c r="B670" s="224" t="inlineStr">
        <is>
          <t>Lift-Off-Ex</t>
        </is>
      </c>
      <c r="C670" s="224" t="inlineStr">
        <is>
          <t>PHNOM PENH AUTONOMOUS PORT "PPAP"</t>
        </is>
      </c>
      <c r="D670" s="225" t="inlineStr">
        <is>
          <t>L001-100044999</t>
        </is>
      </c>
      <c r="E670" s="359" t="inlineStr">
        <is>
          <t>INV20250541762</t>
        </is>
      </c>
      <c r="F670" s="338" t="n">
        <v>45803</v>
      </c>
      <c r="G670" s="226" t="n"/>
      <c r="H670" s="627" t="n"/>
      <c r="I670" s="627" t="n">
        <v>28014</v>
      </c>
      <c r="J670" s="223" t="inlineStr">
        <is>
          <t>អនុញ្ញាត (បានប្រកាស)</t>
        </is>
      </c>
      <c r="K670" s="628" t="n"/>
      <c r="L670" s="626">
        <f>I670</f>
        <v/>
      </c>
      <c r="M670" s="598">
        <f>I670-L670</f>
        <v/>
      </c>
      <c r="N670" s="223" t="n"/>
      <c r="O670" s="228">
        <f>U670=E670</f>
        <v/>
      </c>
      <c r="P670" s="228">
        <f>MONTH(F670)-MONTH(T670)</f>
        <v/>
      </c>
      <c r="Q670" s="228">
        <f>$B$5=X670</f>
        <v/>
      </c>
      <c r="R670" s="228">
        <f>I670-AD670</f>
        <v/>
      </c>
      <c r="S670" s="371" t="n"/>
      <c r="T670" s="372" t="n">
        <v>45803</v>
      </c>
      <c r="U670" s="371" t="inlineStr">
        <is>
          <t>INV20250541762</t>
        </is>
      </c>
      <c r="V670" s="371" t="n">
        <v>0</v>
      </c>
      <c r="W670" s="371" t="inlineStr">
        <is>
          <t>បុគ្គលជាប់អាករ</t>
        </is>
      </c>
      <c r="X670" s="371" t="inlineStr">
        <is>
          <t>L001-901640009</t>
        </is>
      </c>
      <c r="Y670" s="371" t="inlineStr">
        <is>
          <t>ហូលីដេ ឌីហ្សាញ (ខេមបូឌា) ឯ.ក</t>
        </is>
      </c>
      <c r="Z670" s="373" t="n">
        <v>308154</v>
      </c>
      <c r="AA670" s="373" t="n">
        <v>280140</v>
      </c>
      <c r="AB670" s="371" t="n">
        <v>0</v>
      </c>
      <c r="AC670" s="371" t="inlineStr">
        <is>
          <t>-</t>
        </is>
      </c>
      <c r="AD670" s="373" t="n">
        <v>28014</v>
      </c>
      <c r="AE670" s="371" t="n">
        <v>0</v>
      </c>
      <c r="AF670" s="625" t="n">
        <v>0</v>
      </c>
      <c r="AG670" s="205" t="n">
        <v>0</v>
      </c>
      <c r="AH670" s="205" t="n">
        <v>0</v>
      </c>
      <c r="AI670" s="205" t="n">
        <v>0</v>
      </c>
      <c r="AJ670" s="205" t="n">
        <v>0</v>
      </c>
      <c r="AK670" s="205" t="n">
        <v>0</v>
      </c>
      <c r="AL670" s="205" t="n">
        <v>0.01</v>
      </c>
      <c r="AM670" s="205" t="n">
        <v>0</v>
      </c>
      <c r="AN670" s="205" t="inlineStr">
        <is>
          <t>ចំណូលពីសេវាកម្ម (លើកដាក់ទំនិញ)</t>
        </is>
      </c>
    </row>
    <row r="671">
      <c r="A671" s="222">
        <f>A670+1</f>
        <v/>
      </c>
      <c r="B671" s="224" t="inlineStr">
        <is>
          <t>Trucking &amp; Clearance-Ex</t>
        </is>
      </c>
      <c r="C671" s="224" t="inlineStr">
        <is>
          <t>KR GLOBAL LOGISTICS CO., LTD.</t>
        </is>
      </c>
      <c r="D671" s="225" t="inlineStr">
        <is>
          <t>K005-902004162</t>
        </is>
      </c>
      <c r="E671" s="359" t="inlineStr">
        <is>
          <t>KR252270</t>
        </is>
      </c>
      <c r="F671" s="338" t="n">
        <v>45786</v>
      </c>
      <c r="G671" s="226" t="n"/>
      <c r="H671" s="627" t="n"/>
      <c r="I671" s="627" t="n">
        <v>170528</v>
      </c>
      <c r="J671" s="223" t="inlineStr">
        <is>
          <t>អនុញ្ញាត (បានប្រកាស)</t>
        </is>
      </c>
      <c r="K671" s="628" t="n"/>
      <c r="L671" s="626">
        <f>I671</f>
        <v/>
      </c>
      <c r="M671" s="598">
        <f>I671-L671</f>
        <v/>
      </c>
      <c r="N671" s="223" t="n"/>
      <c r="O671" s="228">
        <f>U671=E671</f>
        <v/>
      </c>
      <c r="P671" s="228">
        <f>MONTH(F671)-MONTH(T671)</f>
        <v/>
      </c>
      <c r="Q671" s="228">
        <f>$B$5=X671</f>
        <v/>
      </c>
      <c r="R671" s="228">
        <f>I671-AD671</f>
        <v/>
      </c>
      <c r="S671" s="371" t="n"/>
      <c r="T671" s="372" t="n">
        <v>45786</v>
      </c>
      <c r="U671" s="371" t="inlineStr">
        <is>
          <t>KR252270</t>
        </is>
      </c>
      <c r="V671" s="371" t="n"/>
      <c r="W671" s="371" t="n"/>
      <c r="X671" s="371" t="n"/>
      <c r="Y671" s="371" t="inlineStr">
        <is>
          <t>ហូលីដេ ឌីហ្សាញ (ខេមបូឌា) ឯ.ក</t>
        </is>
      </c>
      <c r="Z671" s="373" t="n"/>
      <c r="AA671" s="373" t="n"/>
      <c r="AB671" s="371" t="n"/>
      <c r="AC671" s="371" t="n"/>
      <c r="AD671" s="373" t="n">
        <v>170528</v>
      </c>
      <c r="AE671" s="371" t="n"/>
      <c r="AF671" s="625" t="n"/>
    </row>
    <row r="672">
      <c r="A672" s="222">
        <f>A671+1</f>
        <v/>
      </c>
      <c r="B672" s="224" t="inlineStr">
        <is>
          <t>Lift-Off-Ex</t>
        </is>
      </c>
      <c r="C672" s="224" t="inlineStr">
        <is>
          <t>PHNOM PENH AUTONOMOUS PORT "PPAP"</t>
        </is>
      </c>
      <c r="D672" s="225" t="inlineStr">
        <is>
          <t>L001-100044999</t>
        </is>
      </c>
      <c r="E672" s="359" t="inlineStr">
        <is>
          <t>INV20250539158</t>
        </is>
      </c>
      <c r="F672" s="338" t="n">
        <v>45796</v>
      </c>
      <c r="G672" s="226" t="n"/>
      <c r="H672" s="627" t="n"/>
      <c r="I672" s="627" t="n">
        <v>28014</v>
      </c>
      <c r="J672" s="223" t="inlineStr">
        <is>
          <t>អនុញ្ញាត (បានប្រកាស)</t>
        </is>
      </c>
      <c r="K672" s="628" t="n"/>
      <c r="L672" s="626">
        <f>I672</f>
        <v/>
      </c>
      <c r="M672" s="598">
        <f>I672-L672</f>
        <v/>
      </c>
      <c r="N672" s="223" t="n"/>
      <c r="O672" s="228">
        <f>U672=E672</f>
        <v/>
      </c>
      <c r="P672" s="228">
        <f>MONTH(F672)-MONTH(T672)</f>
        <v/>
      </c>
      <c r="Q672" s="228">
        <f>$B$5=X672</f>
        <v/>
      </c>
      <c r="R672" s="228">
        <f>I672-AD672</f>
        <v/>
      </c>
      <c r="S672" s="371" t="n"/>
      <c r="T672" s="372" t="n">
        <v>45796</v>
      </c>
      <c r="U672" s="371" t="inlineStr">
        <is>
          <t>INV20250539158</t>
        </is>
      </c>
      <c r="V672" s="371" t="n">
        <v>0</v>
      </c>
      <c r="W672" s="371" t="inlineStr">
        <is>
          <t>បុគ្គលជាប់អាករ</t>
        </is>
      </c>
      <c r="X672" s="371" t="inlineStr">
        <is>
          <t>L001-901640009</t>
        </is>
      </c>
      <c r="Y672" s="371" t="inlineStr">
        <is>
          <t>ហូលីដេ ឌីហ្សាញ (ខេមបូឌា) ឯ.ក</t>
        </is>
      </c>
      <c r="Z672" s="373" t="n">
        <v>308154</v>
      </c>
      <c r="AA672" s="373" t="n">
        <v>280140</v>
      </c>
      <c r="AB672" s="371" t="n">
        <v>0</v>
      </c>
      <c r="AC672" s="371" t="inlineStr">
        <is>
          <t>-</t>
        </is>
      </c>
      <c r="AD672" s="373" t="n">
        <v>28014</v>
      </c>
      <c r="AE672" s="371" t="n">
        <v>0</v>
      </c>
      <c r="AF672" s="625" t="n">
        <v>0</v>
      </c>
      <c r="AG672" s="205" t="n">
        <v>0</v>
      </c>
      <c r="AH672" s="205" t="n">
        <v>0</v>
      </c>
      <c r="AI672" s="205" t="n">
        <v>0</v>
      </c>
      <c r="AJ672" s="205" t="n">
        <v>0</v>
      </c>
      <c r="AK672" s="205" t="n">
        <v>0</v>
      </c>
      <c r="AL672" s="205" t="n">
        <v>0.01</v>
      </c>
      <c r="AM672" s="205" t="n">
        <v>0</v>
      </c>
      <c r="AN672" s="205" t="inlineStr">
        <is>
          <t>ចំណូលពីសេវាកម្ម (លើកដាក់ទំនិញ)</t>
        </is>
      </c>
    </row>
    <row r="673">
      <c r="A673" s="222">
        <f>A672+1</f>
        <v/>
      </c>
      <c r="B673" s="224" t="inlineStr">
        <is>
          <t>Trucking &amp; Clearance-Ex</t>
        </is>
      </c>
      <c r="C673" s="224" t="inlineStr">
        <is>
          <t>KR GLOBAL LOGISTICS CO., LTD.</t>
        </is>
      </c>
      <c r="D673" s="225" t="inlineStr">
        <is>
          <t>K005-902004162</t>
        </is>
      </c>
      <c r="E673" s="359" t="inlineStr">
        <is>
          <t>KR252269</t>
        </is>
      </c>
      <c r="F673" s="338" t="n">
        <v>45786</v>
      </c>
      <c r="G673" s="226" t="n"/>
      <c r="H673" s="627" t="n"/>
      <c r="I673" s="627" t="n">
        <v>170528</v>
      </c>
      <c r="J673" s="223" t="inlineStr">
        <is>
          <t>អនុញ្ញាត (បានប្រកាស)</t>
        </is>
      </c>
      <c r="K673" s="628" t="n"/>
      <c r="L673" s="626">
        <f>I673</f>
        <v/>
      </c>
      <c r="M673" s="598">
        <f>I673-L673</f>
        <v/>
      </c>
      <c r="N673" s="223" t="n"/>
      <c r="O673" s="228">
        <f>U673=E673</f>
        <v/>
      </c>
      <c r="P673" s="228">
        <f>MONTH(F673)-MONTH(T673)</f>
        <v/>
      </c>
      <c r="Q673" s="228">
        <f>$B$5=X673</f>
        <v/>
      </c>
      <c r="R673" s="228">
        <f>I673-AD673</f>
        <v/>
      </c>
      <c r="S673" s="371" t="n"/>
      <c r="T673" s="372" t="n">
        <v>45786</v>
      </c>
      <c r="U673" s="371" t="inlineStr">
        <is>
          <t>KR252269</t>
        </is>
      </c>
      <c r="V673" s="371" t="n"/>
      <c r="W673" s="371" t="n"/>
      <c r="X673" s="371" t="n"/>
      <c r="Y673" s="371" t="inlineStr">
        <is>
          <t>ហូលីដេ ឌីហ្សាញ (ខេមបូឌា) ឯ.ក</t>
        </is>
      </c>
      <c r="Z673" s="373" t="n"/>
      <c r="AA673" s="373" t="n"/>
      <c r="AB673" s="371" t="n"/>
      <c r="AC673" s="371" t="n"/>
      <c r="AD673" s="373" t="n">
        <v>170528</v>
      </c>
      <c r="AE673" s="371" t="n"/>
      <c r="AF673" s="625" t="n"/>
    </row>
    <row r="674">
      <c r="A674" s="222">
        <f>A673+1</f>
        <v/>
      </c>
      <c r="B674" s="224" t="inlineStr">
        <is>
          <t>Lift-Off-Ex</t>
        </is>
      </c>
      <c r="C674" s="224" t="inlineStr">
        <is>
          <t>PHNOM PENH AUTONOMOUS PORT "PPAP"</t>
        </is>
      </c>
      <c r="D674" s="225" t="inlineStr">
        <is>
          <t>L001-100044999</t>
        </is>
      </c>
      <c r="E674" s="359" t="inlineStr">
        <is>
          <t>INV20250539157</t>
        </is>
      </c>
      <c r="F674" s="338" t="n">
        <v>45796</v>
      </c>
      <c r="G674" s="226" t="n"/>
      <c r="H674" s="627" t="n"/>
      <c r="I674" s="627" t="n">
        <v>28014</v>
      </c>
      <c r="J674" s="223" t="inlineStr">
        <is>
          <t>អនុញ្ញាត (បានប្រកាស)</t>
        </is>
      </c>
      <c r="K674" s="628" t="n"/>
      <c r="L674" s="626">
        <f>I674</f>
        <v/>
      </c>
      <c r="M674" s="598">
        <f>I674-L674</f>
        <v/>
      </c>
      <c r="N674" s="223" t="n"/>
      <c r="O674" s="228">
        <f>U674=E674</f>
        <v/>
      </c>
      <c r="P674" s="228">
        <f>MONTH(F674)-MONTH(T674)</f>
        <v/>
      </c>
      <c r="Q674" s="228">
        <f>$B$5=X674</f>
        <v/>
      </c>
      <c r="R674" s="228">
        <f>I674-AD674</f>
        <v/>
      </c>
      <c r="S674" s="371" t="n"/>
      <c r="T674" s="374" t="n">
        <v>45796</v>
      </c>
      <c r="U674" s="371" t="inlineStr">
        <is>
          <t>INV20250539157</t>
        </is>
      </c>
      <c r="V674" s="371" t="n">
        <v>0</v>
      </c>
      <c r="W674" s="371" t="inlineStr">
        <is>
          <t>បុគ្គលជាប់អាករ</t>
        </is>
      </c>
      <c r="X674" s="371" t="inlineStr">
        <is>
          <t>L001-901640009</t>
        </is>
      </c>
      <c r="Y674" s="371" t="inlineStr">
        <is>
          <t>ហូលីដេ ឌីហ្សាញ (ខេមបូឌា) ឯ.ក</t>
        </is>
      </c>
      <c r="Z674" s="373" t="n">
        <v>308154</v>
      </c>
      <c r="AA674" s="373" t="n">
        <v>280140</v>
      </c>
      <c r="AB674" s="371" t="n">
        <v>0</v>
      </c>
      <c r="AC674" s="371" t="inlineStr">
        <is>
          <t>-</t>
        </is>
      </c>
      <c r="AD674" s="373" t="n">
        <v>28014</v>
      </c>
      <c r="AE674" s="371" t="n">
        <v>0</v>
      </c>
      <c r="AF674" s="625" t="n">
        <v>0</v>
      </c>
      <c r="AG674" s="205" t="n">
        <v>0</v>
      </c>
      <c r="AH674" s="205" t="n">
        <v>0</v>
      </c>
      <c r="AI674" s="205" t="n">
        <v>0</v>
      </c>
      <c r="AJ674" s="205" t="n">
        <v>0</v>
      </c>
      <c r="AK674" s="205" t="n">
        <v>0</v>
      </c>
      <c r="AL674" s="205" t="n">
        <v>0.01</v>
      </c>
      <c r="AM674" s="205" t="n">
        <v>0</v>
      </c>
      <c r="AN674" s="205" t="inlineStr">
        <is>
          <t>ចំណូលពីសេវាកម្ម (លើកដាក់ទំនិញ)</t>
        </is>
      </c>
    </row>
    <row r="675">
      <c r="A675" s="222">
        <f>A674+1</f>
        <v/>
      </c>
      <c r="B675" s="224" t="inlineStr">
        <is>
          <t>Trucking &amp; Clearance-Ex</t>
        </is>
      </c>
      <c r="C675" s="224" t="inlineStr">
        <is>
          <t>KR GLOBAL LOGISTICS CO., LTD.</t>
        </is>
      </c>
      <c r="D675" s="225" t="inlineStr">
        <is>
          <t>K005-902004162</t>
        </is>
      </c>
      <c r="E675" s="359" t="inlineStr">
        <is>
          <t>KR252268</t>
        </is>
      </c>
      <c r="F675" s="338" t="n">
        <v>45786</v>
      </c>
      <c r="G675" s="226" t="n"/>
      <c r="H675" s="627" t="n"/>
      <c r="I675" s="627" t="n">
        <v>170528</v>
      </c>
      <c r="J675" s="223" t="inlineStr">
        <is>
          <t>អនុញ្ញាត (បានប្រកាស)</t>
        </is>
      </c>
      <c r="K675" s="628" t="n"/>
      <c r="L675" s="626">
        <f>I675</f>
        <v/>
      </c>
      <c r="M675" s="598">
        <f>I675-L675</f>
        <v/>
      </c>
      <c r="N675" s="223" t="n"/>
      <c r="O675" s="228">
        <f>U675=E675</f>
        <v/>
      </c>
      <c r="P675" s="228">
        <f>MONTH(F675)-MONTH(T675)</f>
        <v/>
      </c>
      <c r="Q675" s="228">
        <f>$B$5=X675</f>
        <v/>
      </c>
      <c r="R675" s="228">
        <f>I675-AD675</f>
        <v/>
      </c>
      <c r="S675" s="371" t="n"/>
      <c r="T675" s="372" t="n">
        <v>45786</v>
      </c>
      <c r="U675" s="371" t="inlineStr">
        <is>
          <t>KR252268</t>
        </is>
      </c>
      <c r="V675" s="371" t="n"/>
      <c r="W675" s="371" t="n"/>
      <c r="X675" s="371" t="n"/>
      <c r="Y675" s="371" t="inlineStr">
        <is>
          <t>ហូលីដេ ឌីហ្សាញ (ខេមបូឌា) ឯ.ក</t>
        </is>
      </c>
      <c r="Z675" s="373" t="n"/>
      <c r="AA675" s="373" t="n"/>
      <c r="AB675" s="371" t="n"/>
      <c r="AC675" s="371" t="n"/>
      <c r="AD675" s="373" t="n">
        <v>170528</v>
      </c>
      <c r="AE675" s="371" t="n"/>
      <c r="AF675" s="625" t="n"/>
    </row>
    <row r="676">
      <c r="A676" s="222">
        <f>A675+1</f>
        <v/>
      </c>
      <c r="B676" s="224" t="inlineStr">
        <is>
          <t>Lift-Off-Ex</t>
        </is>
      </c>
      <c r="C676" s="224" t="inlineStr">
        <is>
          <t>PHNOM PENH AUTONOMOUS PORT "PPAP"</t>
        </is>
      </c>
      <c r="D676" s="225" t="inlineStr">
        <is>
          <t>L001-100044999</t>
        </is>
      </c>
      <c r="E676" s="359" t="inlineStr">
        <is>
          <t>INV20250539156</t>
        </is>
      </c>
      <c r="F676" s="338" t="n">
        <v>45796</v>
      </c>
      <c r="G676" s="226" t="n"/>
      <c r="H676" s="627" t="n"/>
      <c r="I676" s="627" t="n">
        <v>112056</v>
      </c>
      <c r="J676" s="223" t="inlineStr">
        <is>
          <t>អនុញ្ញាត (បានប្រកាស)</t>
        </is>
      </c>
      <c r="K676" s="628" t="n"/>
      <c r="L676" s="626">
        <f>I676</f>
        <v/>
      </c>
      <c r="M676" s="598">
        <f>I676-L676</f>
        <v/>
      </c>
      <c r="N676" s="223" t="n"/>
      <c r="O676" s="228">
        <f>U676=E676</f>
        <v/>
      </c>
      <c r="P676" s="228">
        <f>MONTH(F676)-MONTH(T676)</f>
        <v/>
      </c>
      <c r="Q676" s="228">
        <f>$B$5=X676</f>
        <v/>
      </c>
      <c r="R676" s="228">
        <f>I676-AD676</f>
        <v/>
      </c>
      <c r="S676" s="371" t="n"/>
      <c r="T676" s="372" t="n">
        <v>45796</v>
      </c>
      <c r="U676" s="371" t="inlineStr">
        <is>
          <t>INV20250539156</t>
        </is>
      </c>
      <c r="V676" s="371" t="n">
        <v>0</v>
      </c>
      <c r="W676" s="371" t="inlineStr">
        <is>
          <t>បុគ្គលជាប់អាករ</t>
        </is>
      </c>
      <c r="X676" s="371" t="inlineStr">
        <is>
          <t>L001-901640009</t>
        </is>
      </c>
      <c r="Y676" s="371" t="inlineStr">
        <is>
          <t>ហូលីដេ ឌីហ្សាញ (ខេមបូឌា) ឯ.ក</t>
        </is>
      </c>
      <c r="Z676" s="373" t="n">
        <v>1232616</v>
      </c>
      <c r="AA676" s="373" t="n">
        <v>1120560</v>
      </c>
      <c r="AB676" s="371" t="n">
        <v>0</v>
      </c>
      <c r="AC676" s="371" t="inlineStr">
        <is>
          <t>-</t>
        </is>
      </c>
      <c r="AD676" s="373" t="n">
        <v>112056</v>
      </c>
      <c r="AE676" s="371" t="n">
        <v>0</v>
      </c>
      <c r="AF676" s="625" t="n">
        <v>0</v>
      </c>
      <c r="AG676" s="205" t="n">
        <v>0</v>
      </c>
      <c r="AH676" s="205" t="n">
        <v>0</v>
      </c>
      <c r="AI676" s="205" t="n">
        <v>0</v>
      </c>
      <c r="AJ676" s="205" t="n">
        <v>0</v>
      </c>
      <c r="AK676" s="205" t="n">
        <v>0</v>
      </c>
      <c r="AL676" s="205" t="n">
        <v>0.01</v>
      </c>
      <c r="AM676" s="205" t="n">
        <v>0</v>
      </c>
      <c r="AN676" s="205" t="inlineStr">
        <is>
          <t>ចំណូលពីសេវាកម្ម (លើកដាក់ទំនិញ)</t>
        </is>
      </c>
    </row>
    <row r="677">
      <c r="A677" s="222">
        <f>A676+1</f>
        <v/>
      </c>
      <c r="B677" s="224" t="inlineStr">
        <is>
          <t>Trucking &amp; Clearance-Ex</t>
        </is>
      </c>
      <c r="C677" s="224" t="inlineStr">
        <is>
          <t>KR GLOBAL LOGISTICS CO., LTD.</t>
        </is>
      </c>
      <c r="D677" s="225" t="inlineStr">
        <is>
          <t>K005-902004162</t>
        </is>
      </c>
      <c r="E677" s="359" t="inlineStr">
        <is>
          <t>KR252267</t>
        </is>
      </c>
      <c r="F677" s="338" t="n">
        <v>45786</v>
      </c>
      <c r="G677" s="226" t="n"/>
      <c r="H677" s="627" t="n"/>
      <c r="I677" s="627" t="n">
        <v>677308</v>
      </c>
      <c r="J677" s="223" t="inlineStr">
        <is>
          <t>អនុញ្ញាត (បានប្រកាស)</t>
        </is>
      </c>
      <c r="K677" s="628" t="n"/>
      <c r="L677" s="626">
        <f>I677</f>
        <v/>
      </c>
      <c r="M677" s="598">
        <f>I677-L677</f>
        <v/>
      </c>
      <c r="N677" s="223" t="n"/>
      <c r="O677" s="228">
        <f>U677=E677</f>
        <v/>
      </c>
      <c r="P677" s="228">
        <f>MONTH(F677)-MONTH(T677)</f>
        <v/>
      </c>
      <c r="Q677" s="228">
        <f>$B$5=X677</f>
        <v/>
      </c>
      <c r="R677" s="228">
        <f>I677-AD677</f>
        <v/>
      </c>
      <c r="S677" s="371" t="n"/>
      <c r="T677" s="374" t="n">
        <v>45786</v>
      </c>
      <c r="U677" s="371" t="inlineStr">
        <is>
          <t>KR252267</t>
        </is>
      </c>
      <c r="V677" s="371" t="n"/>
      <c r="W677" s="371" t="n"/>
      <c r="X677" s="371" t="n"/>
      <c r="Y677" s="371" t="inlineStr">
        <is>
          <t>ហូលីដេ ឌីហ្សាញ (ខេមបូឌា) ឯ.ក</t>
        </is>
      </c>
      <c r="Z677" s="373" t="n"/>
      <c r="AA677" s="373" t="n"/>
      <c r="AB677" s="371" t="n"/>
      <c r="AC677" s="371" t="n"/>
      <c r="AD677" s="373" t="n">
        <v>677308</v>
      </c>
      <c r="AE677" s="371" t="n"/>
      <c r="AF677" s="625" t="n"/>
    </row>
    <row r="678">
      <c r="A678" s="222">
        <f>A677+1</f>
        <v/>
      </c>
      <c r="B678" s="224" t="inlineStr">
        <is>
          <t>Lift-Off-Ex</t>
        </is>
      </c>
      <c r="C678" s="224" t="inlineStr">
        <is>
          <t>PHNOM PENH AUTONOMOUS PORT "PPAP"</t>
        </is>
      </c>
      <c r="D678" s="225" t="inlineStr">
        <is>
          <t>L001-100044999</t>
        </is>
      </c>
      <c r="E678" s="359" t="inlineStr">
        <is>
          <t>INV20250539155</t>
        </is>
      </c>
      <c r="F678" s="338" t="n">
        <v>45796</v>
      </c>
      <c r="G678" s="226" t="n"/>
      <c r="H678" s="627" t="n"/>
      <c r="I678" s="627" t="n">
        <v>28014</v>
      </c>
      <c r="J678" s="223" t="inlineStr">
        <is>
          <t>អនុញ្ញាត (បានប្រកាស)</t>
        </is>
      </c>
      <c r="K678" s="628" t="n"/>
      <c r="L678" s="626">
        <f>I678</f>
        <v/>
      </c>
      <c r="M678" s="598">
        <f>I678-L678</f>
        <v/>
      </c>
      <c r="N678" s="223" t="n"/>
      <c r="O678" s="228">
        <f>U678=E678</f>
        <v/>
      </c>
      <c r="P678" s="228">
        <f>MONTH(F678)-MONTH(T678)</f>
        <v/>
      </c>
      <c r="Q678" s="228">
        <f>$B$5=X678</f>
        <v/>
      </c>
      <c r="R678" s="228">
        <f>I678-AD678</f>
        <v/>
      </c>
      <c r="S678" s="371" t="n"/>
      <c r="T678" s="372" t="n">
        <v>45796</v>
      </c>
      <c r="U678" s="371" t="inlineStr">
        <is>
          <t>INV20250539155</t>
        </is>
      </c>
      <c r="V678" s="371" t="n">
        <v>0</v>
      </c>
      <c r="W678" s="371" t="inlineStr">
        <is>
          <t>បុគ្គលជាប់អាករ</t>
        </is>
      </c>
      <c r="X678" s="371" t="inlineStr">
        <is>
          <t>L001-901640009</t>
        </is>
      </c>
      <c r="Y678" s="371" t="inlineStr">
        <is>
          <t>ហូលីដេ ឌីហ្សាញ (ខេមបូឌា) ឯ.ក</t>
        </is>
      </c>
      <c r="Z678" s="373" t="n">
        <v>308154</v>
      </c>
      <c r="AA678" s="373" t="n">
        <v>280140</v>
      </c>
      <c r="AB678" s="371" t="n">
        <v>0</v>
      </c>
      <c r="AC678" s="371" t="inlineStr">
        <is>
          <t>-</t>
        </is>
      </c>
      <c r="AD678" s="373" t="n">
        <v>28014</v>
      </c>
      <c r="AE678" s="371" t="n">
        <v>0</v>
      </c>
      <c r="AF678" s="625" t="n">
        <v>0</v>
      </c>
      <c r="AG678" s="205" t="n">
        <v>0</v>
      </c>
      <c r="AH678" s="205" t="n">
        <v>0</v>
      </c>
      <c r="AI678" s="205" t="n">
        <v>0</v>
      </c>
      <c r="AJ678" s="205" t="n">
        <v>0</v>
      </c>
      <c r="AK678" s="205" t="n">
        <v>0</v>
      </c>
      <c r="AL678" s="205" t="n">
        <v>0.01</v>
      </c>
      <c r="AM678" s="205" t="n">
        <v>0</v>
      </c>
      <c r="AN678" s="205" t="inlineStr">
        <is>
          <t>ចំណូលពីសេវាកម្ម (លើកដាក់ទំនិញ)</t>
        </is>
      </c>
    </row>
    <row r="679">
      <c r="A679" s="222">
        <f>A678+1</f>
        <v/>
      </c>
      <c r="B679" s="224" t="inlineStr">
        <is>
          <t>Trucking &amp; Clearance-Ex</t>
        </is>
      </c>
      <c r="C679" s="224" t="inlineStr">
        <is>
          <t>KR GLOBAL LOGISTICS CO., LTD.</t>
        </is>
      </c>
      <c r="D679" s="225" t="inlineStr">
        <is>
          <t>K005-902004162</t>
        </is>
      </c>
      <c r="E679" s="359" t="inlineStr">
        <is>
          <t>KR252266</t>
        </is>
      </c>
      <c r="F679" s="338" t="n">
        <v>45786</v>
      </c>
      <c r="G679" s="226" t="n"/>
      <c r="H679" s="627" t="n"/>
      <c r="I679" s="627" t="n">
        <v>170528</v>
      </c>
      <c r="J679" s="223" t="inlineStr">
        <is>
          <t>អនុញ្ញាត (បានប្រកាស)</t>
        </is>
      </c>
      <c r="K679" s="628" t="n"/>
      <c r="L679" s="626">
        <f>I679</f>
        <v/>
      </c>
      <c r="M679" s="598">
        <f>I679-L679</f>
        <v/>
      </c>
      <c r="N679" s="223" t="n"/>
      <c r="O679" s="228">
        <f>U679=E679</f>
        <v/>
      </c>
      <c r="P679" s="228">
        <f>MONTH(F679)-MONTH(T679)</f>
        <v/>
      </c>
      <c r="Q679" s="228">
        <f>$B$5=X679</f>
        <v/>
      </c>
      <c r="R679" s="228">
        <f>I679-AD679</f>
        <v/>
      </c>
      <c r="S679" s="371" t="n"/>
      <c r="T679" s="372" t="n">
        <v>45786</v>
      </c>
      <c r="U679" s="371" t="inlineStr">
        <is>
          <t>KR252266</t>
        </is>
      </c>
      <c r="V679" s="371" t="n"/>
      <c r="W679" s="371" t="n"/>
      <c r="X679" s="371" t="n"/>
      <c r="Y679" s="371" t="inlineStr">
        <is>
          <t>ហូលីដេ ឌីហ្សាញ (ខេមបូឌា) ឯ.ក</t>
        </is>
      </c>
      <c r="Z679" s="373" t="n"/>
      <c r="AA679" s="373" t="n"/>
      <c r="AB679" s="371" t="n"/>
      <c r="AC679" s="371" t="n"/>
      <c r="AD679" s="373" t="n">
        <v>170528</v>
      </c>
      <c r="AE679" s="371" t="n"/>
      <c r="AF679" s="625" t="n"/>
    </row>
    <row r="680">
      <c r="A680" s="222">
        <f>A679+1</f>
        <v/>
      </c>
      <c r="B680" s="224" t="inlineStr">
        <is>
          <t>Lift-Off-Ex</t>
        </is>
      </c>
      <c r="C680" s="224" t="inlineStr">
        <is>
          <t>PHNOM PENH AUTONOMOUS PORT "PPAP"</t>
        </is>
      </c>
      <c r="D680" s="225" t="inlineStr">
        <is>
          <t>L001-100044999</t>
        </is>
      </c>
      <c r="E680" s="359" t="inlineStr">
        <is>
          <t>INV20250539154</t>
        </is>
      </c>
      <c r="F680" s="338" t="n">
        <v>45796</v>
      </c>
      <c r="G680" s="226" t="n"/>
      <c r="H680" s="627" t="n"/>
      <c r="I680" s="627" t="n">
        <v>28014</v>
      </c>
      <c r="J680" s="223" t="inlineStr">
        <is>
          <t>អនុញ្ញាត (បានប្រកាស)</t>
        </is>
      </c>
      <c r="K680" s="628" t="n"/>
      <c r="L680" s="626">
        <f>I680</f>
        <v/>
      </c>
      <c r="M680" s="598">
        <f>I680-L680</f>
        <v/>
      </c>
      <c r="N680" s="223" t="n"/>
      <c r="O680" s="228">
        <f>U680=E680</f>
        <v/>
      </c>
      <c r="P680" s="228">
        <f>MONTH(F680)-MONTH(T680)</f>
        <v/>
      </c>
      <c r="Q680" s="228">
        <f>$B$5=X680</f>
        <v/>
      </c>
      <c r="R680" s="228">
        <f>I680-AD680</f>
        <v/>
      </c>
      <c r="S680" s="371" t="n"/>
      <c r="T680" s="372" t="n">
        <v>45796</v>
      </c>
      <c r="U680" s="371" t="inlineStr">
        <is>
          <t>INV20250539154</t>
        </is>
      </c>
      <c r="V680" s="371" t="n">
        <v>0</v>
      </c>
      <c r="W680" s="371" t="inlineStr">
        <is>
          <t>បុគ្គលជាប់អាករ</t>
        </is>
      </c>
      <c r="X680" s="371" t="inlineStr">
        <is>
          <t>L001-901640009</t>
        </is>
      </c>
      <c r="Y680" s="371" t="inlineStr">
        <is>
          <t>ហូលីដេ ឌីហ្សាញ (ខេមបូឌា) ឯ.ក</t>
        </is>
      </c>
      <c r="Z680" s="373" t="n">
        <v>308154</v>
      </c>
      <c r="AA680" s="373" t="n">
        <v>280140</v>
      </c>
      <c r="AB680" s="371" t="n">
        <v>0</v>
      </c>
      <c r="AC680" s="371" t="inlineStr">
        <is>
          <t>-</t>
        </is>
      </c>
      <c r="AD680" s="373" t="n">
        <v>28014</v>
      </c>
      <c r="AE680" s="371" t="n">
        <v>0</v>
      </c>
      <c r="AF680" s="625" t="n">
        <v>0</v>
      </c>
      <c r="AG680" s="205" t="n">
        <v>0</v>
      </c>
      <c r="AH680" s="205" t="n">
        <v>0</v>
      </c>
      <c r="AI680" s="205" t="n">
        <v>0</v>
      </c>
      <c r="AJ680" s="205" t="n">
        <v>0</v>
      </c>
      <c r="AK680" s="205" t="n">
        <v>0</v>
      </c>
      <c r="AL680" s="205" t="n">
        <v>0.01</v>
      </c>
      <c r="AM680" s="205" t="n">
        <v>0</v>
      </c>
      <c r="AN680" s="205" t="inlineStr">
        <is>
          <t>ចំណូលពីសេវាកម្ម (លើកដាក់ទំនិញ)</t>
        </is>
      </c>
    </row>
    <row r="681">
      <c r="A681" s="222">
        <f>A680+1</f>
        <v/>
      </c>
      <c r="B681" s="224" t="inlineStr">
        <is>
          <t>Trucking &amp; Clearance-Ex</t>
        </is>
      </c>
      <c r="C681" s="224" t="inlineStr">
        <is>
          <t>KR GLOBAL LOGISTICS CO., LTD.</t>
        </is>
      </c>
      <c r="D681" s="225" t="inlineStr">
        <is>
          <t>K005-902004162</t>
        </is>
      </c>
      <c r="E681" s="359" t="inlineStr">
        <is>
          <t>KR252265</t>
        </is>
      </c>
      <c r="F681" s="338" t="n">
        <v>45786</v>
      </c>
      <c r="G681" s="226" t="n"/>
      <c r="H681" s="627" t="n"/>
      <c r="I681" s="627" t="n">
        <v>170528</v>
      </c>
      <c r="J681" s="223" t="inlineStr">
        <is>
          <t>អនុញ្ញាត (បានប្រកាស)</t>
        </is>
      </c>
      <c r="K681" s="628" t="n"/>
      <c r="L681" s="626">
        <f>I681</f>
        <v/>
      </c>
      <c r="M681" s="598">
        <f>I681-L681</f>
        <v/>
      </c>
      <c r="N681" s="223" t="n"/>
      <c r="O681" s="228">
        <f>U681=E681</f>
        <v/>
      </c>
      <c r="P681" s="228">
        <f>MONTH(F681)-MONTH(T681)</f>
        <v/>
      </c>
      <c r="Q681" s="228">
        <f>$B$5=X681</f>
        <v/>
      </c>
      <c r="R681" s="228">
        <f>I681-AD681</f>
        <v/>
      </c>
      <c r="S681" s="371" t="n"/>
      <c r="T681" s="372" t="n">
        <v>45786</v>
      </c>
      <c r="U681" s="371" t="inlineStr">
        <is>
          <t>KR252265</t>
        </is>
      </c>
      <c r="V681" s="371" t="n"/>
      <c r="W681" s="371" t="n"/>
      <c r="X681" s="371" t="n"/>
      <c r="Y681" s="371" t="inlineStr">
        <is>
          <t>ហូលីដេ ឌីហ្សាញ (ខេមបូឌា) ឯ.ក</t>
        </is>
      </c>
      <c r="Z681" s="373" t="n"/>
      <c r="AA681" s="373" t="n"/>
      <c r="AB681" s="371" t="n"/>
      <c r="AC681" s="371" t="n"/>
      <c r="AD681" s="373" t="n">
        <v>170528</v>
      </c>
      <c r="AE681" s="371" t="n"/>
      <c r="AF681" s="625" t="n"/>
    </row>
    <row r="682">
      <c r="A682" s="222">
        <f>A681+1</f>
        <v/>
      </c>
      <c r="B682" s="224" t="inlineStr">
        <is>
          <t>Lift-Off-Ex</t>
        </is>
      </c>
      <c r="C682" s="224" t="inlineStr">
        <is>
          <t>PHNOM PENH AUTONOMOUS PORT "PPAP"</t>
        </is>
      </c>
      <c r="D682" s="225" t="inlineStr">
        <is>
          <t>L001-100044999</t>
        </is>
      </c>
      <c r="E682" s="359" t="inlineStr">
        <is>
          <t>INV20250539153</t>
        </is>
      </c>
      <c r="F682" s="338" t="n">
        <v>45796</v>
      </c>
      <c r="G682" s="226" t="n"/>
      <c r="H682" s="627" t="n"/>
      <c r="I682" s="627" t="n">
        <v>56028</v>
      </c>
      <c r="J682" s="223" t="inlineStr">
        <is>
          <t>អនុញ្ញាត (បានប្រកាស)</t>
        </is>
      </c>
      <c r="K682" s="628" t="n"/>
      <c r="L682" s="626">
        <f>I682</f>
        <v/>
      </c>
      <c r="M682" s="598">
        <f>I682-L682</f>
        <v/>
      </c>
      <c r="N682" s="223" t="n"/>
      <c r="O682" s="228">
        <f>U682=E682</f>
        <v/>
      </c>
      <c r="P682" s="228">
        <f>MONTH(F682)-MONTH(T682)</f>
        <v/>
      </c>
      <c r="Q682" s="228">
        <f>$B$5=X682</f>
        <v/>
      </c>
      <c r="R682" s="228">
        <f>I682-AD682</f>
        <v/>
      </c>
      <c r="S682" s="371" t="n"/>
      <c r="T682" s="372" t="n">
        <v>45796</v>
      </c>
      <c r="U682" s="371" t="inlineStr">
        <is>
          <t>INV20250539153</t>
        </is>
      </c>
      <c r="V682" s="371" t="n">
        <v>0</v>
      </c>
      <c r="W682" s="371" t="inlineStr">
        <is>
          <t>បុគ្គលជាប់អាករ</t>
        </is>
      </c>
      <c r="X682" s="371" t="inlineStr">
        <is>
          <t>L001-901640009</t>
        </is>
      </c>
      <c r="Y682" s="371" t="inlineStr">
        <is>
          <t>ហូលីដេ ឌីហ្សាញ (ខេមបូឌា) ឯ.ក</t>
        </is>
      </c>
      <c r="Z682" s="373" t="n">
        <v>616308</v>
      </c>
      <c r="AA682" s="373" t="n">
        <v>560280</v>
      </c>
      <c r="AB682" s="371" t="n">
        <v>0</v>
      </c>
      <c r="AC682" s="371" t="inlineStr">
        <is>
          <t>-</t>
        </is>
      </c>
      <c r="AD682" s="373" t="n">
        <v>56028</v>
      </c>
      <c r="AE682" s="371" t="n">
        <v>0</v>
      </c>
      <c r="AF682" s="625" t="n">
        <v>0</v>
      </c>
      <c r="AG682" s="205" t="n">
        <v>0</v>
      </c>
      <c r="AH682" s="205" t="n">
        <v>0</v>
      </c>
      <c r="AI682" s="205" t="n">
        <v>0</v>
      </c>
      <c r="AJ682" s="205" t="n">
        <v>0</v>
      </c>
      <c r="AK682" s="205" t="n">
        <v>0</v>
      </c>
      <c r="AL682" s="205" t="n">
        <v>0.01</v>
      </c>
      <c r="AM682" s="205" t="n">
        <v>0</v>
      </c>
      <c r="AN682" s="205" t="inlineStr">
        <is>
          <t>ចំណូលពីសេវាកម្ម (លើកដាក់ទំនិញ)</t>
        </is>
      </c>
    </row>
    <row r="683">
      <c r="A683" s="222">
        <f>A682+1</f>
        <v/>
      </c>
      <c r="B683" s="224" t="inlineStr">
        <is>
          <t>Trucking &amp; Clearance-Ex</t>
        </is>
      </c>
      <c r="C683" s="224" t="inlineStr">
        <is>
          <t>KR GLOBAL LOGISTICS CO., LTD.</t>
        </is>
      </c>
      <c r="D683" s="225" t="inlineStr">
        <is>
          <t>K005-902004162</t>
        </is>
      </c>
      <c r="E683" s="359" t="inlineStr">
        <is>
          <t>KR252264</t>
        </is>
      </c>
      <c r="F683" s="338" t="n">
        <v>45786</v>
      </c>
      <c r="G683" s="226" t="n"/>
      <c r="H683" s="627" t="n"/>
      <c r="I683" s="627" t="n">
        <v>341056</v>
      </c>
      <c r="J683" s="223" t="inlineStr">
        <is>
          <t>អនុញ្ញាត (បានប្រកាស)</t>
        </is>
      </c>
      <c r="K683" s="628" t="n"/>
      <c r="L683" s="626">
        <f>I683</f>
        <v/>
      </c>
      <c r="M683" s="598">
        <f>I683-L683</f>
        <v/>
      </c>
      <c r="N683" s="223" t="n"/>
      <c r="O683" s="228">
        <f>U683=E683</f>
        <v/>
      </c>
      <c r="P683" s="228">
        <f>MONTH(F683)-MONTH(T683)</f>
        <v/>
      </c>
      <c r="Q683" s="228">
        <f>$B$5=X683</f>
        <v/>
      </c>
      <c r="R683" s="228">
        <f>I683-AD683</f>
        <v/>
      </c>
      <c r="S683" s="371" t="n"/>
      <c r="T683" s="372" t="n">
        <v>45786</v>
      </c>
      <c r="U683" s="371" t="inlineStr">
        <is>
          <t>KR252264</t>
        </is>
      </c>
      <c r="V683" s="371" t="n"/>
      <c r="W683" s="371" t="n"/>
      <c r="X683" s="371" t="n"/>
      <c r="Y683" s="371" t="inlineStr">
        <is>
          <t>ហូលីដេ ឌីហ្សាញ (ខេមបូឌា) ឯ.ក</t>
        </is>
      </c>
      <c r="Z683" s="373" t="n"/>
      <c r="AA683" s="373" t="n"/>
      <c r="AB683" s="371" t="n"/>
      <c r="AC683" s="371" t="n"/>
      <c r="AD683" s="373" t="n">
        <v>341056</v>
      </c>
      <c r="AE683" s="371" t="n"/>
      <c r="AF683" s="625" t="n"/>
    </row>
    <row r="684">
      <c r="A684" s="222">
        <f>A683+1</f>
        <v/>
      </c>
      <c r="B684" s="224" t="inlineStr">
        <is>
          <t>Lift-Off-Ex</t>
        </is>
      </c>
      <c r="C684" s="224" t="inlineStr">
        <is>
          <t>PHNOM PENH AUTONOMOUS PORT "PPAP"</t>
        </is>
      </c>
      <c r="D684" s="225" t="inlineStr">
        <is>
          <t>L001-100044999</t>
        </is>
      </c>
      <c r="E684" s="359" t="inlineStr">
        <is>
          <t>INV20250539159</t>
        </is>
      </c>
      <c r="F684" s="338" t="n">
        <v>45796</v>
      </c>
      <c r="G684" s="226" t="n"/>
      <c r="H684" s="627" t="n"/>
      <c r="I684" s="627" t="n">
        <v>28014</v>
      </c>
      <c r="J684" s="223" t="inlineStr">
        <is>
          <t>អនុញ្ញាត (បានប្រកាស)</t>
        </is>
      </c>
      <c r="K684" s="628" t="n"/>
      <c r="L684" s="626">
        <f>I684</f>
        <v/>
      </c>
      <c r="M684" s="598">
        <f>I684-L684</f>
        <v/>
      </c>
      <c r="N684" s="223" t="n"/>
      <c r="O684" s="228">
        <f>U684=E684</f>
        <v/>
      </c>
      <c r="P684" s="228">
        <f>MONTH(F684)-MONTH(T684)</f>
        <v/>
      </c>
      <c r="Q684" s="228">
        <f>$B$5=X684</f>
        <v/>
      </c>
      <c r="R684" s="228">
        <f>I684-AD684</f>
        <v/>
      </c>
      <c r="S684" s="371" t="n"/>
      <c r="T684" s="372" t="n">
        <v>45796</v>
      </c>
      <c r="U684" s="371" t="inlineStr">
        <is>
          <t>INV20250539159</t>
        </is>
      </c>
      <c r="V684" s="371" t="n">
        <v>0</v>
      </c>
      <c r="W684" s="371" t="inlineStr">
        <is>
          <t>បុគ្គលជាប់អាករ</t>
        </is>
      </c>
      <c r="X684" s="371" t="inlineStr">
        <is>
          <t>L001-901640009</t>
        </is>
      </c>
      <c r="Y684" s="371" t="inlineStr">
        <is>
          <t>ហូលីដេ ឌីហ្សាញ (ខេមបូឌា) ឯ.ក</t>
        </is>
      </c>
      <c r="Z684" s="373" t="n">
        <v>308154</v>
      </c>
      <c r="AA684" s="373" t="n">
        <v>280140</v>
      </c>
      <c r="AB684" s="371" t="n">
        <v>0</v>
      </c>
      <c r="AC684" s="371" t="inlineStr">
        <is>
          <t>-</t>
        </is>
      </c>
      <c r="AD684" s="373" t="n">
        <v>28014</v>
      </c>
      <c r="AE684" s="371" t="n">
        <v>0</v>
      </c>
      <c r="AF684" s="625" t="n">
        <v>0</v>
      </c>
      <c r="AG684" s="205" t="n">
        <v>0</v>
      </c>
      <c r="AH684" s="205" t="n">
        <v>0</v>
      </c>
      <c r="AI684" s="205" t="n">
        <v>0</v>
      </c>
      <c r="AJ684" s="205" t="n">
        <v>0</v>
      </c>
      <c r="AK684" s="205" t="n">
        <v>0</v>
      </c>
      <c r="AL684" s="205" t="n">
        <v>0.01</v>
      </c>
      <c r="AM684" s="205" t="n">
        <v>0</v>
      </c>
      <c r="AN684" s="205" t="inlineStr">
        <is>
          <t>ចំណូលពីសេវាកម្ម (លើកដាក់ទំនិញ)</t>
        </is>
      </c>
    </row>
    <row r="685">
      <c r="A685" s="222">
        <f>A684+1</f>
        <v/>
      </c>
      <c r="B685" s="224" t="inlineStr">
        <is>
          <t>Trucking &amp; Clearance-Ex</t>
        </is>
      </c>
      <c r="C685" s="224" t="inlineStr">
        <is>
          <t>KR GLOBAL LOGISTICS CO., LTD.</t>
        </is>
      </c>
      <c r="D685" s="225" t="inlineStr">
        <is>
          <t>K005-902004162</t>
        </is>
      </c>
      <c r="E685" s="359" t="inlineStr">
        <is>
          <t>KR252271</t>
        </is>
      </c>
      <c r="F685" s="338" t="n">
        <v>45786</v>
      </c>
      <c r="G685" s="226" t="n"/>
      <c r="H685" s="627" t="n"/>
      <c r="I685" s="627" t="n">
        <v>170528</v>
      </c>
      <c r="J685" s="223" t="inlineStr">
        <is>
          <t>អនុញ្ញាត (បានប្រកាស)</t>
        </is>
      </c>
      <c r="K685" s="628" t="n"/>
      <c r="L685" s="626">
        <f>I685</f>
        <v/>
      </c>
      <c r="M685" s="598">
        <f>I685-L685</f>
        <v/>
      </c>
      <c r="N685" s="223" t="n"/>
      <c r="O685" s="228">
        <f>U685=E685</f>
        <v/>
      </c>
      <c r="P685" s="228">
        <f>MONTH(F685)-MONTH(T685)</f>
        <v/>
      </c>
      <c r="Q685" s="228">
        <f>$B$5=X685</f>
        <v/>
      </c>
      <c r="R685" s="228">
        <f>I685-AD685</f>
        <v/>
      </c>
      <c r="S685" s="371" t="n"/>
      <c r="T685" s="372" t="n">
        <v>45786</v>
      </c>
      <c r="U685" s="371" t="inlineStr">
        <is>
          <t>KR252271</t>
        </is>
      </c>
      <c r="V685" s="371" t="n"/>
      <c r="W685" s="371" t="n"/>
      <c r="X685" s="371" t="n"/>
      <c r="Y685" s="371" t="inlineStr">
        <is>
          <t>ហូលីដេ ឌីហ្សាញ (ខេមបូឌា) ឯ.ក</t>
        </is>
      </c>
      <c r="Z685" s="373" t="n"/>
      <c r="AA685" s="373" t="n"/>
      <c r="AB685" s="371" t="n"/>
      <c r="AC685" s="371" t="n"/>
      <c r="AD685" s="373" t="n">
        <v>170528</v>
      </c>
      <c r="AE685" s="371" t="n"/>
      <c r="AF685" s="625" t="n"/>
    </row>
    <row r="686">
      <c r="A686" s="222">
        <f>A685+1</f>
        <v/>
      </c>
      <c r="B686" s="224" t="inlineStr">
        <is>
          <t>Lift-Off-Ex</t>
        </is>
      </c>
      <c r="C686" s="224" t="inlineStr">
        <is>
          <t>PHNOM PENH AUTONOMOUS PORT "PPAP"</t>
        </is>
      </c>
      <c r="D686" s="225" t="inlineStr">
        <is>
          <t>L001-100044999</t>
        </is>
      </c>
      <c r="E686" s="359" t="inlineStr">
        <is>
          <t>INV20250539163</t>
        </is>
      </c>
      <c r="F686" s="338" t="n">
        <v>45796</v>
      </c>
      <c r="G686" s="226" t="n"/>
      <c r="H686" s="627" t="n"/>
      <c r="I686" s="627" t="n">
        <v>56028</v>
      </c>
      <c r="J686" s="223" t="inlineStr">
        <is>
          <t>អនុញ្ញាត (បានប្រកាស)</t>
        </is>
      </c>
      <c r="K686" s="628" t="n"/>
      <c r="L686" s="626">
        <f>I686</f>
        <v/>
      </c>
      <c r="M686" s="598">
        <f>I686-L686</f>
        <v/>
      </c>
      <c r="N686" s="223" t="n"/>
      <c r="O686" s="228">
        <f>U686=E686</f>
        <v/>
      </c>
      <c r="P686" s="228">
        <f>MONTH(F686)-MONTH(T686)</f>
        <v/>
      </c>
      <c r="Q686" s="228">
        <f>$B$5=X686</f>
        <v/>
      </c>
      <c r="R686" s="228">
        <f>I686-AD686</f>
        <v/>
      </c>
      <c r="S686" s="371" t="n"/>
      <c r="T686" s="374" t="n">
        <v>45796</v>
      </c>
      <c r="U686" s="371" t="inlineStr">
        <is>
          <t>INV20250539163</t>
        </is>
      </c>
      <c r="V686" s="371" t="n">
        <v>0</v>
      </c>
      <c r="W686" s="371" t="inlineStr">
        <is>
          <t>បុគ្គលជាប់អាករ</t>
        </is>
      </c>
      <c r="X686" s="371" t="inlineStr">
        <is>
          <t>L001-901640009</t>
        </is>
      </c>
      <c r="Y686" s="371" t="inlineStr">
        <is>
          <t>ហូលីដេ ឌីហ្សាញ (ខេមបូឌា) ឯ.ក</t>
        </is>
      </c>
      <c r="Z686" s="373" t="n">
        <v>616308</v>
      </c>
      <c r="AA686" s="373" t="n">
        <v>560280</v>
      </c>
      <c r="AB686" s="371" t="n">
        <v>0</v>
      </c>
      <c r="AC686" s="371" t="inlineStr">
        <is>
          <t>-</t>
        </is>
      </c>
      <c r="AD686" s="373" t="n">
        <v>56028</v>
      </c>
      <c r="AE686" s="371" t="n">
        <v>0</v>
      </c>
      <c r="AF686" s="625" t="n">
        <v>0</v>
      </c>
      <c r="AG686" s="205" t="n">
        <v>0</v>
      </c>
      <c r="AH686" s="205" t="n">
        <v>0</v>
      </c>
      <c r="AI686" s="205" t="n">
        <v>0</v>
      </c>
      <c r="AJ686" s="205" t="n">
        <v>0</v>
      </c>
      <c r="AK686" s="205" t="n">
        <v>0</v>
      </c>
      <c r="AL686" s="205" t="n">
        <v>0.01</v>
      </c>
      <c r="AM686" s="205" t="n">
        <v>0</v>
      </c>
      <c r="AN686" s="205" t="inlineStr">
        <is>
          <t>ចំណូលពីសេវាកម្ម (លើកដាក់ទំនិញ)</t>
        </is>
      </c>
    </row>
    <row r="687">
      <c r="A687" s="222">
        <f>A686+1</f>
        <v/>
      </c>
      <c r="B687" s="224" t="inlineStr">
        <is>
          <t>Trucking &amp; Clearance-Ex</t>
        </is>
      </c>
      <c r="C687" s="224" t="inlineStr">
        <is>
          <t>KR GLOBAL LOGISTICS CO., LTD.</t>
        </is>
      </c>
      <c r="D687" s="225" t="inlineStr">
        <is>
          <t>K005-902004162</t>
        </is>
      </c>
      <c r="E687" s="359" t="inlineStr">
        <is>
          <t>KR252603</t>
        </is>
      </c>
      <c r="F687" s="338" t="n">
        <v>45807</v>
      </c>
      <c r="G687" s="226" t="n"/>
      <c r="H687" s="627" t="n"/>
      <c r="I687" s="627" t="n">
        <v>171014</v>
      </c>
      <c r="J687" s="223" t="inlineStr">
        <is>
          <t>អនុញ្ញាត (បានប្រកាស)</t>
        </is>
      </c>
      <c r="K687" s="628" t="n"/>
      <c r="L687" s="626">
        <f>I687</f>
        <v/>
      </c>
      <c r="M687" s="598">
        <f>I687-L687</f>
        <v/>
      </c>
      <c r="N687" s="223" t="n"/>
      <c r="O687" s="228">
        <f>U687=E687</f>
        <v/>
      </c>
      <c r="P687" s="228">
        <f>MONTH(F687)-MONTH(T687)</f>
        <v/>
      </c>
      <c r="Q687" s="228">
        <f>$B$5=X687</f>
        <v/>
      </c>
      <c r="R687" s="228">
        <f>I687-AD687</f>
        <v/>
      </c>
      <c r="S687" s="371" t="n"/>
      <c r="T687" s="372" t="n">
        <v>45807</v>
      </c>
      <c r="U687" s="371" t="inlineStr">
        <is>
          <t>KR252603</t>
        </is>
      </c>
      <c r="V687" s="371" t="n"/>
      <c r="W687" s="371" t="n"/>
      <c r="X687" s="371" t="n"/>
      <c r="Y687" s="371" t="inlineStr">
        <is>
          <t>ហូលីដេ ឌីហ្សាញ (ខេមបូឌា) ឯ.ក</t>
        </is>
      </c>
      <c r="Z687" s="373" t="n"/>
      <c r="AA687" s="373" t="n"/>
      <c r="AB687" s="371" t="n"/>
      <c r="AC687" s="371" t="n"/>
      <c r="AD687" s="373" t="n">
        <v>171014</v>
      </c>
      <c r="AE687" s="371" t="n"/>
      <c r="AF687" s="625" t="n"/>
    </row>
    <row r="688">
      <c r="A688" s="222">
        <f>A687+1</f>
        <v/>
      </c>
      <c r="B688" s="224" t="inlineStr">
        <is>
          <t>Lift-Off-Ex</t>
        </is>
      </c>
      <c r="C688" s="224" t="inlineStr">
        <is>
          <t>PHNOM PENH AUTONOMOUS PORT "PPAP"</t>
        </is>
      </c>
      <c r="D688" s="225" t="inlineStr">
        <is>
          <t>L001-100044999</t>
        </is>
      </c>
      <c r="E688" s="359" t="inlineStr">
        <is>
          <t>INV20250541761</t>
        </is>
      </c>
      <c r="F688" s="338" t="n">
        <v>45803</v>
      </c>
      <c r="G688" s="226" t="n"/>
      <c r="H688" s="627" t="n"/>
      <c r="I688" s="627" t="n">
        <v>224112</v>
      </c>
      <c r="J688" s="223" t="inlineStr">
        <is>
          <t>អនុញ្ញាត (បានប្រកាស)</t>
        </is>
      </c>
      <c r="K688" s="628" t="n"/>
      <c r="L688" s="626">
        <f>I688</f>
        <v/>
      </c>
      <c r="M688" s="598">
        <f>I688-L688</f>
        <v/>
      </c>
      <c r="N688" s="223" t="n"/>
      <c r="O688" s="228">
        <f>U688=E688</f>
        <v/>
      </c>
      <c r="P688" s="228">
        <f>MONTH(F688)-MONTH(T688)</f>
        <v/>
      </c>
      <c r="Q688" s="228">
        <f>$B$5=X688</f>
        <v/>
      </c>
      <c r="R688" s="228">
        <f>I688-AD688</f>
        <v/>
      </c>
      <c r="S688" s="371" t="n"/>
      <c r="T688" s="374" t="n">
        <v>45803</v>
      </c>
      <c r="U688" s="371" t="inlineStr">
        <is>
          <t>INV20250541761</t>
        </is>
      </c>
      <c r="V688" s="371" t="n">
        <v>0</v>
      </c>
      <c r="W688" s="371" t="inlineStr">
        <is>
          <t>បុគ្គលជាប់អាករ</t>
        </is>
      </c>
      <c r="X688" s="371" t="inlineStr">
        <is>
          <t>L001-901640009</t>
        </is>
      </c>
      <c r="Y688" s="371" t="inlineStr">
        <is>
          <t>ហូលីដេ ឌីហ្សាញ (ខេមបូឌា) ឯ.ក</t>
        </is>
      </c>
      <c r="Z688" s="373" t="n">
        <v>2465232</v>
      </c>
      <c r="AA688" s="373" t="n">
        <v>2241120</v>
      </c>
      <c r="AB688" s="371" t="n">
        <v>0</v>
      </c>
      <c r="AC688" s="371" t="inlineStr">
        <is>
          <t>-</t>
        </is>
      </c>
      <c r="AD688" s="373" t="n">
        <v>224112</v>
      </c>
      <c r="AE688" s="371" t="n">
        <v>0</v>
      </c>
      <c r="AF688" s="625" t="n">
        <v>0</v>
      </c>
      <c r="AG688" s="205" t="n">
        <v>0</v>
      </c>
      <c r="AH688" s="205" t="n">
        <v>0</v>
      </c>
      <c r="AI688" s="205" t="n">
        <v>0</v>
      </c>
      <c r="AJ688" s="205" t="n">
        <v>0</v>
      </c>
      <c r="AK688" s="205" t="n">
        <v>0</v>
      </c>
      <c r="AL688" s="205" t="n">
        <v>0.01</v>
      </c>
      <c r="AM688" s="205" t="n">
        <v>0</v>
      </c>
      <c r="AN688" s="205" t="inlineStr">
        <is>
          <t>ចំណូលពីសេវាកម្ម (លើកដាក់ទំនិញ)</t>
        </is>
      </c>
    </row>
    <row r="689">
      <c r="A689" s="222">
        <f>A688+1</f>
        <v/>
      </c>
      <c r="B689" s="224" t="inlineStr">
        <is>
          <t>Trucking &amp; Clearance-Ex</t>
        </is>
      </c>
      <c r="C689" s="224" t="inlineStr">
        <is>
          <t>KR GLOBAL LOGISTICS CO., LTD.</t>
        </is>
      </c>
      <c r="D689" s="225" t="inlineStr">
        <is>
          <t>K005-902004162</t>
        </is>
      </c>
      <c r="E689" s="359" t="inlineStr">
        <is>
          <t>KR252598</t>
        </is>
      </c>
      <c r="F689" s="338" t="n">
        <v>45807</v>
      </c>
      <c r="G689" s="226" t="n"/>
      <c r="H689" s="627" t="n"/>
      <c r="I689" s="627" t="n">
        <v>1404954</v>
      </c>
      <c r="J689" s="223" t="inlineStr">
        <is>
          <t>អនុញ្ញាត (បានប្រកាស)</t>
        </is>
      </c>
      <c r="K689" s="628" t="n"/>
      <c r="L689" s="626">
        <f>I689</f>
        <v/>
      </c>
      <c r="M689" s="598">
        <f>I689-L689</f>
        <v/>
      </c>
      <c r="N689" s="223" t="n"/>
      <c r="O689" s="228">
        <f>U689=E689</f>
        <v/>
      </c>
      <c r="P689" s="228">
        <f>MONTH(F689)-MONTH(T689)</f>
        <v/>
      </c>
      <c r="Q689" s="228">
        <f>$B$5=X689</f>
        <v/>
      </c>
      <c r="R689" s="228">
        <f>I689-AD689</f>
        <v/>
      </c>
      <c r="S689" s="371" t="n"/>
      <c r="T689" s="372" t="n">
        <v>45807</v>
      </c>
      <c r="U689" s="371" t="inlineStr">
        <is>
          <t>KR252598</t>
        </is>
      </c>
      <c r="V689" s="371" t="n"/>
      <c r="W689" s="371" t="n"/>
      <c r="X689" s="371" t="n"/>
      <c r="Y689" s="371" t="inlineStr">
        <is>
          <t>ហូលីដេ ឌីហ្សាញ (ខេមបូឌា) ឯ.ក</t>
        </is>
      </c>
      <c r="Z689" s="373" t="n"/>
      <c r="AA689" s="373" t="n"/>
      <c r="AB689" s="371" t="n"/>
      <c r="AC689" s="371" t="n"/>
      <c r="AD689" s="373" t="n">
        <v>1404954</v>
      </c>
      <c r="AE689" s="371" t="n"/>
      <c r="AF689" s="625" t="n"/>
    </row>
    <row r="690">
      <c r="A690" s="222">
        <f>A689+1</f>
        <v/>
      </c>
      <c r="B690" s="224" t="inlineStr">
        <is>
          <t>Lift-Off-Ex</t>
        </is>
      </c>
      <c r="C690" s="224" t="inlineStr">
        <is>
          <t>PHNOM PENH AUTONOMOUS PORT "PPAP"</t>
        </is>
      </c>
      <c r="D690" s="225" t="inlineStr">
        <is>
          <t>L001-100044999</t>
        </is>
      </c>
      <c r="E690" s="359" t="inlineStr">
        <is>
          <t>INV20250539164</t>
        </is>
      </c>
      <c r="F690" s="338" t="n">
        <v>45796</v>
      </c>
      <c r="G690" s="226" t="n"/>
      <c r="H690" s="627" t="n"/>
      <c r="I690" s="627" t="n">
        <v>28014</v>
      </c>
      <c r="J690" s="223" t="inlineStr">
        <is>
          <t>អនុញ្ញាត (បានប្រកាស)</t>
        </is>
      </c>
      <c r="K690" s="628" t="n"/>
      <c r="L690" s="626">
        <f>I690</f>
        <v/>
      </c>
      <c r="M690" s="598">
        <f>I690-L690</f>
        <v/>
      </c>
      <c r="N690" s="223" t="n"/>
      <c r="O690" s="228">
        <f>U690=E690</f>
        <v/>
      </c>
      <c r="P690" s="228">
        <f>MONTH(F690)-MONTH(T690)</f>
        <v/>
      </c>
      <c r="Q690" s="228">
        <f>$B$5=X690</f>
        <v/>
      </c>
      <c r="R690" s="228">
        <f>I690-AD690</f>
        <v/>
      </c>
      <c r="S690" s="371" t="n"/>
      <c r="T690" s="372" t="n">
        <v>45796</v>
      </c>
      <c r="U690" s="371" t="inlineStr">
        <is>
          <t>INV20250539164</t>
        </is>
      </c>
      <c r="V690" s="371" t="n">
        <v>0</v>
      </c>
      <c r="W690" s="371" t="inlineStr">
        <is>
          <t>បុគ្គលជាប់អាករ</t>
        </is>
      </c>
      <c r="X690" s="371" t="inlineStr">
        <is>
          <t>L001-901640009</t>
        </is>
      </c>
      <c r="Y690" s="371" t="inlineStr">
        <is>
          <t>ហូលីដេ ឌីហ្សាញ (ខេមបូឌា) ឯ.ក</t>
        </is>
      </c>
      <c r="Z690" s="373" t="n">
        <v>308154</v>
      </c>
      <c r="AA690" s="373" t="n">
        <v>280140</v>
      </c>
      <c r="AB690" s="371" t="n">
        <v>0</v>
      </c>
      <c r="AC690" s="371" t="inlineStr">
        <is>
          <t>-</t>
        </is>
      </c>
      <c r="AD690" s="373" t="n">
        <v>28014</v>
      </c>
      <c r="AE690" s="371" t="n">
        <v>0</v>
      </c>
      <c r="AF690" s="625" t="n">
        <v>0</v>
      </c>
      <c r="AG690" s="205" t="n">
        <v>0</v>
      </c>
      <c r="AH690" s="205" t="n">
        <v>0</v>
      </c>
      <c r="AI690" s="205" t="n">
        <v>0</v>
      </c>
      <c r="AJ690" s="205" t="n">
        <v>0</v>
      </c>
      <c r="AK690" s="205" t="n">
        <v>0</v>
      </c>
      <c r="AL690" s="205" t="n">
        <v>0.01</v>
      </c>
      <c r="AM690" s="205" t="n">
        <v>0</v>
      </c>
      <c r="AN690" s="205" t="inlineStr">
        <is>
          <t>ចំណូលពីសេវាកម្ម (លើកដាក់ទំនិញ)</t>
        </is>
      </c>
    </row>
    <row r="691">
      <c r="A691" s="222">
        <f>A690+1</f>
        <v/>
      </c>
      <c r="B691" s="224" t="inlineStr">
        <is>
          <t>Trucking &amp; Clearance-Ex</t>
        </is>
      </c>
      <c r="C691" s="224" t="inlineStr">
        <is>
          <t>KR GLOBAL LOGISTICS CO., LTD.</t>
        </is>
      </c>
      <c r="D691" s="225" t="inlineStr">
        <is>
          <t>K005-902004162</t>
        </is>
      </c>
      <c r="E691" s="359" t="inlineStr">
        <is>
          <t>KR252275</t>
        </is>
      </c>
      <c r="F691" s="338" t="n">
        <v>45786</v>
      </c>
      <c r="G691" s="226" t="n"/>
      <c r="H691" s="627" t="n"/>
      <c r="I691" s="627" t="n">
        <v>170528</v>
      </c>
      <c r="J691" s="223" t="inlineStr">
        <is>
          <t>អនុញ្ញាត (បានប្រកាស)</t>
        </is>
      </c>
      <c r="K691" s="628" t="n"/>
      <c r="L691" s="626">
        <f>I691</f>
        <v/>
      </c>
      <c r="M691" s="598">
        <f>I691-L691</f>
        <v/>
      </c>
      <c r="N691" s="223" t="n"/>
      <c r="O691" s="228">
        <f>U691=E691</f>
        <v/>
      </c>
      <c r="P691" s="228">
        <f>MONTH(F691)-MONTH(T691)</f>
        <v/>
      </c>
      <c r="Q691" s="228">
        <f>$B$5=X691</f>
        <v/>
      </c>
      <c r="R691" s="228">
        <f>I691-AD691</f>
        <v/>
      </c>
      <c r="S691" s="371" t="n"/>
      <c r="T691" s="372" t="n">
        <v>45786</v>
      </c>
      <c r="U691" s="371" t="inlineStr">
        <is>
          <t>KR252275</t>
        </is>
      </c>
      <c r="V691" s="371" t="n"/>
      <c r="W691" s="371" t="n"/>
      <c r="X691" s="371" t="n"/>
      <c r="Y691" s="371" t="inlineStr">
        <is>
          <t>ហូលីដេ ឌីហ្សាញ (ខេមបូឌា) ឯ.ក</t>
        </is>
      </c>
      <c r="Z691" s="373" t="n"/>
      <c r="AA691" s="373" t="n"/>
      <c r="AB691" s="371" t="n"/>
      <c r="AC691" s="371" t="n"/>
      <c r="AD691" s="373" t="n">
        <v>170528</v>
      </c>
      <c r="AE691" s="371" t="n"/>
      <c r="AF691" s="625" t="n"/>
    </row>
    <row r="692">
      <c r="A692" s="222">
        <f>A691+1</f>
        <v/>
      </c>
      <c r="B692" s="224" t="inlineStr">
        <is>
          <t>Trucking &amp; Clearance-Ex</t>
        </is>
      </c>
      <c r="C692" s="224" t="inlineStr">
        <is>
          <t>KR GLOBAL LOGISTICS CO., LTD.</t>
        </is>
      </c>
      <c r="D692" s="225" t="inlineStr">
        <is>
          <t>K005-902004162</t>
        </is>
      </c>
      <c r="E692" s="359" t="inlineStr">
        <is>
          <t>KR252274</t>
        </is>
      </c>
      <c r="F692" s="338" t="n">
        <v>45786</v>
      </c>
      <c r="G692" s="226" t="n"/>
      <c r="H692" s="627" t="n"/>
      <c r="I692" s="627" t="n">
        <v>341056</v>
      </c>
      <c r="J692" s="223" t="inlineStr">
        <is>
          <t>អនុញ្ញាត (បានប្រកាស)</t>
        </is>
      </c>
      <c r="K692" s="628" t="n"/>
      <c r="L692" s="626">
        <f>I692</f>
        <v/>
      </c>
      <c r="M692" s="598">
        <f>I692-L692</f>
        <v/>
      </c>
      <c r="N692" s="223" t="n"/>
      <c r="O692" s="228">
        <f>U692=E692</f>
        <v/>
      </c>
      <c r="P692" s="228">
        <f>MONTH(F692)-MONTH(T692)</f>
        <v/>
      </c>
      <c r="Q692" s="228">
        <f>$B$5=X692</f>
        <v/>
      </c>
      <c r="R692" s="228">
        <f>I692-AD692</f>
        <v/>
      </c>
      <c r="S692" s="371" t="n"/>
      <c r="T692" s="372" t="n">
        <v>45786</v>
      </c>
      <c r="U692" s="371" t="inlineStr">
        <is>
          <t>KR252274</t>
        </is>
      </c>
      <c r="V692" s="371" t="n"/>
      <c r="W692" s="371" t="n"/>
      <c r="X692" s="371" t="n"/>
      <c r="Y692" s="371" t="inlineStr">
        <is>
          <t>ហូលីដេ ឌីហ្សាញ (ខេមបូឌា) ឯ.ក</t>
        </is>
      </c>
      <c r="Z692" s="373" t="n"/>
      <c r="AA692" s="373" t="n"/>
      <c r="AB692" s="371" t="n"/>
      <c r="AC692" s="371" t="n"/>
      <c r="AD692" s="373" t="n">
        <v>341056</v>
      </c>
      <c r="AE692" s="371" t="n"/>
      <c r="AF692" s="625" t="n"/>
    </row>
    <row r="693">
      <c r="A693" s="222">
        <f>A692+1</f>
        <v/>
      </c>
      <c r="B693" s="224" t="inlineStr">
        <is>
          <t>Lift-Off-Ex</t>
        </is>
      </c>
      <c r="C693" s="224" t="inlineStr">
        <is>
          <t>PHNOM PENH AUTONOMOUS PORT "PPAP"</t>
        </is>
      </c>
      <c r="D693" s="225" t="inlineStr">
        <is>
          <t>L001-100044999</t>
        </is>
      </c>
      <c r="E693" s="359" t="inlineStr">
        <is>
          <t>INV20250539162</t>
        </is>
      </c>
      <c r="F693" s="338" t="n">
        <v>45796</v>
      </c>
      <c r="G693" s="226" t="n"/>
      <c r="H693" s="627" t="n"/>
      <c r="I693" s="627" t="n">
        <v>46423</v>
      </c>
      <c r="J693" s="223" t="inlineStr">
        <is>
          <t>អនុញ្ញាត (បានប្រកាស)</t>
        </is>
      </c>
      <c r="K693" s="628">
        <f>L693</f>
        <v/>
      </c>
      <c r="L693" s="626">
        <f>I693</f>
        <v/>
      </c>
      <c r="M693" s="598">
        <f>I693-L693</f>
        <v/>
      </c>
      <c r="N693" s="223" t="n"/>
      <c r="O693" s="228">
        <f>U693=E693</f>
        <v/>
      </c>
      <c r="P693" s="228">
        <f>MONTH(F693)-MONTH(T693)</f>
        <v/>
      </c>
      <c r="Q693" s="228">
        <f>$B$5=X693</f>
        <v/>
      </c>
      <c r="R693" s="228">
        <f>I693-AD693</f>
        <v/>
      </c>
      <c r="S693" s="371" t="n"/>
      <c r="T693" s="372" t="n">
        <v>45796</v>
      </c>
      <c r="U693" s="371" t="inlineStr">
        <is>
          <t>INV20250539162</t>
        </is>
      </c>
      <c r="V693" s="371" t="n">
        <v>0</v>
      </c>
      <c r="W693" s="371" t="inlineStr">
        <is>
          <t>បុគ្គលជាប់អាករ</t>
        </is>
      </c>
      <c r="X693" s="371" t="inlineStr">
        <is>
          <t>L001-901640009</t>
        </is>
      </c>
      <c r="Y693" s="371" t="inlineStr">
        <is>
          <t>ហូលីដេ ឌីហ្សាញ (ខេមបូឌា) ឯ.ក</t>
        </is>
      </c>
      <c r="Z693" s="373" t="n">
        <v>510653</v>
      </c>
      <c r="AA693" s="373" t="n">
        <v>464230</v>
      </c>
      <c r="AB693" s="371" t="n">
        <v>0</v>
      </c>
      <c r="AC693" s="371" t="inlineStr">
        <is>
          <t>-</t>
        </is>
      </c>
      <c r="AD693" s="373" t="n">
        <v>46423</v>
      </c>
      <c r="AE693" s="371" t="n">
        <v>0</v>
      </c>
      <c r="AF693" s="625" t="n">
        <v>0</v>
      </c>
      <c r="AG693" s="205" t="n">
        <v>0</v>
      </c>
      <c r="AH693" s="205" t="n">
        <v>0</v>
      </c>
      <c r="AI693" s="205" t="n">
        <v>0</v>
      </c>
      <c r="AJ693" s="205" t="n">
        <v>0</v>
      </c>
      <c r="AK693" s="205" t="n">
        <v>0</v>
      </c>
      <c r="AL693" s="205" t="n">
        <v>0.01</v>
      </c>
      <c r="AM693" s="205" t="n">
        <v>0</v>
      </c>
      <c r="AN693" s="205" t="inlineStr">
        <is>
          <t>ចំណូលពីសេវាកម្ម (លើកដាក់ទំនិញ)</t>
        </is>
      </c>
    </row>
    <row r="694">
      <c r="A694" s="222">
        <f>A693+1</f>
        <v/>
      </c>
      <c r="B694" s="224" t="inlineStr">
        <is>
          <t>Trucking &amp; Clearance-Ex</t>
        </is>
      </c>
      <c r="C694" s="224" t="inlineStr">
        <is>
          <t>KR GLOBAL LOGISTICS CO., LTD.</t>
        </is>
      </c>
      <c r="D694" s="225" t="inlineStr">
        <is>
          <t>K005-902004162</t>
        </is>
      </c>
      <c r="E694" s="359" t="inlineStr">
        <is>
          <t>KR252273</t>
        </is>
      </c>
      <c r="F694" s="338" t="n">
        <v>45786</v>
      </c>
      <c r="G694" s="226" t="n"/>
      <c r="H694" s="627" t="n"/>
      <c r="I694" s="627" t="n">
        <v>332649</v>
      </c>
      <c r="J694" s="223" t="inlineStr">
        <is>
          <t>អនុញ្ញាត (បានប្រកាស)</t>
        </is>
      </c>
      <c r="K694" s="628" t="n"/>
      <c r="L694" s="626">
        <f>I694</f>
        <v/>
      </c>
      <c r="M694" s="598">
        <f>I694-L694</f>
        <v/>
      </c>
      <c r="N694" s="223" t="n"/>
      <c r="O694" s="228">
        <f>U694=E694</f>
        <v/>
      </c>
      <c r="P694" s="228">
        <f>MONTH(F694)-MONTH(T694)</f>
        <v/>
      </c>
      <c r="Q694" s="228">
        <f>$B$5=X694</f>
        <v/>
      </c>
      <c r="R694" s="228">
        <f>I694-AD694</f>
        <v/>
      </c>
      <c r="S694" s="371" t="n"/>
      <c r="T694" s="374" t="n">
        <v>45786</v>
      </c>
      <c r="U694" s="371" t="inlineStr">
        <is>
          <t>KR252273</t>
        </is>
      </c>
      <c r="V694" s="371" t="n"/>
      <c r="W694" s="371" t="n"/>
      <c r="X694" s="371" t="n"/>
      <c r="Y694" s="371" t="inlineStr">
        <is>
          <t>ហូលីដេ ឌីហ្សាញ (ខេមបូឌា) ឯ.ក</t>
        </is>
      </c>
      <c r="Z694" s="373" t="n"/>
      <c r="AA694" s="373" t="n"/>
      <c r="AB694" s="371" t="n"/>
      <c r="AC694" s="371" t="n"/>
      <c r="AD694" s="373" t="n">
        <v>332649</v>
      </c>
      <c r="AE694" s="371" t="n"/>
      <c r="AF694" s="625" t="n"/>
    </row>
    <row r="695">
      <c r="A695" s="222">
        <f>A694+1</f>
        <v/>
      </c>
      <c r="B695" s="224" t="inlineStr">
        <is>
          <t>Lift-Off-Ex</t>
        </is>
      </c>
      <c r="C695" s="224" t="inlineStr">
        <is>
          <t>PHNOM PENH AUTONOMOUS PORT "PPAP"</t>
        </is>
      </c>
      <c r="D695" s="225" t="inlineStr">
        <is>
          <t>L001-100044999</t>
        </is>
      </c>
      <c r="E695" s="359" t="inlineStr">
        <is>
          <t>INV20250539161</t>
        </is>
      </c>
      <c r="F695" s="338" t="n">
        <v>45796</v>
      </c>
      <c r="G695" s="226" t="n"/>
      <c r="H695" s="627" t="n"/>
      <c r="I695" s="627" t="n">
        <v>56028</v>
      </c>
      <c r="J695" s="223" t="inlineStr">
        <is>
          <t>អនុញ្ញាត (បានប្រកាស)</t>
        </is>
      </c>
      <c r="K695" s="628" t="n"/>
      <c r="L695" s="626">
        <f>I695</f>
        <v/>
      </c>
      <c r="M695" s="598">
        <f>I695-L695</f>
        <v/>
      </c>
      <c r="N695" s="223" t="n"/>
      <c r="O695" s="228">
        <f>U695=E695</f>
        <v/>
      </c>
      <c r="P695" s="228">
        <f>MONTH(F695)-MONTH(T695)</f>
        <v/>
      </c>
      <c r="Q695" s="228">
        <f>$B$5=X695</f>
        <v/>
      </c>
      <c r="R695" s="228">
        <f>I695-AD695</f>
        <v/>
      </c>
      <c r="S695" s="371" t="n"/>
      <c r="T695" s="372" t="n">
        <v>45796</v>
      </c>
      <c r="U695" s="371" t="inlineStr">
        <is>
          <t>INV20250539161</t>
        </is>
      </c>
      <c r="V695" s="371" t="n">
        <v>0</v>
      </c>
      <c r="W695" s="371" t="inlineStr">
        <is>
          <t>បុគ្គលជាប់អាករ</t>
        </is>
      </c>
      <c r="X695" s="371" t="inlineStr">
        <is>
          <t>L001-901640009</t>
        </is>
      </c>
      <c r="Y695" s="371" t="inlineStr">
        <is>
          <t>ហូលីដេ ឌីហ្សាញ (ខេមបូឌា) ឯ.ក</t>
        </is>
      </c>
      <c r="Z695" s="373" t="n">
        <v>616308</v>
      </c>
      <c r="AA695" s="373" t="n">
        <v>560280</v>
      </c>
      <c r="AB695" s="371" t="n">
        <v>0</v>
      </c>
      <c r="AC695" s="371" t="inlineStr">
        <is>
          <t>-</t>
        </is>
      </c>
      <c r="AD695" s="373" t="n">
        <v>56028</v>
      </c>
      <c r="AE695" s="371" t="n">
        <v>0</v>
      </c>
      <c r="AF695" s="625" t="n">
        <v>0</v>
      </c>
      <c r="AG695" s="205" t="n">
        <v>0</v>
      </c>
      <c r="AH695" s="205" t="n">
        <v>0</v>
      </c>
      <c r="AI695" s="205" t="n">
        <v>0</v>
      </c>
      <c r="AJ695" s="205" t="n">
        <v>0</v>
      </c>
      <c r="AK695" s="205" t="n">
        <v>0</v>
      </c>
      <c r="AL695" s="205" t="n">
        <v>0.01</v>
      </c>
      <c r="AM695" s="205" t="n">
        <v>0</v>
      </c>
      <c r="AN695" s="205" t="inlineStr">
        <is>
          <t>ចំណូលពីសេវាកម្ម (លើកដាក់ទំនិញ)</t>
        </is>
      </c>
    </row>
    <row r="696">
      <c r="A696" s="222">
        <f>A695+1</f>
        <v/>
      </c>
      <c r="B696" s="224" t="inlineStr">
        <is>
          <t>Trucking &amp; Clearance-Ex</t>
        </is>
      </c>
      <c r="C696" s="224" t="inlineStr">
        <is>
          <t>KR GLOBAL LOGISTICS CO., LTD.</t>
        </is>
      </c>
      <c r="D696" s="225" t="inlineStr">
        <is>
          <t>K005-902004162</t>
        </is>
      </c>
      <c r="E696" s="359" t="inlineStr">
        <is>
          <t>KR252272</t>
        </is>
      </c>
      <c r="F696" s="338" t="n">
        <v>45786</v>
      </c>
      <c r="G696" s="226" t="n"/>
      <c r="H696" s="627" t="n"/>
      <c r="I696" s="627" t="n">
        <v>341056</v>
      </c>
      <c r="J696" s="223" t="inlineStr">
        <is>
          <t>អនុញ្ញាត (បានប្រកាស)</t>
        </is>
      </c>
      <c r="K696" s="628" t="n"/>
      <c r="L696" s="626">
        <f>I696</f>
        <v/>
      </c>
      <c r="M696" s="598">
        <f>I696-L696</f>
        <v/>
      </c>
      <c r="N696" s="223" t="n"/>
      <c r="O696" s="228">
        <f>U696=E696</f>
        <v/>
      </c>
      <c r="P696" s="228">
        <f>MONTH(F696)-MONTH(T696)</f>
        <v/>
      </c>
      <c r="Q696" s="228">
        <f>$B$5=X696</f>
        <v/>
      </c>
      <c r="R696" s="228">
        <f>I696-AD696</f>
        <v/>
      </c>
      <c r="S696" s="371" t="n"/>
      <c r="T696" s="372" t="n">
        <v>45786</v>
      </c>
      <c r="U696" s="371" t="inlineStr">
        <is>
          <t>KR252272</t>
        </is>
      </c>
      <c r="V696" s="371" t="n"/>
      <c r="W696" s="371" t="n"/>
      <c r="X696" s="371" t="n"/>
      <c r="Y696" s="371" t="inlineStr">
        <is>
          <t>ហូលីដេ ឌីហ្សាញ (ខេមបូឌា) ឯ.ក</t>
        </is>
      </c>
      <c r="Z696" s="373" t="n"/>
      <c r="AA696" s="373" t="n"/>
      <c r="AB696" s="371" t="n"/>
      <c r="AC696" s="371" t="n"/>
      <c r="AD696" s="373" t="n">
        <v>341056</v>
      </c>
      <c r="AE696" s="371" t="n"/>
      <c r="AF696" s="625" t="n"/>
    </row>
    <row r="697">
      <c r="A697" s="222">
        <f>A696+1</f>
        <v/>
      </c>
      <c r="B697" s="224" t="inlineStr">
        <is>
          <t>Lift-Off-Ex</t>
        </is>
      </c>
      <c r="C697" s="224" t="inlineStr">
        <is>
          <t>PHNOM PENH AUTONOMOUS PORT "PPAP"</t>
        </is>
      </c>
      <c r="D697" s="225" t="inlineStr">
        <is>
          <t>L001-100044999</t>
        </is>
      </c>
      <c r="E697" s="359" t="inlineStr">
        <is>
          <t>INV20250539160</t>
        </is>
      </c>
      <c r="F697" s="338" t="n">
        <v>45796</v>
      </c>
      <c r="G697" s="226" t="n"/>
      <c r="H697" s="627" t="n"/>
      <c r="I697" s="627" t="n">
        <v>28014</v>
      </c>
      <c r="J697" s="223" t="inlineStr">
        <is>
          <t>អនុញ្ញាត (បានប្រកាស)</t>
        </is>
      </c>
      <c r="K697" s="628" t="n"/>
      <c r="L697" s="626">
        <f>I697</f>
        <v/>
      </c>
      <c r="M697" s="598">
        <f>I697-L697</f>
        <v/>
      </c>
      <c r="N697" s="223" t="n"/>
      <c r="O697" s="228">
        <f>U697=E697</f>
        <v/>
      </c>
      <c r="P697" s="228">
        <f>MONTH(F697)-MONTH(T697)</f>
        <v/>
      </c>
      <c r="Q697" s="228">
        <f>$B$5=X697</f>
        <v/>
      </c>
      <c r="R697" s="228">
        <f>I697-AD697</f>
        <v/>
      </c>
      <c r="S697" s="371" t="n"/>
      <c r="T697" s="372" t="n">
        <v>45796</v>
      </c>
      <c r="U697" s="371" t="inlineStr">
        <is>
          <t>INV20250539160</t>
        </is>
      </c>
      <c r="V697" s="371" t="n">
        <v>0</v>
      </c>
      <c r="W697" s="371" t="inlineStr">
        <is>
          <t>បុគ្គលជាប់អាករ</t>
        </is>
      </c>
      <c r="X697" s="371" t="inlineStr">
        <is>
          <t>L001-901640009</t>
        </is>
      </c>
      <c r="Y697" s="371" t="inlineStr">
        <is>
          <t>ហូលីដេ ឌីហ្សាញ (ខេមបូឌា) ឯ.ក</t>
        </is>
      </c>
      <c r="Z697" s="373" t="n">
        <v>308154</v>
      </c>
      <c r="AA697" s="373" t="n">
        <v>280140</v>
      </c>
      <c r="AB697" s="371" t="n">
        <v>0</v>
      </c>
      <c r="AC697" s="371" t="inlineStr">
        <is>
          <t>-</t>
        </is>
      </c>
      <c r="AD697" s="373" t="n">
        <v>28014</v>
      </c>
      <c r="AE697" s="371" t="n">
        <v>0</v>
      </c>
      <c r="AF697" s="625" t="n">
        <v>0</v>
      </c>
      <c r="AG697" s="205" t="n">
        <v>0</v>
      </c>
      <c r="AH697" s="205" t="n">
        <v>0</v>
      </c>
      <c r="AI697" s="205" t="n">
        <v>0</v>
      </c>
      <c r="AJ697" s="205" t="n">
        <v>0</v>
      </c>
      <c r="AK697" s="205" t="n">
        <v>0</v>
      </c>
      <c r="AL697" s="205" t="n">
        <v>0.01</v>
      </c>
      <c r="AM697" s="205" t="n">
        <v>0</v>
      </c>
      <c r="AN697" s="205" t="inlineStr">
        <is>
          <t>ចំណូលពីសេវាកម្ម (លើកដាក់ទំនិញ)</t>
        </is>
      </c>
    </row>
    <row r="698">
      <c r="A698" s="222">
        <f>A697+1</f>
        <v/>
      </c>
      <c r="B698" s="224" t="inlineStr">
        <is>
          <t>Trucking &amp; Clearance-Ex</t>
        </is>
      </c>
      <c r="C698" s="224" t="inlineStr">
        <is>
          <t>WANAKA LOGISTICS CO., LTD.</t>
        </is>
      </c>
      <c r="D698" s="225" t="inlineStr">
        <is>
          <t>K005-901907953</t>
        </is>
      </c>
      <c r="E698" s="359" t="inlineStr">
        <is>
          <t>WL25-001764</t>
        </is>
      </c>
      <c r="F698" s="338" t="n">
        <v>45800</v>
      </c>
      <c r="G698" s="226" t="n"/>
      <c r="H698" s="627" t="n"/>
      <c r="I698" s="627" t="n">
        <v>306230</v>
      </c>
      <c r="J698" s="223" t="inlineStr">
        <is>
          <t>អនុញ្ញាត (បានប្រកាស)</t>
        </is>
      </c>
      <c r="K698" s="628" t="n"/>
      <c r="L698" s="626">
        <f>I698</f>
        <v/>
      </c>
      <c r="M698" s="598">
        <f>I698-L698</f>
        <v/>
      </c>
      <c r="N698" s="223" t="n"/>
      <c r="O698" s="228">
        <f>U698=E698</f>
        <v/>
      </c>
      <c r="P698" s="228">
        <f>MONTH(F698)-MONTH(T698)</f>
        <v/>
      </c>
      <c r="Q698" s="228">
        <f>$B$5=X698</f>
        <v/>
      </c>
      <c r="R698" s="228">
        <f>I698-AD698</f>
        <v/>
      </c>
      <c r="S698" s="371" t="n"/>
      <c r="T698" s="372" t="n">
        <v>45800</v>
      </c>
      <c r="U698" s="371" t="inlineStr">
        <is>
          <t>WL25-001764</t>
        </is>
      </c>
      <c r="V698" s="371" t="n"/>
      <c r="W698" s="371" t="n"/>
      <c r="X698" s="371" t="n"/>
      <c r="Y698" s="371" t="inlineStr">
        <is>
          <t>ហូលីដេ ឌីហ្សាញ (ខេមបូឌា) ឯ.ក</t>
        </is>
      </c>
      <c r="Z698" s="373" t="n"/>
      <c r="AA698" s="373" t="n"/>
      <c r="AB698" s="371" t="n"/>
      <c r="AC698" s="371" t="n"/>
      <c r="AD698" s="373" t="n">
        <v>306230</v>
      </c>
      <c r="AE698" s="371" t="n"/>
      <c r="AF698" s="625" t="n"/>
    </row>
    <row r="699">
      <c r="A699" s="222">
        <f>A698+1</f>
        <v/>
      </c>
      <c r="B699" s="224" t="inlineStr">
        <is>
          <t>Lift-Off-Ex</t>
        </is>
      </c>
      <c r="C699" s="224" t="inlineStr">
        <is>
          <t>PHNOM PENH AUTONOMOUS PORT "PPAP"</t>
        </is>
      </c>
      <c r="D699" s="225" t="inlineStr">
        <is>
          <t>L001-100044999</t>
        </is>
      </c>
      <c r="E699" s="359" t="inlineStr">
        <is>
          <t>INV20250539886</t>
        </is>
      </c>
      <c r="F699" s="338" t="n">
        <v>45798</v>
      </c>
      <c r="G699" s="226" t="n"/>
      <c r="H699" s="627" t="n"/>
      <c r="I699" s="627" t="n">
        <v>46435</v>
      </c>
      <c r="J699" s="223" t="inlineStr">
        <is>
          <t>អនុញ្ញាត (បានប្រកាស)</t>
        </is>
      </c>
      <c r="K699" s="628" t="n"/>
      <c r="L699" s="626">
        <f>I699</f>
        <v/>
      </c>
      <c r="M699" s="598">
        <f>I699-L699</f>
        <v/>
      </c>
      <c r="N699" s="223" t="n"/>
      <c r="O699" s="228">
        <f>U699=E699</f>
        <v/>
      </c>
      <c r="P699" s="228">
        <f>MONTH(F699)-MONTH(T699)</f>
        <v/>
      </c>
      <c r="Q699" s="228">
        <f>$B$5=X699</f>
        <v/>
      </c>
      <c r="R699" s="228">
        <f>I699-AD699</f>
        <v/>
      </c>
      <c r="S699" s="371" t="n"/>
      <c r="T699" s="372" t="n">
        <v>45798</v>
      </c>
      <c r="U699" s="371" t="inlineStr">
        <is>
          <t>INV20250539886</t>
        </is>
      </c>
      <c r="V699" s="371" t="n">
        <v>0</v>
      </c>
      <c r="W699" s="371" t="inlineStr">
        <is>
          <t>បុគ្គលជាប់អាករ</t>
        </is>
      </c>
      <c r="X699" s="371" t="inlineStr">
        <is>
          <t>L001-901640009</t>
        </is>
      </c>
      <c r="Y699" s="371" t="inlineStr">
        <is>
          <t>ហូលីដេ ឌីហ្សាញ (ខេមបូឌា) ឯ.ក</t>
        </is>
      </c>
      <c r="Z699" s="373" t="n">
        <v>510785</v>
      </c>
      <c r="AA699" s="373" t="n">
        <v>464350</v>
      </c>
      <c r="AB699" s="371" t="n">
        <v>0</v>
      </c>
      <c r="AC699" s="371" t="inlineStr">
        <is>
          <t>-</t>
        </is>
      </c>
      <c r="AD699" s="373" t="n">
        <v>46435</v>
      </c>
      <c r="AE699" s="371" t="n">
        <v>0</v>
      </c>
      <c r="AF699" s="625" t="n">
        <v>0</v>
      </c>
      <c r="AG699" s="205" t="n">
        <v>0</v>
      </c>
      <c r="AH699" s="205" t="n">
        <v>0</v>
      </c>
      <c r="AI699" s="205" t="n">
        <v>0</v>
      </c>
      <c r="AJ699" s="205" t="n">
        <v>0</v>
      </c>
      <c r="AK699" s="205" t="n">
        <v>0</v>
      </c>
      <c r="AL699" s="205" t="n">
        <v>0.01</v>
      </c>
      <c r="AM699" s="205" t="n">
        <v>0</v>
      </c>
      <c r="AN699" s="205" t="inlineStr">
        <is>
          <t>ចំណូលពីសេវាកម្ម (លើកដាក់ទំនិញ)</t>
        </is>
      </c>
    </row>
    <row r="700">
      <c r="A700" s="222">
        <f>A699+1</f>
        <v/>
      </c>
      <c r="B700" s="224" t="inlineStr">
        <is>
          <t>Trucking &amp; Clearance-Ex</t>
        </is>
      </c>
      <c r="C700" s="224" t="inlineStr">
        <is>
          <t>WANAKA LOGISTICS CO., LTD.</t>
        </is>
      </c>
      <c r="D700" s="225" t="inlineStr">
        <is>
          <t>K005-901907953</t>
        </is>
      </c>
      <c r="E700" s="359" t="inlineStr">
        <is>
          <t>WL25-001765</t>
        </is>
      </c>
      <c r="F700" s="338" t="n">
        <v>45800</v>
      </c>
      <c r="G700" s="226" t="n"/>
      <c r="H700" s="627" t="n"/>
      <c r="I700" s="627" t="n">
        <v>157318</v>
      </c>
      <c r="J700" s="223" t="inlineStr">
        <is>
          <t>អនុញ្ញាត (បានប្រកាស)</t>
        </is>
      </c>
      <c r="K700" s="628" t="n"/>
      <c r="L700" s="626">
        <f>I700</f>
        <v/>
      </c>
      <c r="M700" s="598">
        <f>I700-L700</f>
        <v/>
      </c>
      <c r="N700" s="223" t="n"/>
      <c r="O700" s="228">
        <f>U700=E700</f>
        <v/>
      </c>
      <c r="P700" s="228">
        <f>MONTH(F700)-MONTH(T700)</f>
        <v/>
      </c>
      <c r="Q700" s="228">
        <f>$B$5=X700</f>
        <v/>
      </c>
      <c r="R700" s="228">
        <f>I700-AD700</f>
        <v/>
      </c>
      <c r="S700" s="371" t="n"/>
      <c r="T700" s="372" t="n">
        <v>45800</v>
      </c>
      <c r="U700" s="371" t="inlineStr">
        <is>
          <t>WL25-001765</t>
        </is>
      </c>
      <c r="V700" s="371" t="n"/>
      <c r="W700" s="371" t="n"/>
      <c r="X700" s="371" t="n"/>
      <c r="Y700" s="371" t="inlineStr">
        <is>
          <t>ហូលីដេ ឌីហ្សាញ (ខេមបូឌា) ឯ.ក</t>
        </is>
      </c>
      <c r="Z700" s="373" t="n"/>
      <c r="AA700" s="373" t="n"/>
      <c r="AB700" s="371" t="n"/>
      <c r="AC700" s="371" t="n"/>
      <c r="AD700" s="373" t="n">
        <v>157318</v>
      </c>
      <c r="AE700" s="371" t="n"/>
      <c r="AF700" s="625" t="n"/>
    </row>
    <row r="701">
      <c r="A701" s="222">
        <f>A700+1</f>
        <v/>
      </c>
      <c r="B701" s="224" t="inlineStr">
        <is>
          <t>Lift-Off-Ex</t>
        </is>
      </c>
      <c r="C701" s="224" t="inlineStr">
        <is>
          <t>PHNOM PENH AUTONOMOUS PORT "PPAP"</t>
        </is>
      </c>
      <c r="D701" s="225" t="inlineStr">
        <is>
          <t>L001-100044999</t>
        </is>
      </c>
      <c r="E701" s="359" t="inlineStr">
        <is>
          <t>INV20250542470</t>
        </is>
      </c>
      <c r="F701" s="338" t="n">
        <v>45805</v>
      </c>
      <c r="G701" s="226" t="n"/>
      <c r="H701" s="627" t="n"/>
      <c r="I701" s="627" t="n">
        <v>56042</v>
      </c>
      <c r="J701" s="223" t="inlineStr">
        <is>
          <t>អនុញ្ញាត (បានប្រកាស)</t>
        </is>
      </c>
      <c r="K701" s="628" t="n"/>
      <c r="L701" s="626">
        <f>I701</f>
        <v/>
      </c>
      <c r="M701" s="598">
        <f>I701-L701</f>
        <v/>
      </c>
      <c r="N701" s="223" t="n"/>
      <c r="O701" s="228">
        <f>U701=E701</f>
        <v/>
      </c>
      <c r="P701" s="228">
        <f>MONTH(F701)-MONTH(T701)</f>
        <v/>
      </c>
      <c r="Q701" s="228">
        <f>$B$5=X701</f>
        <v/>
      </c>
      <c r="R701" s="228">
        <f>I701-AD701</f>
        <v/>
      </c>
      <c r="S701" s="371" t="n"/>
      <c r="T701" s="372" t="n">
        <v>45805</v>
      </c>
      <c r="U701" s="371" t="inlineStr">
        <is>
          <t>INV20250542470</t>
        </is>
      </c>
      <c r="V701" s="371" t="n">
        <v>0</v>
      </c>
      <c r="W701" s="371" t="inlineStr">
        <is>
          <t>បុគ្គលជាប់អាករ</t>
        </is>
      </c>
      <c r="X701" s="371" t="inlineStr">
        <is>
          <t>L001-901640009</t>
        </is>
      </c>
      <c r="Y701" s="371" t="inlineStr">
        <is>
          <t>ហូលីដេ ឌីហ្សាញ (ខេមបូឌា) ឯ.ក</t>
        </is>
      </c>
      <c r="Z701" s="373" t="n">
        <v>616462</v>
      </c>
      <c r="AA701" s="373" t="n">
        <v>560420</v>
      </c>
      <c r="AB701" s="371" t="n">
        <v>0</v>
      </c>
      <c r="AC701" s="371" t="inlineStr">
        <is>
          <t>-</t>
        </is>
      </c>
      <c r="AD701" s="373" t="n">
        <v>56042</v>
      </c>
      <c r="AE701" s="371" t="n">
        <v>0</v>
      </c>
      <c r="AF701" s="625" t="n">
        <v>0</v>
      </c>
      <c r="AG701" s="205" t="n">
        <v>0</v>
      </c>
      <c r="AH701" s="205" t="n">
        <v>0</v>
      </c>
      <c r="AI701" s="205" t="n">
        <v>0</v>
      </c>
      <c r="AJ701" s="205" t="n">
        <v>0</v>
      </c>
      <c r="AK701" s="205" t="n">
        <v>0</v>
      </c>
      <c r="AL701" s="205" t="n">
        <v>0.01</v>
      </c>
      <c r="AM701" s="205" t="n">
        <v>0</v>
      </c>
      <c r="AN701" s="205" t="inlineStr">
        <is>
          <t>ចំណូលពីសេវាកម្ម (លើកដាក់ទំនិញ)</t>
        </is>
      </c>
    </row>
    <row r="702">
      <c r="A702" s="222">
        <f>A701+1</f>
        <v/>
      </c>
      <c r="B702" s="224" t="inlineStr">
        <is>
          <t>Trucking &amp; Clearance-Ex</t>
        </is>
      </c>
      <c r="C702" s="224" t="inlineStr">
        <is>
          <t>WANAKA LOGISTICS CO., LTD.</t>
        </is>
      </c>
      <c r="D702" s="225" t="inlineStr">
        <is>
          <t>K005-901907953</t>
        </is>
      </c>
      <c r="E702" s="359" t="inlineStr">
        <is>
          <t>WL25-001888</t>
        </is>
      </c>
      <c r="F702" s="338" t="n">
        <v>45805</v>
      </c>
      <c r="G702" s="226" t="n"/>
      <c r="H702" s="627" t="n"/>
      <c r="I702" s="627" t="n">
        <v>314636</v>
      </c>
      <c r="J702" s="223" t="inlineStr">
        <is>
          <t>អនុញ្ញាត (បានប្រកាស)</t>
        </is>
      </c>
      <c r="K702" s="628" t="n"/>
      <c r="L702" s="626">
        <f>I702</f>
        <v/>
      </c>
      <c r="M702" s="598">
        <f>I702-L702</f>
        <v/>
      </c>
      <c r="N702" s="223" t="n"/>
      <c r="O702" s="228">
        <f>U702=E702</f>
        <v/>
      </c>
      <c r="P702" s="228">
        <f>MONTH(F702)-MONTH(T702)</f>
        <v/>
      </c>
      <c r="Q702" s="228">
        <f>$B$5=X702</f>
        <v/>
      </c>
      <c r="R702" s="228">
        <f>I702-AD702</f>
        <v/>
      </c>
      <c r="S702" s="371" t="n"/>
      <c r="T702" s="372" t="n">
        <v>45805</v>
      </c>
      <c r="U702" s="371" t="inlineStr">
        <is>
          <t>WL25-001888</t>
        </is>
      </c>
      <c r="V702" s="371" t="n"/>
      <c r="W702" s="371" t="n"/>
      <c r="X702" s="371" t="n"/>
      <c r="Y702" s="371" t="inlineStr">
        <is>
          <t>ហូលីដេ ឌីហ្សាញ (ខេមបូឌា) ឯ.ក</t>
        </is>
      </c>
      <c r="Z702" s="373" t="n"/>
      <c r="AA702" s="373" t="n"/>
      <c r="AB702" s="371" t="n"/>
      <c r="AC702" s="371" t="n"/>
      <c r="AD702" s="373" t="n">
        <v>314636</v>
      </c>
      <c r="AE702" s="371" t="n"/>
      <c r="AF702" s="625" t="n"/>
    </row>
    <row r="703">
      <c r="A703" s="222">
        <f>A702+1</f>
        <v/>
      </c>
      <c r="B703" s="224" t="inlineStr">
        <is>
          <t>Lift-Off-Ex</t>
        </is>
      </c>
      <c r="C703" s="224" t="inlineStr">
        <is>
          <t>PHNOM PENH AUTONOMOUS PORT "PPAP"</t>
        </is>
      </c>
      <c r="D703" s="225" t="inlineStr">
        <is>
          <t>L001-100044999</t>
        </is>
      </c>
      <c r="E703" s="359" t="inlineStr">
        <is>
          <t>INV20250542484</t>
        </is>
      </c>
      <c r="F703" s="338" t="n">
        <v>45805</v>
      </c>
      <c r="G703" s="226" t="n"/>
      <c r="H703" s="627" t="n"/>
      <c r="I703" s="627" t="n">
        <v>28021</v>
      </c>
      <c r="J703" s="223" t="inlineStr">
        <is>
          <t>អនុញ្ញាត (បានប្រកាស)</t>
        </is>
      </c>
      <c r="K703" s="628" t="n"/>
      <c r="L703" s="626">
        <f>I703</f>
        <v/>
      </c>
      <c r="M703" s="598">
        <f>I703-L703</f>
        <v/>
      </c>
      <c r="N703" s="223" t="n"/>
      <c r="O703" s="228">
        <f>U703=E703</f>
        <v/>
      </c>
      <c r="P703" s="228">
        <f>MONTH(F703)-MONTH(T703)</f>
        <v/>
      </c>
      <c r="Q703" s="228">
        <f>$B$5=X703</f>
        <v/>
      </c>
      <c r="R703" s="228">
        <f>I703-AD703</f>
        <v/>
      </c>
      <c r="S703" s="371" t="n"/>
      <c r="T703" s="372" t="n">
        <v>45805</v>
      </c>
      <c r="U703" s="371" t="inlineStr">
        <is>
          <t>INV20250542484</t>
        </is>
      </c>
      <c r="V703" s="371" t="n">
        <v>0</v>
      </c>
      <c r="W703" s="371" t="inlineStr">
        <is>
          <t>បុគ្គលជាប់អាករ</t>
        </is>
      </c>
      <c r="X703" s="371" t="inlineStr">
        <is>
          <t>L001-901640009</t>
        </is>
      </c>
      <c r="Y703" s="371" t="inlineStr">
        <is>
          <t>ហូលីដេ ឌីហ្សាញ (ខេមបូឌា) ឯ.ក</t>
        </is>
      </c>
      <c r="Z703" s="373" t="n">
        <v>308231</v>
      </c>
      <c r="AA703" s="373" t="n">
        <v>280210</v>
      </c>
      <c r="AB703" s="371" t="n">
        <v>0</v>
      </c>
      <c r="AC703" s="371" t="inlineStr">
        <is>
          <t>-</t>
        </is>
      </c>
      <c r="AD703" s="373" t="n">
        <v>28021</v>
      </c>
      <c r="AE703" s="371" t="n">
        <v>0</v>
      </c>
      <c r="AF703" s="625" t="n">
        <v>0</v>
      </c>
      <c r="AG703" s="205" t="n">
        <v>0</v>
      </c>
      <c r="AH703" s="205" t="n">
        <v>0</v>
      </c>
      <c r="AI703" s="205" t="n">
        <v>0</v>
      </c>
      <c r="AJ703" s="205" t="n">
        <v>0</v>
      </c>
      <c r="AK703" s="205" t="n">
        <v>0</v>
      </c>
      <c r="AL703" s="205" t="n">
        <v>0.01</v>
      </c>
      <c r="AM703" s="205" t="n">
        <v>0</v>
      </c>
      <c r="AN703" s="205" t="inlineStr">
        <is>
          <t>ចំណូលពីសេវាកម្ម (លើកដាក់ទំនិញ)</t>
        </is>
      </c>
    </row>
    <row r="704">
      <c r="A704" s="222">
        <f>A703+1</f>
        <v/>
      </c>
      <c r="B704" s="224" t="inlineStr">
        <is>
          <t>Trucking &amp; Clearance-Ex</t>
        </is>
      </c>
      <c r="C704" s="224" t="inlineStr">
        <is>
          <t>WANAKA LOGISTICS CO., LTD.</t>
        </is>
      </c>
      <c r="D704" s="225" t="inlineStr">
        <is>
          <t>K005-901907953</t>
        </is>
      </c>
      <c r="E704" s="359" t="inlineStr">
        <is>
          <t>WL25-001887</t>
        </is>
      </c>
      <c r="F704" s="338" t="n">
        <v>45805</v>
      </c>
      <c r="G704" s="226" t="n"/>
      <c r="H704" s="627" t="n"/>
      <c r="I704" s="627" t="n">
        <v>157318</v>
      </c>
      <c r="J704" s="223" t="inlineStr">
        <is>
          <t>អនុញ្ញាត (បានប្រកាស)</t>
        </is>
      </c>
      <c r="K704" s="628" t="n"/>
      <c r="L704" s="626">
        <f>I704</f>
        <v/>
      </c>
      <c r="M704" s="598">
        <f>I704-L704</f>
        <v/>
      </c>
      <c r="N704" s="223" t="n"/>
      <c r="O704" s="228">
        <f>U704=E704</f>
        <v/>
      </c>
      <c r="P704" s="228">
        <f>MONTH(F704)-MONTH(T704)</f>
        <v/>
      </c>
      <c r="Q704" s="228">
        <f>$B$5=X704</f>
        <v/>
      </c>
      <c r="R704" s="228">
        <f>I704-AD704</f>
        <v/>
      </c>
      <c r="S704" s="371" t="n"/>
      <c r="T704" s="372" t="n">
        <v>45805</v>
      </c>
      <c r="U704" s="371" t="inlineStr">
        <is>
          <t>WL25-001887</t>
        </is>
      </c>
      <c r="V704" s="371" t="n"/>
      <c r="W704" s="371" t="n"/>
      <c r="X704" s="371" t="n"/>
      <c r="Y704" s="371" t="inlineStr">
        <is>
          <t>ហូលីដេ ឌីហ្សាញ (ខេមបូឌា) ឯ.ក</t>
        </is>
      </c>
      <c r="Z704" s="373" t="n"/>
      <c r="AA704" s="373" t="n"/>
      <c r="AB704" s="371" t="n"/>
      <c r="AC704" s="371" t="n"/>
      <c r="AD704" s="373" t="n">
        <v>157318</v>
      </c>
      <c r="AE704" s="371" t="n"/>
      <c r="AF704" s="625" t="n"/>
    </row>
    <row r="705">
      <c r="A705" s="222">
        <f>A704+1</f>
        <v/>
      </c>
      <c r="B705" s="224" t="inlineStr">
        <is>
          <t>Lift-Off-Ex</t>
        </is>
      </c>
      <c r="C705" s="224" t="inlineStr">
        <is>
          <t>PHNOM PENH AUTONOMOUS PORT "PPAP"</t>
        </is>
      </c>
      <c r="D705" s="225" t="inlineStr">
        <is>
          <t>L001-100044999</t>
        </is>
      </c>
      <c r="E705" s="359" t="inlineStr">
        <is>
          <t>INV20250542483</t>
        </is>
      </c>
      <c r="F705" s="338" t="n">
        <v>45805</v>
      </c>
      <c r="G705" s="226" t="n"/>
      <c r="H705" s="627" t="n"/>
      <c r="I705" s="627" t="n">
        <v>28021</v>
      </c>
      <c r="J705" s="223" t="inlineStr">
        <is>
          <t>អនុញ្ញាត (បានប្រកាស)</t>
        </is>
      </c>
      <c r="K705" s="628" t="n"/>
      <c r="L705" s="626">
        <f>I705</f>
        <v/>
      </c>
      <c r="M705" s="598">
        <f>I705-L705</f>
        <v/>
      </c>
      <c r="N705" s="223" t="n"/>
      <c r="O705" s="228">
        <f>U705=E705</f>
        <v/>
      </c>
      <c r="P705" s="228">
        <f>MONTH(F705)-MONTH(T705)</f>
        <v/>
      </c>
      <c r="Q705" s="228">
        <f>$B$5=X705</f>
        <v/>
      </c>
      <c r="R705" s="228">
        <f>I705-AD705</f>
        <v/>
      </c>
      <c r="S705" s="371" t="n"/>
      <c r="T705" s="372" t="n">
        <v>45805</v>
      </c>
      <c r="U705" s="371" t="inlineStr">
        <is>
          <t>INV20250542483</t>
        </is>
      </c>
      <c r="V705" s="371" t="n">
        <v>0</v>
      </c>
      <c r="W705" s="371" t="inlineStr">
        <is>
          <t>បុគ្គលជាប់អាករ</t>
        </is>
      </c>
      <c r="X705" s="371" t="inlineStr">
        <is>
          <t>L001-901640009</t>
        </is>
      </c>
      <c r="Y705" s="371" t="inlineStr">
        <is>
          <t>ហូលីដេ ឌីហ្សាញ (ខេមបូឌា) ឯ.ក</t>
        </is>
      </c>
      <c r="Z705" s="373" t="n">
        <v>308231</v>
      </c>
      <c r="AA705" s="373" t="n">
        <v>280210</v>
      </c>
      <c r="AB705" s="371" t="n">
        <v>0</v>
      </c>
      <c r="AC705" s="371" t="inlineStr">
        <is>
          <t>-</t>
        </is>
      </c>
      <c r="AD705" s="373" t="n">
        <v>28021</v>
      </c>
      <c r="AE705" s="371" t="n">
        <v>0</v>
      </c>
      <c r="AF705" s="625" t="n">
        <v>0</v>
      </c>
      <c r="AG705" s="205" t="n">
        <v>0</v>
      </c>
      <c r="AH705" s="205" t="n">
        <v>0</v>
      </c>
      <c r="AI705" s="205" t="n">
        <v>0</v>
      </c>
      <c r="AJ705" s="205" t="n">
        <v>0</v>
      </c>
      <c r="AK705" s="205" t="n">
        <v>0</v>
      </c>
      <c r="AL705" s="205" t="n">
        <v>0.01</v>
      </c>
      <c r="AM705" s="205" t="n">
        <v>0</v>
      </c>
      <c r="AN705" s="205" t="inlineStr">
        <is>
          <t>ចំណូលពីសេវាកម្ម (លើកដាក់ទំនិញ)</t>
        </is>
      </c>
    </row>
    <row r="706">
      <c r="A706" s="222">
        <f>A705+1</f>
        <v/>
      </c>
      <c r="B706" s="224" t="inlineStr">
        <is>
          <t>Trucking &amp; Clearance-Ex</t>
        </is>
      </c>
      <c r="C706" s="224" t="inlineStr">
        <is>
          <t>WANAKA LOGISTICS CO., LTD.</t>
        </is>
      </c>
      <c r="D706" s="225" t="inlineStr">
        <is>
          <t>K005-901907953</t>
        </is>
      </c>
      <c r="E706" s="359" t="inlineStr">
        <is>
          <t>WL25-001886</t>
        </is>
      </c>
      <c r="F706" s="338" t="n">
        <v>45805</v>
      </c>
      <c r="G706" s="226" t="n"/>
      <c r="H706" s="627" t="n"/>
      <c r="I706" s="627" t="n">
        <v>157318</v>
      </c>
      <c r="J706" s="223" t="inlineStr">
        <is>
          <t>អនុញ្ញាត (បានប្រកាស)</t>
        </is>
      </c>
      <c r="K706" s="628" t="n"/>
      <c r="L706" s="626">
        <f>I706</f>
        <v/>
      </c>
      <c r="M706" s="598">
        <f>I706-L706</f>
        <v/>
      </c>
      <c r="N706" s="223" t="n"/>
      <c r="O706" s="228">
        <f>U706=E706</f>
        <v/>
      </c>
      <c r="P706" s="228">
        <f>MONTH(F706)-MONTH(T706)</f>
        <v/>
      </c>
      <c r="Q706" s="228">
        <f>$B$5=X706</f>
        <v/>
      </c>
      <c r="R706" s="228">
        <f>I706-AD706</f>
        <v/>
      </c>
      <c r="S706" s="371" t="n"/>
      <c r="T706" s="374" t="n">
        <v>45805</v>
      </c>
      <c r="U706" s="371" t="inlineStr">
        <is>
          <t>WL25-001886</t>
        </is>
      </c>
      <c r="V706" s="371" t="n"/>
      <c r="W706" s="371" t="n"/>
      <c r="X706" s="371" t="n"/>
      <c r="Y706" s="371" t="inlineStr">
        <is>
          <t>ហូលីដេ ឌីហ្សាញ (ខេមបូឌា) ឯ.ក</t>
        </is>
      </c>
      <c r="Z706" s="373" t="n"/>
      <c r="AA706" s="373" t="n"/>
      <c r="AB706" s="371" t="n"/>
      <c r="AC706" s="371" t="n"/>
      <c r="AD706" s="373" t="n">
        <v>157318</v>
      </c>
      <c r="AE706" s="371" t="n"/>
      <c r="AF706" s="625" t="n"/>
    </row>
    <row r="707">
      <c r="A707" s="222">
        <f>A706+1</f>
        <v/>
      </c>
      <c r="B707" s="224" t="inlineStr">
        <is>
          <t>Lift-Off-Ex</t>
        </is>
      </c>
      <c r="C707" s="224" t="inlineStr">
        <is>
          <t>PHNOM PENH AUTONOMOUS PORT "PPAP"</t>
        </is>
      </c>
      <c r="D707" s="225" t="inlineStr">
        <is>
          <t>L001-100044999</t>
        </is>
      </c>
      <c r="E707" s="359" t="inlineStr">
        <is>
          <t>INV20250539872</t>
        </is>
      </c>
      <c r="F707" s="338" t="n">
        <v>45798</v>
      </c>
      <c r="G707" s="226" t="n"/>
      <c r="H707" s="627" t="n"/>
      <c r="I707" s="627" t="n">
        <v>168126</v>
      </c>
      <c r="J707" s="223" t="inlineStr">
        <is>
          <t>អនុញ្ញាត (បានប្រកាស)</t>
        </is>
      </c>
      <c r="K707" s="628" t="n"/>
      <c r="L707" s="626">
        <f>I707</f>
        <v/>
      </c>
      <c r="M707" s="598">
        <f>I707-L707</f>
        <v/>
      </c>
      <c r="N707" s="223" t="n"/>
      <c r="O707" s="228">
        <f>U707=E707</f>
        <v/>
      </c>
      <c r="P707" s="228">
        <f>MONTH(F707)-MONTH(T707)</f>
        <v/>
      </c>
      <c r="Q707" s="228">
        <f>$B$5=X707</f>
        <v/>
      </c>
      <c r="R707" s="228">
        <f>I707-AD707</f>
        <v/>
      </c>
      <c r="S707" s="371" t="n"/>
      <c r="T707" s="372" t="n">
        <v>45798</v>
      </c>
      <c r="U707" s="371" t="inlineStr">
        <is>
          <t>INV20250539872</t>
        </is>
      </c>
      <c r="V707" s="371" t="n">
        <v>0</v>
      </c>
      <c r="W707" s="371" t="inlineStr">
        <is>
          <t>បុគ្គលជាប់អាករ</t>
        </is>
      </c>
      <c r="X707" s="371" t="inlineStr">
        <is>
          <t>L001-901640009</t>
        </is>
      </c>
      <c r="Y707" s="371" t="inlineStr">
        <is>
          <t>ហូលីដេ ឌីហ្សាញ (ខេមបូឌា) ឯ.ក</t>
        </is>
      </c>
      <c r="Z707" s="373" t="n">
        <v>1849386</v>
      </c>
      <c r="AA707" s="373" t="n">
        <v>1681260</v>
      </c>
      <c r="AB707" s="371" t="n">
        <v>0</v>
      </c>
      <c r="AC707" s="371" t="inlineStr">
        <is>
          <t>-</t>
        </is>
      </c>
      <c r="AD707" s="373" t="n">
        <v>168126</v>
      </c>
      <c r="AE707" s="371" t="n">
        <v>0</v>
      </c>
      <c r="AF707" s="625" t="n">
        <v>0</v>
      </c>
      <c r="AG707" s="205" t="n">
        <v>0</v>
      </c>
      <c r="AH707" s="205" t="n">
        <v>0</v>
      </c>
      <c r="AI707" s="205" t="n">
        <v>0</v>
      </c>
      <c r="AJ707" s="205" t="n">
        <v>0</v>
      </c>
      <c r="AK707" s="205" t="n">
        <v>0</v>
      </c>
      <c r="AL707" s="205" t="n">
        <v>0.01</v>
      </c>
      <c r="AM707" s="205" t="n">
        <v>0</v>
      </c>
      <c r="AN707" s="205" t="inlineStr">
        <is>
          <t>ចំណូលពីសេវាកម្ម (លើកដាក់ទំនិញ)</t>
        </is>
      </c>
    </row>
    <row r="708">
      <c r="A708" s="222">
        <f>A707+1</f>
        <v/>
      </c>
      <c r="B708" s="224" t="inlineStr">
        <is>
          <t>Trucking &amp; Clearance-Ex</t>
        </is>
      </c>
      <c r="C708" s="224" t="inlineStr">
        <is>
          <t>WANAKA LOGISTICS CO., LTD.</t>
        </is>
      </c>
      <c r="D708" s="225" t="inlineStr">
        <is>
          <t>K005-901907953</t>
        </is>
      </c>
      <c r="E708" s="359" t="inlineStr">
        <is>
          <t>WL25-001782</t>
        </is>
      </c>
      <c r="F708" s="338" t="n">
        <v>45800</v>
      </c>
      <c r="G708" s="226" t="n"/>
      <c r="H708" s="627" t="n"/>
      <c r="I708" s="627" t="n">
        <v>963922</v>
      </c>
      <c r="J708" s="223" t="inlineStr">
        <is>
          <t>អនុញ្ញាត (បានប្រកាស)</t>
        </is>
      </c>
      <c r="K708" s="628" t="n"/>
      <c r="L708" s="626">
        <f>I708</f>
        <v/>
      </c>
      <c r="M708" s="598">
        <f>I708-L708</f>
        <v/>
      </c>
      <c r="N708" s="223" t="n"/>
      <c r="O708" s="228">
        <f>U708=E708</f>
        <v/>
      </c>
      <c r="P708" s="228">
        <f>MONTH(F708)-MONTH(T708)</f>
        <v/>
      </c>
      <c r="Q708" s="228">
        <f>$B$5=X708</f>
        <v/>
      </c>
      <c r="R708" s="228">
        <f>I708-AD708</f>
        <v/>
      </c>
      <c r="S708" s="371" t="n"/>
      <c r="T708" s="372" t="n">
        <v>45800</v>
      </c>
      <c r="U708" s="371" t="inlineStr">
        <is>
          <t>WL25-001782</t>
        </is>
      </c>
      <c r="V708" s="371" t="n"/>
      <c r="W708" s="371" t="n"/>
      <c r="X708" s="371" t="n"/>
      <c r="Y708" s="371" t="inlineStr">
        <is>
          <t>ហូលីដេ ឌីហ្សាញ (ខេមបូឌា) ឯ.ក</t>
        </is>
      </c>
      <c r="Z708" s="373" t="n"/>
      <c r="AA708" s="373" t="n"/>
      <c r="AB708" s="371" t="n"/>
      <c r="AC708" s="371" t="n"/>
      <c r="AD708" s="373" t="n">
        <v>963922</v>
      </c>
      <c r="AE708" s="371" t="n"/>
      <c r="AF708" s="625" t="n"/>
    </row>
    <row r="709">
      <c r="A709" s="222">
        <f>A708+1</f>
        <v/>
      </c>
      <c r="B709" s="224" t="inlineStr">
        <is>
          <t>Lift-Off-Ex</t>
        </is>
      </c>
      <c r="C709" s="224" t="inlineStr">
        <is>
          <t>PHNOM PENH AUTONOMOUS PORT "PPAP"</t>
        </is>
      </c>
      <c r="D709" s="225" t="inlineStr">
        <is>
          <t>L001-100044999</t>
        </is>
      </c>
      <c r="E709" s="359" t="inlineStr">
        <is>
          <t>INV20250539876</t>
        </is>
      </c>
      <c r="F709" s="338" t="n">
        <v>45798</v>
      </c>
      <c r="G709" s="226" t="n"/>
      <c r="H709" s="627" t="n"/>
      <c r="I709" s="627" t="n">
        <v>112084</v>
      </c>
      <c r="J709" s="223" t="inlineStr">
        <is>
          <t>អនុញ្ញាត (បានប្រកាស)</t>
        </is>
      </c>
      <c r="K709" s="628" t="n"/>
      <c r="L709" s="626">
        <f>I709</f>
        <v/>
      </c>
      <c r="M709" s="598">
        <f>I709-L709</f>
        <v/>
      </c>
      <c r="N709" s="223" t="n"/>
      <c r="O709" s="228">
        <f>U709=E709</f>
        <v/>
      </c>
      <c r="P709" s="228">
        <f>MONTH(F709)-MONTH(T709)</f>
        <v/>
      </c>
      <c r="Q709" s="228">
        <f>$B$5=X709</f>
        <v/>
      </c>
      <c r="R709" s="228">
        <f>I709-AD709</f>
        <v/>
      </c>
      <c r="S709" s="371" t="n"/>
      <c r="T709" s="374" t="n">
        <v>45798</v>
      </c>
      <c r="U709" s="371" t="inlineStr">
        <is>
          <t>INV20250539876</t>
        </is>
      </c>
      <c r="V709" s="371" t="n">
        <v>0</v>
      </c>
      <c r="W709" s="371" t="inlineStr">
        <is>
          <t>បុគ្គលជាប់អាករ</t>
        </is>
      </c>
      <c r="X709" s="371" t="inlineStr">
        <is>
          <t>L001-901640009</t>
        </is>
      </c>
      <c r="Y709" s="371" t="inlineStr">
        <is>
          <t>ហូលីដេ ឌីហ្សាញ (ខេមបូឌា) ឯ.ក</t>
        </is>
      </c>
      <c r="Z709" s="373" t="n">
        <v>1232924</v>
      </c>
      <c r="AA709" s="373" t="n">
        <v>1120840</v>
      </c>
      <c r="AB709" s="371" t="n">
        <v>0</v>
      </c>
      <c r="AC709" s="371" t="inlineStr">
        <is>
          <t>-</t>
        </is>
      </c>
      <c r="AD709" s="373" t="n">
        <v>112084</v>
      </c>
      <c r="AE709" s="371" t="n">
        <v>0</v>
      </c>
      <c r="AF709" s="625" t="n">
        <v>0</v>
      </c>
      <c r="AG709" s="205" t="n">
        <v>0</v>
      </c>
      <c r="AH709" s="205" t="n">
        <v>0</v>
      </c>
      <c r="AI709" s="205" t="n">
        <v>0</v>
      </c>
      <c r="AJ709" s="205" t="n">
        <v>0</v>
      </c>
      <c r="AK709" s="205" t="n">
        <v>0</v>
      </c>
      <c r="AL709" s="205" t="n">
        <v>0.01</v>
      </c>
      <c r="AM709" s="205" t="n">
        <v>0</v>
      </c>
      <c r="AN709" s="205" t="inlineStr">
        <is>
          <t>ចំណូលពីសេវាកម្ម (លើកដាក់ទំនិញ)</t>
        </is>
      </c>
    </row>
    <row r="710">
      <c r="A710" s="222">
        <f>A709+1</f>
        <v/>
      </c>
      <c r="B710" s="224" t="inlineStr">
        <is>
          <t>Trucking &amp; Clearance-Ex</t>
        </is>
      </c>
      <c r="C710" s="224" t="inlineStr">
        <is>
          <t>WANAKA LOGISTICS CO., LTD.</t>
        </is>
      </c>
      <c r="D710" s="225" t="inlineStr">
        <is>
          <t>K005-901907953</t>
        </is>
      </c>
      <c r="E710" s="359" t="inlineStr">
        <is>
          <t>WL25-001781</t>
        </is>
      </c>
      <c r="F710" s="338" t="n">
        <v>45800</v>
      </c>
      <c r="G710" s="226" t="n"/>
      <c r="H710" s="627" t="n"/>
      <c r="I710" s="627" t="n">
        <v>649287</v>
      </c>
      <c r="J710" s="223" t="inlineStr">
        <is>
          <t>អនុញ្ញាត (បានប្រកាស)</t>
        </is>
      </c>
      <c r="K710" s="628" t="n"/>
      <c r="L710" s="626">
        <f>I710</f>
        <v/>
      </c>
      <c r="M710" s="598">
        <f>I710-L710</f>
        <v/>
      </c>
      <c r="N710" s="223" t="n"/>
      <c r="O710" s="228">
        <f>U710=E710</f>
        <v/>
      </c>
      <c r="P710" s="228">
        <f>MONTH(F710)-MONTH(T710)</f>
        <v/>
      </c>
      <c r="Q710" s="228">
        <f>$B$5=X710</f>
        <v/>
      </c>
      <c r="R710" s="228">
        <f>I710-AD710</f>
        <v/>
      </c>
      <c r="S710" s="371" t="n"/>
      <c r="T710" s="372" t="n">
        <v>45800</v>
      </c>
      <c r="U710" s="371" t="inlineStr">
        <is>
          <t>WL25-001781</t>
        </is>
      </c>
      <c r="V710" s="371" t="n"/>
      <c r="W710" s="371" t="n"/>
      <c r="X710" s="371" t="n"/>
      <c r="Y710" s="371" t="inlineStr">
        <is>
          <t>ហូលីដេ ឌីហ្សាញ (ខេមបូឌា) ឯ.ក</t>
        </is>
      </c>
      <c r="Z710" s="373" t="n"/>
      <c r="AA710" s="373" t="n"/>
      <c r="AB710" s="371" t="n"/>
      <c r="AC710" s="371" t="n"/>
      <c r="AD710" s="373" t="n">
        <v>649287</v>
      </c>
      <c r="AE710" s="371" t="n"/>
      <c r="AF710" s="625" t="n"/>
    </row>
    <row r="711">
      <c r="A711" s="222">
        <f>A710+1</f>
        <v/>
      </c>
      <c r="B711" s="224" t="inlineStr">
        <is>
          <t>Lift-Off-Ex</t>
        </is>
      </c>
      <c r="C711" s="224" t="inlineStr">
        <is>
          <t>PHNOM PENH AUTONOMOUS PORT "PPAP"</t>
        </is>
      </c>
      <c r="D711" s="225" t="inlineStr">
        <is>
          <t>L001-100044999</t>
        </is>
      </c>
      <c r="E711" s="359" t="inlineStr">
        <is>
          <t>INV20250539893</t>
        </is>
      </c>
      <c r="F711" s="338" t="n">
        <v>45798</v>
      </c>
      <c r="G711" s="226" t="n"/>
      <c r="H711" s="627" t="n"/>
      <c r="I711" s="627" t="n">
        <v>28021</v>
      </c>
      <c r="J711" s="223" t="inlineStr">
        <is>
          <t>អនុញ្ញាត (បានប្រកាស)</t>
        </is>
      </c>
      <c r="K711" s="628" t="n"/>
      <c r="L711" s="626">
        <f>I711</f>
        <v/>
      </c>
      <c r="M711" s="598">
        <f>I711-L711</f>
        <v/>
      </c>
      <c r="N711" s="223" t="n"/>
      <c r="O711" s="228">
        <f>U711=E711</f>
        <v/>
      </c>
      <c r="P711" s="228">
        <f>MONTH(F711)-MONTH(T711)</f>
        <v/>
      </c>
      <c r="Q711" s="228">
        <f>$B$5=X711</f>
        <v/>
      </c>
      <c r="R711" s="228">
        <f>I711-AD711</f>
        <v/>
      </c>
      <c r="S711" s="371" t="n"/>
      <c r="T711" s="372" t="n">
        <v>45798</v>
      </c>
      <c r="U711" s="371" t="inlineStr">
        <is>
          <t>INV20250539893</t>
        </is>
      </c>
      <c r="V711" s="371" t="n">
        <v>0</v>
      </c>
      <c r="W711" s="371" t="inlineStr">
        <is>
          <t>បុគ្គលជាប់អាករ</t>
        </is>
      </c>
      <c r="X711" s="371" t="inlineStr">
        <is>
          <t>L001-901640009</t>
        </is>
      </c>
      <c r="Y711" s="371" t="inlineStr">
        <is>
          <t>ហូលីដេ ឌីហ្សាញ (ខេមបូឌា) ឯ.ក</t>
        </is>
      </c>
      <c r="Z711" s="373" t="n">
        <v>308231</v>
      </c>
      <c r="AA711" s="373" t="n">
        <v>280210</v>
      </c>
      <c r="AB711" s="371" t="n">
        <v>0</v>
      </c>
      <c r="AC711" s="371" t="inlineStr">
        <is>
          <t>-</t>
        </is>
      </c>
      <c r="AD711" s="373" t="n">
        <v>28021</v>
      </c>
      <c r="AE711" s="371" t="n">
        <v>0</v>
      </c>
      <c r="AF711" s="625" t="n">
        <v>0</v>
      </c>
      <c r="AG711" s="205" t="n">
        <v>0</v>
      </c>
      <c r="AH711" s="205" t="n">
        <v>0</v>
      </c>
      <c r="AI711" s="205" t="n">
        <v>0</v>
      </c>
      <c r="AJ711" s="205" t="n">
        <v>0</v>
      </c>
      <c r="AK711" s="205" t="n">
        <v>0</v>
      </c>
      <c r="AL711" s="205" t="n">
        <v>0.01</v>
      </c>
      <c r="AM711" s="205" t="n">
        <v>0</v>
      </c>
      <c r="AN711" s="205" t="inlineStr">
        <is>
          <t>ចំណូលពីសេវាកម្ម (លើកដាក់ទំនិញ)</t>
        </is>
      </c>
    </row>
    <row r="712">
      <c r="A712" s="222">
        <f>A711+1</f>
        <v/>
      </c>
      <c r="B712" s="224" t="inlineStr">
        <is>
          <t>Trucking &amp; Clearance-Ex</t>
        </is>
      </c>
      <c r="C712" s="224" t="inlineStr">
        <is>
          <t>WANAKA LOGISTICS CO., LTD.</t>
        </is>
      </c>
      <c r="D712" s="225" t="inlineStr">
        <is>
          <t>K005-901907953</t>
        </is>
      </c>
      <c r="E712" s="359" t="inlineStr">
        <is>
          <t>WL25-001780</t>
        </is>
      </c>
      <c r="F712" s="338" t="n">
        <v>45800</v>
      </c>
      <c r="G712" s="226" t="n"/>
      <c r="H712" s="627" t="n"/>
      <c r="I712" s="627" t="n">
        <v>157318</v>
      </c>
      <c r="J712" s="223" t="inlineStr">
        <is>
          <t>អនុញ្ញាត (បានប្រកាស)</t>
        </is>
      </c>
      <c r="K712" s="628" t="n"/>
      <c r="L712" s="626">
        <f>I712</f>
        <v/>
      </c>
      <c r="M712" s="598">
        <f>I712-L712</f>
        <v/>
      </c>
      <c r="N712" s="223" t="n"/>
      <c r="O712" s="228">
        <f>U712=E712</f>
        <v/>
      </c>
      <c r="P712" s="228">
        <f>MONTH(F712)-MONTH(T712)</f>
        <v/>
      </c>
      <c r="Q712" s="228">
        <f>$B$5=X712</f>
        <v/>
      </c>
      <c r="R712" s="228">
        <f>I712-AD712</f>
        <v/>
      </c>
      <c r="S712" s="371" t="n"/>
      <c r="T712" s="372" t="n">
        <v>45800</v>
      </c>
      <c r="U712" s="371" t="inlineStr">
        <is>
          <t>WL25-001780</t>
        </is>
      </c>
      <c r="V712" s="371" t="n"/>
      <c r="W712" s="371" t="n"/>
      <c r="X712" s="371" t="n"/>
      <c r="Y712" s="371" t="inlineStr">
        <is>
          <t>ហូលីដេ ឌីហ្សាញ (ខេមបូឌា) ឯ.ក</t>
        </is>
      </c>
      <c r="Z712" s="373" t="n"/>
      <c r="AA712" s="373" t="n"/>
      <c r="AB712" s="371" t="n"/>
      <c r="AC712" s="371" t="n"/>
      <c r="AD712" s="373" t="n">
        <v>157318</v>
      </c>
      <c r="AE712" s="371" t="n"/>
      <c r="AF712" s="625" t="n"/>
    </row>
    <row r="713">
      <c r="A713" s="222">
        <f>A712+1</f>
        <v/>
      </c>
      <c r="B713" s="224" t="inlineStr">
        <is>
          <t>Lift-Off-Ex</t>
        </is>
      </c>
      <c r="C713" s="224" t="inlineStr">
        <is>
          <t>PHNOM PENH AUTONOMOUS PORT "PPAP"</t>
        </is>
      </c>
      <c r="D713" s="225" t="inlineStr">
        <is>
          <t>L001-100044999</t>
        </is>
      </c>
      <c r="E713" s="359" t="inlineStr">
        <is>
          <t>INV20250539891</t>
        </is>
      </c>
      <c r="F713" s="338" t="n">
        <v>45798</v>
      </c>
      <c r="G713" s="226" t="n"/>
      <c r="H713" s="627" t="n"/>
      <c r="I713" s="627" t="n">
        <v>28021</v>
      </c>
      <c r="J713" s="223" t="inlineStr">
        <is>
          <t>អនុញ្ញាត (បានប្រកាស)</t>
        </is>
      </c>
      <c r="K713" s="628" t="n"/>
      <c r="L713" s="626">
        <f>I713</f>
        <v/>
      </c>
      <c r="M713" s="598">
        <f>I713-L713</f>
        <v/>
      </c>
      <c r="N713" s="223" t="n"/>
      <c r="O713" s="228">
        <f>U713=E713</f>
        <v/>
      </c>
      <c r="P713" s="228">
        <f>MONTH(F713)-MONTH(T713)</f>
        <v/>
      </c>
      <c r="Q713" s="228">
        <f>$B$5=X713</f>
        <v/>
      </c>
      <c r="R713" s="228">
        <f>I713-AD713</f>
        <v/>
      </c>
      <c r="S713" s="371" t="n"/>
      <c r="T713" s="374" t="n">
        <v>45798</v>
      </c>
      <c r="U713" s="371" t="inlineStr">
        <is>
          <t>INV20250539891</t>
        </is>
      </c>
      <c r="V713" s="371" t="n">
        <v>0</v>
      </c>
      <c r="W713" s="371" t="inlineStr">
        <is>
          <t>បុគ្គលជាប់អាករ</t>
        </is>
      </c>
      <c r="X713" s="371" t="inlineStr">
        <is>
          <t>L001-901640009</t>
        </is>
      </c>
      <c r="Y713" s="371" t="inlineStr">
        <is>
          <t>ហូលីដេ ឌីហ្សាញ (ខេមបូឌា) ឯ.ក</t>
        </is>
      </c>
      <c r="Z713" s="373" t="n">
        <v>308231</v>
      </c>
      <c r="AA713" s="373" t="n">
        <v>280210</v>
      </c>
      <c r="AB713" s="371" t="n">
        <v>0</v>
      </c>
      <c r="AC713" s="371" t="inlineStr">
        <is>
          <t>-</t>
        </is>
      </c>
      <c r="AD713" s="373" t="n">
        <v>28021</v>
      </c>
      <c r="AE713" s="371" t="n">
        <v>0</v>
      </c>
      <c r="AF713" s="625" t="n">
        <v>0</v>
      </c>
      <c r="AG713" s="205" t="n">
        <v>0</v>
      </c>
      <c r="AH713" s="205" t="n">
        <v>0</v>
      </c>
      <c r="AI713" s="205" t="n">
        <v>0</v>
      </c>
      <c r="AJ713" s="205" t="n">
        <v>0</v>
      </c>
      <c r="AK713" s="205" t="n">
        <v>0</v>
      </c>
      <c r="AL713" s="205" t="n">
        <v>0.01</v>
      </c>
      <c r="AM713" s="205" t="n">
        <v>0</v>
      </c>
      <c r="AN713" s="205" t="inlineStr">
        <is>
          <t>ចំណូលពីសេវាកម្ម (លើកដាក់ទំនិញ)</t>
        </is>
      </c>
    </row>
    <row r="714">
      <c r="A714" s="222">
        <f>A713+1</f>
        <v/>
      </c>
      <c r="B714" s="224" t="inlineStr">
        <is>
          <t>Trucking &amp; Clearance-Ex</t>
        </is>
      </c>
      <c r="C714" s="224" t="inlineStr">
        <is>
          <t>WANAKA LOGISTICS CO., LTD.</t>
        </is>
      </c>
      <c r="D714" s="225" t="inlineStr">
        <is>
          <t>K005-901907953</t>
        </is>
      </c>
      <c r="E714" s="359" t="inlineStr">
        <is>
          <t>WL25-001889</t>
        </is>
      </c>
      <c r="F714" s="338" t="n">
        <v>45805</v>
      </c>
      <c r="G714" s="226" t="n"/>
      <c r="H714" s="627" t="n"/>
      <c r="I714" s="627" t="n">
        <v>157318</v>
      </c>
      <c r="J714" s="223" t="inlineStr">
        <is>
          <t>អនុញ្ញាត (បានប្រកាស)</t>
        </is>
      </c>
      <c r="K714" s="628" t="n"/>
      <c r="L714" s="626">
        <f>I714</f>
        <v/>
      </c>
      <c r="M714" s="598">
        <f>I714-L714</f>
        <v/>
      </c>
      <c r="N714" s="223" t="n"/>
      <c r="O714" s="228">
        <f>U714=E714</f>
        <v/>
      </c>
      <c r="P714" s="228">
        <f>MONTH(F714)-MONTH(T714)</f>
        <v/>
      </c>
      <c r="Q714" s="228">
        <f>$B$5=X714</f>
        <v/>
      </c>
      <c r="R714" s="228">
        <f>I714-AD714</f>
        <v/>
      </c>
      <c r="S714" s="371" t="n"/>
      <c r="T714" s="374" t="n">
        <v>45805</v>
      </c>
      <c r="U714" s="371" t="inlineStr">
        <is>
          <t>WL25-001889</t>
        </is>
      </c>
      <c r="V714" s="371" t="n"/>
      <c r="W714" s="371" t="n"/>
      <c r="X714" s="371" t="n"/>
      <c r="Y714" s="371" t="inlineStr">
        <is>
          <t>ហូលីដេ ឌីហ្សាញ (ខេមបូឌា) ឯ.ក</t>
        </is>
      </c>
      <c r="Z714" s="373" t="n"/>
      <c r="AA714" s="373" t="n"/>
      <c r="AB714" s="371" t="n"/>
      <c r="AC714" s="371" t="n"/>
      <c r="AD714" s="373" t="n">
        <v>157318</v>
      </c>
      <c r="AE714" s="371" t="n"/>
      <c r="AF714" s="625" t="n"/>
    </row>
    <row r="715">
      <c r="A715" s="222">
        <f>A714+1</f>
        <v/>
      </c>
      <c r="B715" s="224" t="inlineStr">
        <is>
          <t>Lift-Off-Ex</t>
        </is>
      </c>
      <c r="C715" s="224" t="inlineStr">
        <is>
          <t>PHNOM PENH AUTONOMOUS PORT "PPAP"</t>
        </is>
      </c>
      <c r="D715" s="225" t="inlineStr">
        <is>
          <t>L001-100044999</t>
        </is>
      </c>
      <c r="E715" s="359" t="inlineStr">
        <is>
          <t>INV20250542480</t>
        </is>
      </c>
      <c r="F715" s="338" t="n">
        <v>45805</v>
      </c>
      <c r="G715" s="226" t="n"/>
      <c r="H715" s="627" t="n"/>
      <c r="I715" s="627" t="n">
        <v>28021</v>
      </c>
      <c r="J715" s="223" t="inlineStr">
        <is>
          <t>អនុញ្ញាត (បានប្រកាស)</t>
        </is>
      </c>
      <c r="K715" s="628" t="n"/>
      <c r="L715" s="626">
        <f>I715</f>
        <v/>
      </c>
      <c r="M715" s="598">
        <f>I715-L715</f>
        <v/>
      </c>
      <c r="N715" s="223" t="n"/>
      <c r="O715" s="228">
        <f>U715=E715</f>
        <v/>
      </c>
      <c r="P715" s="228">
        <f>MONTH(F715)-MONTH(T715)</f>
        <v/>
      </c>
      <c r="Q715" s="228">
        <f>$B$5=X715</f>
        <v/>
      </c>
      <c r="R715" s="228">
        <f>I715-AD715</f>
        <v/>
      </c>
      <c r="S715" s="371" t="n"/>
      <c r="T715" s="372" t="n">
        <v>45805</v>
      </c>
      <c r="U715" s="371" t="inlineStr">
        <is>
          <t>INV20250542480</t>
        </is>
      </c>
      <c r="V715" s="371" t="n">
        <v>0</v>
      </c>
      <c r="W715" s="371" t="inlineStr">
        <is>
          <t>បុគ្គលជាប់អាករ</t>
        </is>
      </c>
      <c r="X715" s="371" t="inlineStr">
        <is>
          <t>L001-901640009</t>
        </is>
      </c>
      <c r="Y715" s="371" t="inlineStr">
        <is>
          <t>ហូលីដេ ឌីហ្សាញ (ខេមបូឌា) ឯ.ក</t>
        </is>
      </c>
      <c r="Z715" s="373" t="n">
        <v>308231</v>
      </c>
      <c r="AA715" s="373" t="n">
        <v>280210</v>
      </c>
      <c r="AB715" s="371" t="n">
        <v>0</v>
      </c>
      <c r="AC715" s="371" t="inlineStr">
        <is>
          <t>-</t>
        </is>
      </c>
      <c r="AD715" s="373" t="n">
        <v>28021</v>
      </c>
      <c r="AE715" s="371" t="n">
        <v>0</v>
      </c>
      <c r="AF715" s="625" t="n">
        <v>0</v>
      </c>
      <c r="AG715" s="205" t="n">
        <v>0</v>
      </c>
      <c r="AH715" s="205" t="n">
        <v>0</v>
      </c>
      <c r="AI715" s="205" t="n">
        <v>0</v>
      </c>
      <c r="AJ715" s="205" t="n">
        <v>0</v>
      </c>
      <c r="AK715" s="205" t="n">
        <v>0</v>
      </c>
      <c r="AL715" s="205" t="n">
        <v>0.01</v>
      </c>
      <c r="AM715" s="205" t="n">
        <v>0</v>
      </c>
      <c r="AN715" s="205" t="inlineStr">
        <is>
          <t>ចំណូលពីសេវាកម្ម (លើកដាក់ទំនិញ)</t>
        </is>
      </c>
    </row>
    <row r="716">
      <c r="A716" s="222">
        <f>A715+1</f>
        <v/>
      </c>
      <c r="B716" s="224" t="inlineStr">
        <is>
          <t>Trucking &amp; Clearance-Ex</t>
        </is>
      </c>
      <c r="C716" s="224" t="inlineStr">
        <is>
          <t>WANAKA LOGISTICS CO., LTD.</t>
        </is>
      </c>
      <c r="D716" s="225" t="inlineStr">
        <is>
          <t>K005-901907953</t>
        </is>
      </c>
      <c r="E716" s="359" t="inlineStr">
        <is>
          <t>WL25-001896</t>
        </is>
      </c>
      <c r="F716" s="338" t="n">
        <v>45805</v>
      </c>
      <c r="G716" s="226" t="n"/>
      <c r="H716" s="627" t="n"/>
      <c r="I716" s="627" t="n">
        <v>156117</v>
      </c>
      <c r="J716" s="223" t="inlineStr">
        <is>
          <t>អនុញ្ញាត (បានប្រកាស)</t>
        </is>
      </c>
      <c r="K716" s="628" t="n"/>
      <c r="L716" s="626">
        <f>I716</f>
        <v/>
      </c>
      <c r="M716" s="598">
        <f>I716-L716</f>
        <v/>
      </c>
      <c r="N716" s="223" t="n"/>
      <c r="O716" s="228">
        <f>U716=E716</f>
        <v/>
      </c>
      <c r="P716" s="228">
        <f>MONTH(F716)-MONTH(T716)</f>
        <v/>
      </c>
      <c r="Q716" s="228">
        <f>$B$5=X716</f>
        <v/>
      </c>
      <c r="R716" s="228">
        <f>I716-AD716</f>
        <v/>
      </c>
      <c r="S716" s="371" t="n"/>
      <c r="T716" s="372" t="n">
        <v>45805</v>
      </c>
      <c r="U716" s="371" t="inlineStr">
        <is>
          <t>WL25-001896</t>
        </is>
      </c>
      <c r="V716" s="371" t="n"/>
      <c r="W716" s="371" t="n"/>
      <c r="X716" s="371" t="n"/>
      <c r="Y716" s="371" t="inlineStr">
        <is>
          <t>ហូលីដេ ឌីហ្សាញ (ខេមបូឌា) ឯ.ក</t>
        </is>
      </c>
      <c r="Z716" s="373" t="n"/>
      <c r="AA716" s="373" t="n"/>
      <c r="AB716" s="371" t="n"/>
      <c r="AC716" s="371" t="n"/>
      <c r="AD716" s="373" t="n">
        <v>156117</v>
      </c>
      <c r="AE716" s="371" t="n"/>
      <c r="AF716" s="625" t="n"/>
    </row>
    <row r="717">
      <c r="A717" s="222">
        <f>A716+1</f>
        <v/>
      </c>
      <c r="B717" s="224" t="inlineStr">
        <is>
          <t>Lift-Off-Ex</t>
        </is>
      </c>
      <c r="C717" s="224" t="inlineStr">
        <is>
          <t>PHNOM PENH AUTONOMOUS PORT "PPAP"</t>
        </is>
      </c>
      <c r="D717" s="225" t="inlineStr">
        <is>
          <t>L001-100044999</t>
        </is>
      </c>
      <c r="E717" s="359" t="inlineStr">
        <is>
          <t>INV20250542476</t>
        </is>
      </c>
      <c r="F717" s="338" t="n">
        <v>45805</v>
      </c>
      <c r="G717" s="226" t="n"/>
      <c r="H717" s="627" t="n"/>
      <c r="I717" s="627" t="n">
        <v>56042</v>
      </c>
      <c r="J717" s="223" t="inlineStr">
        <is>
          <t>អនុញ្ញាត (បានប្រកាស)</t>
        </is>
      </c>
      <c r="K717" s="628" t="n"/>
      <c r="L717" s="626">
        <f>I717</f>
        <v/>
      </c>
      <c r="M717" s="598">
        <f>I717-L717</f>
        <v/>
      </c>
      <c r="N717" s="223" t="n"/>
      <c r="O717" s="228">
        <f>U717=E717</f>
        <v/>
      </c>
      <c r="P717" s="228">
        <f>MONTH(F717)-MONTH(T717)</f>
        <v/>
      </c>
      <c r="Q717" s="228">
        <f>$B$5=X717</f>
        <v/>
      </c>
      <c r="R717" s="228">
        <f>I717-AD717</f>
        <v/>
      </c>
      <c r="S717" s="371" t="n"/>
      <c r="T717" s="372" t="n">
        <v>45805</v>
      </c>
      <c r="U717" s="371" t="inlineStr">
        <is>
          <t>INV20250542476</t>
        </is>
      </c>
      <c r="V717" s="371" t="n">
        <v>0</v>
      </c>
      <c r="W717" s="371" t="inlineStr">
        <is>
          <t>បុគ្គលជាប់អាករ</t>
        </is>
      </c>
      <c r="X717" s="371" t="inlineStr">
        <is>
          <t>L001-901640009</t>
        </is>
      </c>
      <c r="Y717" s="371" t="inlineStr">
        <is>
          <t>ហូលីដេ ឌីហ្សាញ (ខេមបូឌា) ឯ.ក</t>
        </is>
      </c>
      <c r="Z717" s="373" t="n">
        <v>616462</v>
      </c>
      <c r="AA717" s="373" t="n">
        <v>560420</v>
      </c>
      <c r="AB717" s="371" t="n">
        <v>0</v>
      </c>
      <c r="AC717" s="371" t="inlineStr">
        <is>
          <t>-</t>
        </is>
      </c>
      <c r="AD717" s="373" t="n">
        <v>56042</v>
      </c>
      <c r="AE717" s="371" t="n">
        <v>0</v>
      </c>
      <c r="AF717" s="625" t="n">
        <v>0</v>
      </c>
      <c r="AG717" s="205" t="n">
        <v>0</v>
      </c>
      <c r="AH717" s="205" t="n">
        <v>0</v>
      </c>
      <c r="AI717" s="205" t="n">
        <v>0</v>
      </c>
      <c r="AJ717" s="205" t="n">
        <v>0</v>
      </c>
      <c r="AK717" s="205" t="n">
        <v>0</v>
      </c>
      <c r="AL717" s="205" t="n">
        <v>0.01</v>
      </c>
      <c r="AM717" s="205" t="n">
        <v>0</v>
      </c>
      <c r="AN717" s="205" t="inlineStr">
        <is>
          <t>ចំណូលពីសេវាកម្ម (លើកដាក់ទំនិញ)</t>
        </is>
      </c>
    </row>
    <row r="718">
      <c r="A718" s="222">
        <f>A717+1</f>
        <v/>
      </c>
      <c r="B718" s="224" t="inlineStr">
        <is>
          <t>Trucking &amp; Clearance-Ex</t>
        </is>
      </c>
      <c r="C718" s="224" t="inlineStr">
        <is>
          <t>WANAKA LOGISTICS CO., LTD.</t>
        </is>
      </c>
      <c r="D718" s="225" t="inlineStr">
        <is>
          <t>K005-901907953</t>
        </is>
      </c>
      <c r="E718" s="359" t="inlineStr">
        <is>
          <t>WL25-001895</t>
        </is>
      </c>
      <c r="F718" s="338" t="n">
        <v>45805</v>
      </c>
      <c r="G718" s="226" t="n"/>
      <c r="H718" s="627" t="n"/>
      <c r="I718" s="627" t="n">
        <v>314636</v>
      </c>
      <c r="J718" s="223" t="inlineStr">
        <is>
          <t>អនុញ្ញាត (បានប្រកាស)</t>
        </is>
      </c>
      <c r="K718" s="628" t="n"/>
      <c r="L718" s="626">
        <f>I718</f>
        <v/>
      </c>
      <c r="M718" s="598">
        <f>I718-L718</f>
        <v/>
      </c>
      <c r="N718" s="223" t="n"/>
      <c r="O718" s="228">
        <f>U718=E718</f>
        <v/>
      </c>
      <c r="P718" s="228">
        <f>MONTH(F718)-MONTH(T718)</f>
        <v/>
      </c>
      <c r="Q718" s="228">
        <f>$B$5=X718</f>
        <v/>
      </c>
      <c r="R718" s="228">
        <f>I718-AD718</f>
        <v/>
      </c>
      <c r="S718" s="371" t="n"/>
      <c r="T718" s="372" t="n">
        <v>45805</v>
      </c>
      <c r="U718" s="371" t="inlineStr">
        <is>
          <t>WL25-001895</t>
        </is>
      </c>
      <c r="V718" s="371" t="n"/>
      <c r="W718" s="371" t="n"/>
      <c r="X718" s="371" t="n"/>
      <c r="Y718" s="371" t="inlineStr">
        <is>
          <t>ហូលីដេ ឌីហ្សាញ (ខេមបូឌា) ឯ.ក</t>
        </is>
      </c>
      <c r="Z718" s="373" t="n"/>
      <c r="AA718" s="373" t="n"/>
      <c r="AB718" s="371" t="n"/>
      <c r="AC718" s="371" t="n"/>
      <c r="AD718" s="373" t="n">
        <v>314636</v>
      </c>
      <c r="AE718" s="371" t="n"/>
      <c r="AF718" s="625" t="n"/>
    </row>
    <row r="719">
      <c r="A719" s="222">
        <f>A718+1</f>
        <v/>
      </c>
      <c r="B719" s="224" t="inlineStr">
        <is>
          <t>Lift-Off-Ex</t>
        </is>
      </c>
      <c r="C719" s="224" t="inlineStr">
        <is>
          <t>PHNOM PENH AUTONOMOUS PORT "PPAP"</t>
        </is>
      </c>
      <c r="D719" s="225" t="inlineStr">
        <is>
          <t>L001-100044999</t>
        </is>
      </c>
      <c r="E719" s="359" t="inlineStr">
        <is>
          <t>INV20250542475</t>
        </is>
      </c>
      <c r="F719" s="338" t="n">
        <v>45805</v>
      </c>
      <c r="G719" s="226" t="n"/>
      <c r="H719" s="627" t="n"/>
      <c r="I719" s="627" t="n">
        <v>56042</v>
      </c>
      <c r="J719" s="223" t="inlineStr">
        <is>
          <t>អនុញ្ញាត (បានប្រកាស)</t>
        </is>
      </c>
      <c r="K719" s="628" t="n"/>
      <c r="L719" s="626">
        <f>I719</f>
        <v/>
      </c>
      <c r="M719" s="598">
        <f>I719-L719</f>
        <v/>
      </c>
      <c r="N719" s="223" t="n"/>
      <c r="O719" s="228">
        <f>U719=E719</f>
        <v/>
      </c>
      <c r="P719" s="228">
        <f>MONTH(F719)-MONTH(T719)</f>
        <v/>
      </c>
      <c r="Q719" s="228">
        <f>$B$5=X719</f>
        <v/>
      </c>
      <c r="R719" s="228">
        <f>I719-AD719</f>
        <v/>
      </c>
      <c r="S719" s="371" t="n"/>
      <c r="T719" s="372" t="n">
        <v>45805</v>
      </c>
      <c r="U719" s="371" t="inlineStr">
        <is>
          <t>INV20250542475</t>
        </is>
      </c>
      <c r="V719" s="371" t="n">
        <v>0</v>
      </c>
      <c r="W719" s="371" t="inlineStr">
        <is>
          <t>បុគ្គលជាប់អាករ</t>
        </is>
      </c>
      <c r="X719" s="371" t="inlineStr">
        <is>
          <t>L001-901640009</t>
        </is>
      </c>
      <c r="Y719" s="371" t="inlineStr">
        <is>
          <t>ហូលីដេ ឌីហ្សាញ (ខេមបូឌា) ឯ.ក</t>
        </is>
      </c>
      <c r="Z719" s="373" t="n">
        <v>616462</v>
      </c>
      <c r="AA719" s="373" t="n">
        <v>560420</v>
      </c>
      <c r="AB719" s="371" t="n">
        <v>0</v>
      </c>
      <c r="AC719" s="371" t="inlineStr">
        <is>
          <t>-</t>
        </is>
      </c>
      <c r="AD719" s="373" t="n">
        <v>56042</v>
      </c>
      <c r="AE719" s="371" t="n">
        <v>0</v>
      </c>
      <c r="AF719" s="625" t="n">
        <v>0</v>
      </c>
      <c r="AG719" s="205" t="n">
        <v>0</v>
      </c>
      <c r="AH719" s="205" t="n">
        <v>0</v>
      </c>
      <c r="AI719" s="205" t="n">
        <v>0</v>
      </c>
      <c r="AJ719" s="205" t="n">
        <v>0</v>
      </c>
      <c r="AK719" s="205" t="n">
        <v>0</v>
      </c>
      <c r="AL719" s="205" t="n">
        <v>0.01</v>
      </c>
      <c r="AM719" s="205" t="n">
        <v>0</v>
      </c>
      <c r="AN719" s="205" t="inlineStr">
        <is>
          <t>ចំណូលពីសេវាកម្ម (លើកដាក់ទំនិញ)</t>
        </is>
      </c>
    </row>
    <row r="720">
      <c r="A720" s="222">
        <f>A719+1</f>
        <v/>
      </c>
      <c r="B720" s="224" t="inlineStr">
        <is>
          <t>Trucking &amp; Clearance-Ex</t>
        </is>
      </c>
      <c r="C720" s="224" t="inlineStr">
        <is>
          <t>WANAKA LOGISTICS CO., LTD.</t>
        </is>
      </c>
      <c r="D720" s="225" t="inlineStr">
        <is>
          <t>K005-901907953</t>
        </is>
      </c>
      <c r="E720" s="359" t="inlineStr">
        <is>
          <t>WL25-001894</t>
        </is>
      </c>
      <c r="F720" s="338" t="n">
        <v>45805</v>
      </c>
      <c r="G720" s="226" t="n"/>
      <c r="H720" s="627" t="n"/>
      <c r="I720" s="627" t="n">
        <v>314636</v>
      </c>
      <c r="J720" s="223" t="inlineStr">
        <is>
          <t>អនុញ្ញាត (បានប្រកាស)</t>
        </is>
      </c>
      <c r="K720" s="628" t="n"/>
      <c r="L720" s="626">
        <f>I720</f>
        <v/>
      </c>
      <c r="M720" s="598">
        <f>I720-L720</f>
        <v/>
      </c>
      <c r="N720" s="223" t="n"/>
      <c r="O720" s="228">
        <f>U720=E720</f>
        <v/>
      </c>
      <c r="P720" s="228">
        <f>MONTH(F720)-MONTH(T720)</f>
        <v/>
      </c>
      <c r="Q720" s="228">
        <f>$B$5=X720</f>
        <v/>
      </c>
      <c r="R720" s="228">
        <f>I720-AD720</f>
        <v/>
      </c>
      <c r="S720" s="371" t="n"/>
      <c r="T720" s="372" t="n">
        <v>45805</v>
      </c>
      <c r="U720" s="371" t="inlineStr">
        <is>
          <t>WL25-001894</t>
        </is>
      </c>
      <c r="V720" s="371" t="n"/>
      <c r="W720" s="371" t="n"/>
      <c r="X720" s="371" t="n"/>
      <c r="Y720" s="371" t="inlineStr">
        <is>
          <t>ហូលីដេ ឌីហ្សាញ (ខេមបូឌា) ឯ.ក</t>
        </is>
      </c>
      <c r="Z720" s="373" t="n"/>
      <c r="AA720" s="373" t="n"/>
      <c r="AB720" s="371" t="n"/>
      <c r="AC720" s="371" t="n"/>
      <c r="AD720" s="373" t="n">
        <v>314636</v>
      </c>
      <c r="AE720" s="371" t="n"/>
      <c r="AF720" s="625" t="n"/>
    </row>
    <row r="721">
      <c r="A721" s="222">
        <f>A720+1</f>
        <v/>
      </c>
      <c r="B721" s="224" t="inlineStr">
        <is>
          <t>Lift-Off-Ex</t>
        </is>
      </c>
      <c r="C721" s="224" t="inlineStr">
        <is>
          <t>PHNOM PENH AUTONOMOUS PORT "PPAP"</t>
        </is>
      </c>
      <c r="D721" s="225" t="inlineStr">
        <is>
          <t>L001-100044999</t>
        </is>
      </c>
      <c r="E721" s="359" t="inlineStr">
        <is>
          <t>INV20250542474</t>
        </is>
      </c>
      <c r="F721" s="338" t="n">
        <v>45805</v>
      </c>
      <c r="G721" s="226" t="n"/>
      <c r="H721" s="627" t="n"/>
      <c r="I721" s="627" t="n">
        <v>28021</v>
      </c>
      <c r="J721" s="223" t="inlineStr">
        <is>
          <t>អនុញ្ញាត (បានប្រកាស)</t>
        </is>
      </c>
      <c r="K721" s="628" t="n"/>
      <c r="L721" s="626">
        <f>I721</f>
        <v/>
      </c>
      <c r="M721" s="598">
        <f>I721-L721</f>
        <v/>
      </c>
      <c r="N721" s="223" t="n"/>
      <c r="O721" s="228">
        <f>U721=E721</f>
        <v/>
      </c>
      <c r="P721" s="228">
        <f>MONTH(F721)-MONTH(T721)</f>
        <v/>
      </c>
      <c r="Q721" s="228">
        <f>$B$5=X721</f>
        <v/>
      </c>
      <c r="R721" s="228">
        <f>I721-AD721</f>
        <v/>
      </c>
      <c r="S721" s="371" t="n"/>
      <c r="T721" s="372" t="n">
        <v>45805</v>
      </c>
      <c r="U721" s="371" t="inlineStr">
        <is>
          <t>INV20250542474</t>
        </is>
      </c>
      <c r="V721" s="371" t="n">
        <v>0</v>
      </c>
      <c r="W721" s="371" t="inlineStr">
        <is>
          <t>បុគ្គលជាប់អាករ</t>
        </is>
      </c>
      <c r="X721" s="371" t="inlineStr">
        <is>
          <t>L001-901640009</t>
        </is>
      </c>
      <c r="Y721" s="371" t="inlineStr">
        <is>
          <t>ហូលីដេ ឌីហ្សាញ (ខេមបូឌា) ឯ.ក</t>
        </is>
      </c>
      <c r="Z721" s="373" t="n">
        <v>308231</v>
      </c>
      <c r="AA721" s="373" t="n">
        <v>280210</v>
      </c>
      <c r="AB721" s="371" t="n">
        <v>0</v>
      </c>
      <c r="AC721" s="371" t="inlineStr">
        <is>
          <t>-</t>
        </is>
      </c>
      <c r="AD721" s="373" t="n">
        <v>28021</v>
      </c>
      <c r="AE721" s="371" t="n">
        <v>0</v>
      </c>
      <c r="AF721" s="625" t="n">
        <v>0</v>
      </c>
      <c r="AG721" s="205" t="n">
        <v>0</v>
      </c>
      <c r="AH721" s="205" t="n">
        <v>0</v>
      </c>
      <c r="AI721" s="205" t="n">
        <v>0</v>
      </c>
      <c r="AJ721" s="205" t="n">
        <v>0</v>
      </c>
      <c r="AK721" s="205" t="n">
        <v>0</v>
      </c>
      <c r="AL721" s="205" t="n">
        <v>0.01</v>
      </c>
      <c r="AM721" s="205" t="n">
        <v>0</v>
      </c>
      <c r="AN721" s="205" t="inlineStr">
        <is>
          <t>ចំណូលពីសេវាកម្ម (លើកដាក់ទំនិញ)</t>
        </is>
      </c>
    </row>
    <row r="722">
      <c r="A722" s="222">
        <f>A721+1</f>
        <v/>
      </c>
      <c r="B722" s="224" t="inlineStr">
        <is>
          <t>Trucking &amp; Clearance-Ex</t>
        </is>
      </c>
      <c r="C722" s="224" t="inlineStr">
        <is>
          <t>WANAKA LOGISTICS CO., LTD.</t>
        </is>
      </c>
      <c r="D722" s="225" t="inlineStr">
        <is>
          <t>K005-901907953</t>
        </is>
      </c>
      <c r="E722" s="359" t="inlineStr">
        <is>
          <t>WL25-001893</t>
        </is>
      </c>
      <c r="F722" s="338" t="n">
        <v>45805</v>
      </c>
      <c r="G722" s="226" t="n"/>
      <c r="H722" s="627" t="n"/>
      <c r="I722" s="627" t="n">
        <v>157318</v>
      </c>
      <c r="J722" s="223" t="inlineStr">
        <is>
          <t>អនុញ្ញាត (បានប្រកាស)</t>
        </is>
      </c>
      <c r="K722" s="628" t="n"/>
      <c r="L722" s="626">
        <f>I722</f>
        <v/>
      </c>
      <c r="M722" s="598">
        <f>I722-L722</f>
        <v/>
      </c>
      <c r="N722" s="223" t="n"/>
      <c r="O722" s="228">
        <f>U722=E722</f>
        <v/>
      </c>
      <c r="P722" s="228">
        <f>MONTH(F722)-MONTH(T722)</f>
        <v/>
      </c>
      <c r="Q722" s="228">
        <f>$B$5=X722</f>
        <v/>
      </c>
      <c r="R722" s="228">
        <f>I722-AD722</f>
        <v/>
      </c>
      <c r="S722" s="371" t="n"/>
      <c r="T722" s="372" t="n">
        <v>45805</v>
      </c>
      <c r="U722" s="371" t="inlineStr">
        <is>
          <t>WL25-001893</t>
        </is>
      </c>
      <c r="V722" s="371" t="n"/>
      <c r="W722" s="371" t="n"/>
      <c r="X722" s="371" t="n"/>
      <c r="Y722" s="371" t="inlineStr">
        <is>
          <t>ហូលីដេ ឌីហ្សាញ (ខេមបូឌា) ឯ.ក</t>
        </is>
      </c>
      <c r="Z722" s="373" t="n"/>
      <c r="AA722" s="373" t="n"/>
      <c r="AB722" s="371" t="n"/>
      <c r="AC722" s="371" t="n"/>
      <c r="AD722" s="373" t="n">
        <v>157318</v>
      </c>
      <c r="AE722" s="371" t="n"/>
      <c r="AF722" s="625" t="n"/>
    </row>
    <row r="723">
      <c r="A723" s="222">
        <f>A722+1</f>
        <v/>
      </c>
      <c r="B723" s="224" t="inlineStr">
        <is>
          <t>Trucking &amp; Clearance-Ex</t>
        </is>
      </c>
      <c r="C723" s="224" t="inlineStr">
        <is>
          <t>WANAKA LOGISTICS CO., LTD.</t>
        </is>
      </c>
      <c r="D723" s="225" t="inlineStr">
        <is>
          <t>K005-901907953</t>
        </is>
      </c>
      <c r="E723" s="359" t="inlineStr">
        <is>
          <t>WL25-001890</t>
        </is>
      </c>
      <c r="F723" s="338" t="n">
        <v>45805</v>
      </c>
      <c r="G723" s="226" t="n"/>
      <c r="H723" s="627" t="n"/>
      <c r="I723" s="627" t="n">
        <v>157318</v>
      </c>
      <c r="J723" s="223" t="inlineStr">
        <is>
          <t>អនុញ្ញាត (បានប្រកាស)</t>
        </is>
      </c>
      <c r="K723" s="628" t="n"/>
      <c r="L723" s="626">
        <f>I723</f>
        <v/>
      </c>
      <c r="M723" s="598">
        <f>I723-L723</f>
        <v/>
      </c>
      <c r="N723" s="223" t="n"/>
      <c r="O723" s="228">
        <f>U723=E723</f>
        <v/>
      </c>
      <c r="P723" s="228">
        <f>MONTH(F723)-MONTH(T723)</f>
        <v/>
      </c>
      <c r="Q723" s="228">
        <f>$B$5=X723</f>
        <v/>
      </c>
      <c r="R723" s="228">
        <f>I723-AD723</f>
        <v/>
      </c>
      <c r="S723" s="371" t="n"/>
      <c r="T723" s="372" t="n">
        <v>45805</v>
      </c>
      <c r="U723" s="371" t="inlineStr">
        <is>
          <t>WL25-001890</t>
        </is>
      </c>
      <c r="V723" s="371" t="n"/>
      <c r="W723" s="371" t="n"/>
      <c r="X723" s="371" t="n"/>
      <c r="Y723" s="371" t="inlineStr">
        <is>
          <t>ហូលីដេ ឌីហ្សាញ (ខេមបូឌា) ឯ.ក</t>
        </is>
      </c>
      <c r="Z723" s="373" t="n"/>
      <c r="AA723" s="373" t="n"/>
      <c r="AB723" s="371" t="n"/>
      <c r="AC723" s="371" t="n"/>
      <c r="AD723" s="373" t="n">
        <v>157318</v>
      </c>
      <c r="AE723" s="371" t="n"/>
      <c r="AF723" s="625" t="n"/>
    </row>
    <row r="724">
      <c r="A724" s="222">
        <f>A723+1</f>
        <v/>
      </c>
      <c r="B724" s="224" t="inlineStr">
        <is>
          <t>Lift-Off-Ex</t>
        </is>
      </c>
      <c r="C724" s="224" t="inlineStr">
        <is>
          <t>PHNOM PENH AUTONOMOUS PORT "PPAP"</t>
        </is>
      </c>
      <c r="D724" s="225" t="inlineStr">
        <is>
          <t>L001-100044999</t>
        </is>
      </c>
      <c r="E724" s="359" t="inlineStr">
        <is>
          <t>INV20250542473</t>
        </is>
      </c>
      <c r="F724" s="338" t="n">
        <v>45805</v>
      </c>
      <c r="G724" s="226" t="n"/>
      <c r="H724" s="627" t="n"/>
      <c r="I724" s="627" t="n">
        <v>56042</v>
      </c>
      <c r="J724" s="223" t="inlineStr">
        <is>
          <t>អនុញ្ញាត (បានប្រកាស)</t>
        </is>
      </c>
      <c r="K724" s="628" t="n"/>
      <c r="L724" s="626">
        <f>I724</f>
        <v/>
      </c>
      <c r="M724" s="598">
        <f>I724-L724</f>
        <v/>
      </c>
      <c r="N724" s="223" t="n"/>
      <c r="O724" s="228">
        <f>U724=E724</f>
        <v/>
      </c>
      <c r="P724" s="228">
        <f>MONTH(F724)-MONTH(T724)</f>
        <v/>
      </c>
      <c r="Q724" s="228">
        <f>$B$5=X724</f>
        <v/>
      </c>
      <c r="R724" s="228">
        <f>I724-AD724</f>
        <v/>
      </c>
      <c r="S724" s="371" t="n"/>
      <c r="T724" s="372" t="n">
        <v>45805</v>
      </c>
      <c r="U724" s="371" t="inlineStr">
        <is>
          <t>INV20250542473</t>
        </is>
      </c>
      <c r="V724" s="371" t="n">
        <v>0</v>
      </c>
      <c r="W724" s="371" t="inlineStr">
        <is>
          <t>បុគ្គលជាប់អាករ</t>
        </is>
      </c>
      <c r="X724" s="371" t="inlineStr">
        <is>
          <t>L001-901640009</t>
        </is>
      </c>
      <c r="Y724" s="371" t="inlineStr">
        <is>
          <t>ហូលីដេ ឌីហ្សាញ (ខេមបូឌា) ឯ.ក</t>
        </is>
      </c>
      <c r="Z724" s="373" t="n">
        <v>616462</v>
      </c>
      <c r="AA724" s="373" t="n">
        <v>560420</v>
      </c>
      <c r="AB724" s="371" t="n">
        <v>0</v>
      </c>
      <c r="AC724" s="371" t="inlineStr">
        <is>
          <t>-</t>
        </is>
      </c>
      <c r="AD724" s="373" t="n">
        <v>56042</v>
      </c>
      <c r="AE724" s="371" t="n">
        <v>0</v>
      </c>
      <c r="AF724" s="625" t="n">
        <v>0</v>
      </c>
      <c r="AG724" s="205" t="n">
        <v>0</v>
      </c>
      <c r="AH724" s="205" t="n">
        <v>0</v>
      </c>
      <c r="AI724" s="205" t="n">
        <v>0</v>
      </c>
      <c r="AJ724" s="205" t="n">
        <v>0</v>
      </c>
      <c r="AK724" s="205" t="n">
        <v>0</v>
      </c>
      <c r="AL724" s="205" t="n">
        <v>0.01</v>
      </c>
      <c r="AM724" s="205" t="n">
        <v>0</v>
      </c>
      <c r="AN724" s="205" t="inlineStr">
        <is>
          <t>ចំណូលពីសេវាកម្ម (លើកដាក់ទំនិញ)</t>
        </is>
      </c>
    </row>
    <row r="725">
      <c r="A725" s="222">
        <f>A724+1</f>
        <v/>
      </c>
      <c r="B725" s="224" t="inlineStr">
        <is>
          <t>Trucking &amp; Clearance-Ex</t>
        </is>
      </c>
      <c r="C725" s="224" t="inlineStr">
        <is>
          <t>WANAKA LOGISTICS CO., LTD.</t>
        </is>
      </c>
      <c r="D725" s="225" t="inlineStr">
        <is>
          <t>K005-901907953</t>
        </is>
      </c>
      <c r="E725" s="359" t="inlineStr">
        <is>
          <t>WL25-001892</t>
        </is>
      </c>
      <c r="F725" s="338" t="n">
        <v>45805</v>
      </c>
      <c r="G725" s="226" t="n"/>
      <c r="H725" s="627" t="n"/>
      <c r="I725" s="627" t="n">
        <v>314636</v>
      </c>
      <c r="J725" s="223" t="inlineStr">
        <is>
          <t>អនុញ្ញាត (បានប្រកាស)</t>
        </is>
      </c>
      <c r="K725" s="628" t="n"/>
      <c r="L725" s="626">
        <f>I725</f>
        <v/>
      </c>
      <c r="M725" s="598">
        <f>I725-L725</f>
        <v/>
      </c>
      <c r="N725" s="223" t="n"/>
      <c r="O725" s="228">
        <f>U725=E725</f>
        <v/>
      </c>
      <c r="P725" s="228">
        <f>MONTH(F725)-MONTH(T725)</f>
        <v/>
      </c>
      <c r="Q725" s="228">
        <f>$B$5=X725</f>
        <v/>
      </c>
      <c r="R725" s="228">
        <f>I725-AD725</f>
        <v/>
      </c>
      <c r="S725" s="371" t="n"/>
      <c r="T725" s="372" t="n">
        <v>45805</v>
      </c>
      <c r="U725" s="371" t="inlineStr">
        <is>
          <t>WL25-001892</t>
        </is>
      </c>
      <c r="V725" s="371" t="n"/>
      <c r="W725" s="371" t="n"/>
      <c r="X725" s="371" t="n"/>
      <c r="Y725" s="371" t="inlineStr">
        <is>
          <t>ហូលីដេ ឌីហ្សាញ (ខេមបូឌា) ឯ.ក</t>
        </is>
      </c>
      <c r="Z725" s="373" t="n"/>
      <c r="AA725" s="373" t="n"/>
      <c r="AB725" s="371" t="n"/>
      <c r="AC725" s="371" t="n"/>
      <c r="AD725" s="373" t="n">
        <v>314636</v>
      </c>
      <c r="AE725" s="371" t="n"/>
      <c r="AF725" s="625" t="n"/>
    </row>
    <row r="726">
      <c r="A726" s="222">
        <f>A725+1</f>
        <v/>
      </c>
      <c r="B726" s="224" t="inlineStr">
        <is>
          <t>Lift-Off-Ex</t>
        </is>
      </c>
      <c r="C726" s="224" t="inlineStr">
        <is>
          <t>PHNOM PENH AUTONOMOUS PORT "PPAP"</t>
        </is>
      </c>
      <c r="D726" s="225" t="inlineStr">
        <is>
          <t>L001-100044999</t>
        </is>
      </c>
      <c r="E726" s="359" t="inlineStr">
        <is>
          <t>INV20250542485</t>
        </is>
      </c>
      <c r="F726" s="338" t="n">
        <v>45805</v>
      </c>
      <c r="G726" s="226" t="n"/>
      <c r="H726" s="627" t="n"/>
      <c r="I726" s="627" t="n">
        <v>28021</v>
      </c>
      <c r="J726" s="223" t="inlineStr">
        <is>
          <t>អនុញ្ញាត (បានប្រកាស)</t>
        </is>
      </c>
      <c r="K726" s="628" t="n"/>
      <c r="L726" s="626">
        <f>I726</f>
        <v/>
      </c>
      <c r="M726" s="598">
        <f>I726-L726</f>
        <v/>
      </c>
      <c r="N726" s="223" t="n"/>
      <c r="O726" s="228">
        <f>U726=E726</f>
        <v/>
      </c>
      <c r="P726" s="228">
        <f>MONTH(F726)-MONTH(T726)</f>
        <v/>
      </c>
      <c r="Q726" s="228">
        <f>$B$5=X726</f>
        <v/>
      </c>
      <c r="R726" s="228">
        <f>I726-AD726</f>
        <v/>
      </c>
      <c r="S726" s="371" t="n"/>
      <c r="T726" s="372" t="n">
        <v>45805</v>
      </c>
      <c r="U726" s="371" t="inlineStr">
        <is>
          <t>INV20250542485</t>
        </is>
      </c>
      <c r="V726" s="371" t="n">
        <v>0</v>
      </c>
      <c r="W726" s="371" t="inlineStr">
        <is>
          <t>បុគ្គលជាប់អាករ</t>
        </is>
      </c>
      <c r="X726" s="371" t="inlineStr">
        <is>
          <t>L001-901640009</t>
        </is>
      </c>
      <c r="Y726" s="371" t="inlineStr">
        <is>
          <t>ហូលីដេ ឌីហ្សាញ (ខេមបូឌា) ឯ.ក</t>
        </is>
      </c>
      <c r="Z726" s="373" t="n">
        <v>308231</v>
      </c>
      <c r="AA726" s="373" t="n">
        <v>280210</v>
      </c>
      <c r="AB726" s="371" t="n">
        <v>0</v>
      </c>
      <c r="AC726" s="371" t="inlineStr">
        <is>
          <t>-</t>
        </is>
      </c>
      <c r="AD726" s="373" t="n">
        <v>28021</v>
      </c>
      <c r="AE726" s="371" t="n">
        <v>0</v>
      </c>
      <c r="AF726" s="625" t="n">
        <v>0</v>
      </c>
      <c r="AG726" s="205" t="n">
        <v>0</v>
      </c>
      <c r="AH726" s="205" t="n">
        <v>0</v>
      </c>
      <c r="AI726" s="205" t="n">
        <v>0</v>
      </c>
      <c r="AJ726" s="205" t="n">
        <v>0</v>
      </c>
      <c r="AK726" s="205" t="n">
        <v>0</v>
      </c>
      <c r="AL726" s="205" t="n">
        <v>0.01</v>
      </c>
      <c r="AM726" s="205" t="n">
        <v>0</v>
      </c>
      <c r="AN726" s="205" t="inlineStr">
        <is>
          <t>ចំណូលពីសេវាកម្ម (លើកដាក់ទំនិញ)</t>
        </is>
      </c>
    </row>
    <row r="727">
      <c r="A727" s="222">
        <f>A726+1</f>
        <v/>
      </c>
      <c r="B727" s="224" t="inlineStr">
        <is>
          <t>Trucking &amp; Clearance-Ex</t>
        </is>
      </c>
      <c r="C727" s="224" t="inlineStr">
        <is>
          <t>WANAKA LOGISTICS CO., LTD.</t>
        </is>
      </c>
      <c r="D727" s="225" t="inlineStr">
        <is>
          <t>K005-901907953</t>
        </is>
      </c>
      <c r="E727" s="359" t="inlineStr">
        <is>
          <t>WL25-001891</t>
        </is>
      </c>
      <c r="F727" s="338" t="n">
        <v>45805</v>
      </c>
      <c r="G727" s="226" t="n"/>
      <c r="H727" s="627" t="n"/>
      <c r="I727" s="627" t="n">
        <v>157318</v>
      </c>
      <c r="J727" s="223" t="inlineStr">
        <is>
          <t>អនុញ្ញាត (បានប្រកាស)</t>
        </is>
      </c>
      <c r="K727" s="628" t="n"/>
      <c r="L727" s="626">
        <f>I727</f>
        <v/>
      </c>
      <c r="M727" s="598">
        <f>I727-L727</f>
        <v/>
      </c>
      <c r="N727" s="223" t="n"/>
      <c r="O727" s="228">
        <f>U727=E727</f>
        <v/>
      </c>
      <c r="P727" s="228">
        <f>MONTH(F727)-MONTH(T727)</f>
        <v/>
      </c>
      <c r="Q727" s="228">
        <f>$B$5=X727</f>
        <v/>
      </c>
      <c r="R727" s="228">
        <f>I727-AD727</f>
        <v/>
      </c>
      <c r="S727" s="371" t="n"/>
      <c r="T727" s="372" t="n">
        <v>45805</v>
      </c>
      <c r="U727" s="371" t="inlineStr">
        <is>
          <t>WL25-001891</t>
        </is>
      </c>
      <c r="V727" s="371" t="n"/>
      <c r="W727" s="371" t="n"/>
      <c r="X727" s="371" t="n"/>
      <c r="Y727" s="371" t="inlineStr">
        <is>
          <t>ហូលីដេ ឌីហ្សាញ (ខេមបូឌា) ឯ.ក</t>
        </is>
      </c>
      <c r="Z727" s="373" t="n"/>
      <c r="AA727" s="373" t="n"/>
      <c r="AB727" s="371" t="n"/>
      <c r="AC727" s="371" t="n"/>
      <c r="AD727" s="373" t="n">
        <v>157318</v>
      </c>
      <c r="AE727" s="371" t="n"/>
      <c r="AF727" s="625" t="n"/>
    </row>
    <row r="728">
      <c r="A728" s="222">
        <f>A727+1</f>
        <v/>
      </c>
      <c r="B728" s="224" t="inlineStr">
        <is>
          <t>Lift-Off-Ex</t>
        </is>
      </c>
      <c r="C728" s="224" t="inlineStr">
        <is>
          <t>PHNOM PENH AUTONOMOUS PORT "PPAP"</t>
        </is>
      </c>
      <c r="D728" s="225" t="inlineStr">
        <is>
          <t>L001-100044999</t>
        </is>
      </c>
      <c r="E728" s="359" t="inlineStr">
        <is>
          <t>INV20250542481</t>
        </is>
      </c>
      <c r="F728" s="338" t="n">
        <v>45805</v>
      </c>
      <c r="G728" s="226" t="n"/>
      <c r="H728" s="627" t="n"/>
      <c r="I728" s="627" t="n">
        <v>28021</v>
      </c>
      <c r="J728" s="223" t="inlineStr">
        <is>
          <t>អនុញ្ញាត (បានប្រកាស)</t>
        </is>
      </c>
      <c r="K728" s="628" t="n"/>
      <c r="L728" s="626">
        <f>I728</f>
        <v/>
      </c>
      <c r="M728" s="598">
        <f>I728-L728</f>
        <v/>
      </c>
      <c r="N728" s="223" t="n"/>
      <c r="O728" s="228">
        <f>U728=E728</f>
        <v/>
      </c>
      <c r="P728" s="228">
        <f>MONTH(F728)-MONTH(T728)</f>
        <v/>
      </c>
      <c r="Q728" s="228">
        <f>$B$5=X728</f>
        <v/>
      </c>
      <c r="R728" s="228">
        <f>I728-AD728</f>
        <v/>
      </c>
      <c r="S728" s="371" t="n"/>
      <c r="T728" s="374" t="n">
        <v>45805</v>
      </c>
      <c r="U728" s="371" t="inlineStr">
        <is>
          <t>INV20250542481</t>
        </is>
      </c>
      <c r="V728" s="371" t="n">
        <v>0</v>
      </c>
      <c r="W728" s="371" t="inlineStr">
        <is>
          <t>បុគ្គលជាប់អាករ</t>
        </is>
      </c>
      <c r="X728" s="371" t="inlineStr">
        <is>
          <t>L001-901640009</t>
        </is>
      </c>
      <c r="Y728" s="371" t="inlineStr">
        <is>
          <t>ហូលីដេ ឌីហ្សាញ (ខេមបូឌា) ឯ.ក</t>
        </is>
      </c>
      <c r="Z728" s="373" t="n">
        <v>308231</v>
      </c>
      <c r="AA728" s="373" t="n">
        <v>280210</v>
      </c>
      <c r="AB728" s="371" t="n">
        <v>0</v>
      </c>
      <c r="AC728" s="371" t="inlineStr">
        <is>
          <t>-</t>
        </is>
      </c>
      <c r="AD728" s="373" t="n">
        <v>28021</v>
      </c>
      <c r="AE728" s="371" t="n">
        <v>0</v>
      </c>
      <c r="AF728" s="625" t="n">
        <v>0</v>
      </c>
      <c r="AG728" s="205" t="n">
        <v>0</v>
      </c>
      <c r="AH728" s="205" t="n">
        <v>0</v>
      </c>
      <c r="AI728" s="205" t="n">
        <v>0</v>
      </c>
      <c r="AJ728" s="205" t="n">
        <v>0</v>
      </c>
      <c r="AK728" s="205" t="n">
        <v>0</v>
      </c>
      <c r="AL728" s="205" t="n">
        <v>0.01</v>
      </c>
      <c r="AM728" s="205" t="n">
        <v>0</v>
      </c>
      <c r="AN728" s="205" t="inlineStr">
        <is>
          <t>ចំណូលពីសេវាកម្ម (លើកដាក់ទំនិញ)</t>
        </is>
      </c>
    </row>
    <row r="729">
      <c r="A729" s="222">
        <f>A728+1</f>
        <v/>
      </c>
      <c r="B729" s="224" t="inlineStr">
        <is>
          <t>Trucking &amp; Clearance-Ex</t>
        </is>
      </c>
      <c r="C729" s="224" t="inlineStr">
        <is>
          <t>WANAKA LOGISTICS CO., LTD.</t>
        </is>
      </c>
      <c r="D729" s="225" t="inlineStr">
        <is>
          <t>K005-901907953</t>
        </is>
      </c>
      <c r="E729" s="359" t="inlineStr">
        <is>
          <t>WL25-001779</t>
        </is>
      </c>
      <c r="F729" s="338" t="n">
        <v>45800</v>
      </c>
      <c r="G729" s="226" t="n"/>
      <c r="H729" s="627" t="n"/>
      <c r="I729" s="627" t="n">
        <v>157318</v>
      </c>
      <c r="J729" s="223" t="inlineStr">
        <is>
          <t>អនុញ្ញាត (បានប្រកាស)</t>
        </is>
      </c>
      <c r="K729" s="628" t="n"/>
      <c r="L729" s="626">
        <f>I729</f>
        <v/>
      </c>
      <c r="M729" s="598">
        <f>I729-L729</f>
        <v/>
      </c>
      <c r="N729" s="223" t="n"/>
      <c r="O729" s="228">
        <f>U729=E729</f>
        <v/>
      </c>
      <c r="P729" s="228">
        <f>MONTH(F729)-MONTH(T729)</f>
        <v/>
      </c>
      <c r="Q729" s="228">
        <f>$B$5=X729</f>
        <v/>
      </c>
      <c r="R729" s="228">
        <f>I729-AD729</f>
        <v/>
      </c>
      <c r="S729" s="371" t="n"/>
      <c r="T729" s="372" t="n">
        <v>45800</v>
      </c>
      <c r="U729" s="371" t="inlineStr">
        <is>
          <t>WL25-001779</t>
        </is>
      </c>
      <c r="V729" s="371" t="n"/>
      <c r="W729" s="371" t="n"/>
      <c r="X729" s="371" t="n"/>
      <c r="Y729" s="371" t="inlineStr">
        <is>
          <t>ហូលីដេ ឌីហ្សាញ (ខេមបូឌា) ឯ.ក</t>
        </is>
      </c>
      <c r="Z729" s="373" t="n"/>
      <c r="AA729" s="373" t="n"/>
      <c r="AB729" s="371" t="n"/>
      <c r="AC729" s="371" t="n"/>
      <c r="AD729" s="373" t="n">
        <v>157318</v>
      </c>
      <c r="AE729" s="371" t="n"/>
      <c r="AF729" s="625" t="n"/>
    </row>
    <row r="730">
      <c r="A730" s="222">
        <f>A729+1</f>
        <v/>
      </c>
      <c r="B730" s="224" t="inlineStr">
        <is>
          <t>Lift-Off-Ex</t>
        </is>
      </c>
      <c r="C730" s="224" t="inlineStr">
        <is>
          <t>PHNOM PENH AUTONOMOUS PORT "PPAP"</t>
        </is>
      </c>
      <c r="D730" s="225" t="inlineStr">
        <is>
          <t>L001-100044999</t>
        </is>
      </c>
      <c r="E730" s="359" t="inlineStr">
        <is>
          <t>INV20250539871</t>
        </is>
      </c>
      <c r="F730" s="338" t="n">
        <v>45798</v>
      </c>
      <c r="G730" s="226" t="n"/>
      <c r="H730" s="627" t="n"/>
      <c r="I730" s="627" t="n">
        <v>252189</v>
      </c>
      <c r="J730" s="223" t="inlineStr">
        <is>
          <t>អនុញ្ញាត (បានប្រកាស)</t>
        </is>
      </c>
      <c r="K730" s="628" t="n"/>
      <c r="L730" s="626">
        <f>I730</f>
        <v/>
      </c>
      <c r="M730" s="598">
        <f>I730-L730</f>
        <v/>
      </c>
      <c r="N730" s="223" t="n"/>
      <c r="O730" s="228">
        <f>U730=E730</f>
        <v/>
      </c>
      <c r="P730" s="228">
        <f>MONTH(F730)-MONTH(T730)</f>
        <v/>
      </c>
      <c r="Q730" s="228">
        <f>$B$5=X730</f>
        <v/>
      </c>
      <c r="R730" s="228">
        <f>I730-AD730</f>
        <v/>
      </c>
      <c r="S730" s="371" t="n"/>
      <c r="T730" s="374" t="n">
        <v>45798</v>
      </c>
      <c r="U730" s="371" t="inlineStr">
        <is>
          <t>INV20250539871</t>
        </is>
      </c>
      <c r="V730" s="371" t="n">
        <v>0</v>
      </c>
      <c r="W730" s="371" t="inlineStr">
        <is>
          <t>បុគ្គលជាប់អាករ</t>
        </is>
      </c>
      <c r="X730" s="371" t="inlineStr">
        <is>
          <t>L001-901640009</t>
        </is>
      </c>
      <c r="Y730" s="371" t="inlineStr">
        <is>
          <t>ហូលីដេ ឌីហ្សាញ (ខេមបូឌា) ឯ.ក</t>
        </is>
      </c>
      <c r="Z730" s="373" t="n">
        <v>2774079</v>
      </c>
      <c r="AA730" s="373" t="n">
        <v>2521890</v>
      </c>
      <c r="AB730" s="371" t="n">
        <v>0</v>
      </c>
      <c r="AC730" s="371" t="inlineStr">
        <is>
          <t>-</t>
        </is>
      </c>
      <c r="AD730" s="373" t="n">
        <v>252189</v>
      </c>
      <c r="AE730" s="371" t="n">
        <v>0</v>
      </c>
      <c r="AF730" s="625" t="n">
        <v>0</v>
      </c>
      <c r="AG730" s="205" t="n">
        <v>0</v>
      </c>
      <c r="AH730" s="205" t="n">
        <v>0</v>
      </c>
      <c r="AI730" s="205" t="n">
        <v>0</v>
      </c>
      <c r="AJ730" s="205" t="n">
        <v>0</v>
      </c>
      <c r="AK730" s="205" t="n">
        <v>0</v>
      </c>
      <c r="AL730" s="205" t="n">
        <v>0.01</v>
      </c>
      <c r="AM730" s="205" t="n">
        <v>0</v>
      </c>
      <c r="AN730" s="205" t="inlineStr">
        <is>
          <t>ចំណូលពីសេវាកម្ម (លើកដាក់ទំនិញ)</t>
        </is>
      </c>
    </row>
    <row r="731">
      <c r="A731" s="222">
        <f>A730+1</f>
        <v/>
      </c>
      <c r="B731" s="224" t="inlineStr">
        <is>
          <t>Trucking &amp; Clearance-Ex</t>
        </is>
      </c>
      <c r="C731" s="224" t="inlineStr">
        <is>
          <t>WANAKA LOGISTICS CO., LTD.</t>
        </is>
      </c>
      <c r="D731" s="225" t="inlineStr">
        <is>
          <t>K005-901907953</t>
        </is>
      </c>
      <c r="E731" s="359" t="inlineStr">
        <is>
          <t>WL25-001771</t>
        </is>
      </c>
      <c r="F731" s="338" t="n">
        <v>45800</v>
      </c>
      <c r="G731" s="226" t="n"/>
      <c r="H731" s="627" t="n"/>
      <c r="I731" s="627" t="n">
        <v>156117</v>
      </c>
      <c r="J731" s="223" t="inlineStr">
        <is>
          <t>អនុញ្ញាត (បានប្រកាស)</t>
        </is>
      </c>
      <c r="K731" s="628" t="n"/>
      <c r="L731" s="626">
        <f>I731</f>
        <v/>
      </c>
      <c r="M731" s="598">
        <f>I731-L731</f>
        <v/>
      </c>
      <c r="N731" s="223" t="n"/>
      <c r="O731" s="228">
        <f>U731=E731</f>
        <v/>
      </c>
      <c r="P731" s="228">
        <f>MONTH(F731)-MONTH(T731)</f>
        <v/>
      </c>
      <c r="Q731" s="228">
        <f>$B$5=X731</f>
        <v/>
      </c>
      <c r="R731" s="228">
        <f>I731-AD731</f>
        <v/>
      </c>
      <c r="S731" s="371" t="n"/>
      <c r="T731" s="372" t="n">
        <v>45800</v>
      </c>
      <c r="U731" s="371" t="inlineStr">
        <is>
          <t>WL25-001771</t>
        </is>
      </c>
      <c r="V731" s="371" t="n"/>
      <c r="W731" s="371" t="n"/>
      <c r="X731" s="371" t="n"/>
      <c r="Y731" s="371" t="inlineStr">
        <is>
          <t>ហូលីដេ ឌីហ្សាញ (ខេមបូឌា) ឯ.ក</t>
        </is>
      </c>
      <c r="Z731" s="373" t="n"/>
      <c r="AA731" s="373" t="n"/>
      <c r="AB731" s="371" t="n"/>
      <c r="AC731" s="371" t="n"/>
      <c r="AD731" s="373" t="n">
        <v>156117</v>
      </c>
      <c r="AE731" s="371" t="n"/>
      <c r="AF731" s="625" t="n"/>
    </row>
    <row r="732">
      <c r="A732" s="222">
        <f>A731+1</f>
        <v/>
      </c>
      <c r="B732" s="224" t="inlineStr">
        <is>
          <t>Lift-Off-Ex</t>
        </is>
      </c>
      <c r="C732" s="224" t="inlineStr">
        <is>
          <t>PHNOM PENH AUTONOMOUS PORT "PPAP"</t>
        </is>
      </c>
      <c r="D732" s="225" t="inlineStr">
        <is>
          <t>L001-100044999</t>
        </is>
      </c>
      <c r="E732" s="359" t="inlineStr">
        <is>
          <t>INV20250539899</t>
        </is>
      </c>
      <c r="F732" s="338" t="n">
        <v>45798</v>
      </c>
      <c r="G732" s="226" t="n"/>
      <c r="H732" s="627" t="n"/>
      <c r="I732" s="627" t="n">
        <v>28021</v>
      </c>
      <c r="J732" s="223" t="inlineStr">
        <is>
          <t>អនុញ្ញាត (បានប្រកាស)</t>
        </is>
      </c>
      <c r="K732" s="628" t="n"/>
      <c r="L732" s="626">
        <f>I732</f>
        <v/>
      </c>
      <c r="M732" s="598">
        <f>I732-L732</f>
        <v/>
      </c>
      <c r="N732" s="223" t="n"/>
      <c r="O732" s="228">
        <f>U732=E732</f>
        <v/>
      </c>
      <c r="P732" s="228">
        <f>MONTH(F732)-MONTH(T732)</f>
        <v/>
      </c>
      <c r="Q732" s="228">
        <f>$B$5=X732</f>
        <v/>
      </c>
      <c r="R732" s="228">
        <f>I732-AD732</f>
        <v/>
      </c>
      <c r="S732" s="371" t="n"/>
      <c r="T732" s="374" t="n">
        <v>45798</v>
      </c>
      <c r="U732" s="371" t="inlineStr">
        <is>
          <t>INV20250539899</t>
        </is>
      </c>
      <c r="V732" s="371" t="n">
        <v>0</v>
      </c>
      <c r="W732" s="371" t="inlineStr">
        <is>
          <t>បុគ្គលជាប់អាករ</t>
        </is>
      </c>
      <c r="X732" s="371" t="inlineStr">
        <is>
          <t>L001-901640009</t>
        </is>
      </c>
      <c r="Y732" s="371" t="inlineStr">
        <is>
          <t>ហូលីដេ ឌីហ្សាញ (ខេមបូឌា) ឯ.ក</t>
        </is>
      </c>
      <c r="Z732" s="373" t="n">
        <v>308231</v>
      </c>
      <c r="AA732" s="373" t="n">
        <v>280210</v>
      </c>
      <c r="AB732" s="371" t="n">
        <v>0</v>
      </c>
      <c r="AC732" s="371" t="inlineStr">
        <is>
          <t>-</t>
        </is>
      </c>
      <c r="AD732" s="373" t="n">
        <v>28021</v>
      </c>
      <c r="AE732" s="371" t="n">
        <v>0</v>
      </c>
      <c r="AF732" s="625" t="n">
        <v>0</v>
      </c>
      <c r="AG732" s="205" t="n">
        <v>0</v>
      </c>
      <c r="AH732" s="205" t="n">
        <v>0</v>
      </c>
      <c r="AI732" s="205" t="n">
        <v>0</v>
      </c>
      <c r="AJ732" s="205" t="n">
        <v>0</v>
      </c>
      <c r="AK732" s="205" t="n">
        <v>0</v>
      </c>
      <c r="AL732" s="205" t="n">
        <v>0.01</v>
      </c>
      <c r="AM732" s="205" t="n">
        <v>0</v>
      </c>
      <c r="AN732" s="205" t="inlineStr">
        <is>
          <t>ចំណូលពីសេវាកម្ម (លើកដាក់ទំនិញ)</t>
        </is>
      </c>
    </row>
    <row r="733">
      <c r="A733" s="222">
        <f>A732+1</f>
        <v/>
      </c>
      <c r="B733" s="224" t="inlineStr">
        <is>
          <t>Trucking &amp; Clearance-Ex</t>
        </is>
      </c>
      <c r="C733" s="224" t="inlineStr">
        <is>
          <t>WANAKA LOGISTICS CO., LTD.</t>
        </is>
      </c>
      <c r="D733" s="225" t="inlineStr">
        <is>
          <t>K005-901907953</t>
        </is>
      </c>
      <c r="E733" s="359" t="inlineStr">
        <is>
          <t>WL25-001770</t>
        </is>
      </c>
      <c r="F733" s="338" t="n">
        <v>45800</v>
      </c>
      <c r="G733" s="226" t="n"/>
      <c r="H733" s="627" t="n"/>
      <c r="I733" s="627" t="n">
        <v>157318</v>
      </c>
      <c r="J733" s="223" t="inlineStr">
        <is>
          <t>អនុញ្ញាត (បានប្រកាស)</t>
        </is>
      </c>
      <c r="K733" s="628" t="n"/>
      <c r="L733" s="626">
        <f>I733</f>
        <v/>
      </c>
      <c r="M733" s="598">
        <f>I733-L733</f>
        <v/>
      </c>
      <c r="N733" s="223" t="n"/>
      <c r="O733" s="228">
        <f>U733=E733</f>
        <v/>
      </c>
      <c r="P733" s="228">
        <f>MONTH(F733)-MONTH(T733)</f>
        <v/>
      </c>
      <c r="Q733" s="228">
        <f>$B$5=X733</f>
        <v/>
      </c>
      <c r="R733" s="228">
        <f>I733-AD733</f>
        <v/>
      </c>
      <c r="S733" s="371" t="n"/>
      <c r="T733" s="372" t="n">
        <v>45800</v>
      </c>
      <c r="U733" s="371" t="inlineStr">
        <is>
          <t>WL25-001770</t>
        </is>
      </c>
      <c r="V733" s="371" t="n"/>
      <c r="W733" s="371" t="n"/>
      <c r="X733" s="371" t="n"/>
      <c r="Y733" s="371" t="inlineStr">
        <is>
          <t>ហូលីដេ ឌីហ្សាញ (ខេមបូឌា) ឯ.ក</t>
        </is>
      </c>
      <c r="Z733" s="373" t="n"/>
      <c r="AA733" s="373" t="n"/>
      <c r="AB733" s="371" t="n"/>
      <c r="AC733" s="371" t="n"/>
      <c r="AD733" s="373" t="n">
        <v>157318</v>
      </c>
      <c r="AE733" s="371" t="n"/>
      <c r="AF733" s="625" t="n"/>
    </row>
    <row r="734">
      <c r="A734" s="222">
        <f>A733+1</f>
        <v/>
      </c>
      <c r="B734" s="224" t="inlineStr">
        <is>
          <t>Lift-Off-Ex</t>
        </is>
      </c>
      <c r="C734" s="224" t="inlineStr">
        <is>
          <t>PHNOM PENH AUTONOMOUS PORT "PPAP"</t>
        </is>
      </c>
      <c r="D734" s="225" t="inlineStr">
        <is>
          <t>L001-100044999</t>
        </is>
      </c>
      <c r="E734" s="359" t="inlineStr">
        <is>
          <t>INV20250539896</t>
        </is>
      </c>
      <c r="F734" s="338" t="n">
        <v>45798</v>
      </c>
      <c r="G734" s="226" t="n"/>
      <c r="H734" s="627" t="n"/>
      <c r="I734" s="627" t="n">
        <v>28021</v>
      </c>
      <c r="J734" s="223" t="inlineStr">
        <is>
          <t>អនុញ្ញាត (បានប្រកាស)</t>
        </is>
      </c>
      <c r="K734" s="628" t="n"/>
      <c r="L734" s="626">
        <f>I734</f>
        <v/>
      </c>
      <c r="M734" s="598">
        <f>I734-L734</f>
        <v/>
      </c>
      <c r="N734" s="223" t="n"/>
      <c r="O734" s="228">
        <f>U734=E734</f>
        <v/>
      </c>
      <c r="P734" s="228">
        <f>MONTH(F734)-MONTH(T734)</f>
        <v/>
      </c>
      <c r="Q734" s="228">
        <f>$B$5=X734</f>
        <v/>
      </c>
      <c r="R734" s="228">
        <f>I734-AD734</f>
        <v/>
      </c>
      <c r="S734" s="371" t="n"/>
      <c r="T734" s="372" t="n">
        <v>45798</v>
      </c>
      <c r="U734" s="371" t="inlineStr">
        <is>
          <t>INV20250539896</t>
        </is>
      </c>
      <c r="V734" s="371" t="n">
        <v>0</v>
      </c>
      <c r="W734" s="371" t="inlineStr">
        <is>
          <t>បុគ្គលជាប់អាករ</t>
        </is>
      </c>
      <c r="X734" s="371" t="inlineStr">
        <is>
          <t>L001-901640009</t>
        </is>
      </c>
      <c r="Y734" s="371" t="inlineStr">
        <is>
          <t>ហូលីដេ ឌីហ្សាញ (ខេមបូឌា) ឯ.ក</t>
        </is>
      </c>
      <c r="Z734" s="373" t="n">
        <v>308231</v>
      </c>
      <c r="AA734" s="373" t="n">
        <v>280210</v>
      </c>
      <c r="AB734" s="371" t="n">
        <v>0</v>
      </c>
      <c r="AC734" s="371" t="inlineStr">
        <is>
          <t>-</t>
        </is>
      </c>
      <c r="AD734" s="373" t="n">
        <v>28021</v>
      </c>
      <c r="AE734" s="371" t="n">
        <v>0</v>
      </c>
      <c r="AF734" s="625" t="n">
        <v>0</v>
      </c>
      <c r="AG734" s="205" t="n">
        <v>0</v>
      </c>
      <c r="AH734" s="205" t="n">
        <v>0</v>
      </c>
      <c r="AI734" s="205" t="n">
        <v>0</v>
      </c>
      <c r="AJ734" s="205" t="n">
        <v>0</v>
      </c>
      <c r="AK734" s="205" t="n">
        <v>0</v>
      </c>
      <c r="AL734" s="205" t="n">
        <v>0.01</v>
      </c>
      <c r="AM734" s="205" t="n">
        <v>0</v>
      </c>
      <c r="AN734" s="205" t="inlineStr">
        <is>
          <t>ចំណូលពីសេវាកម្ម (លើកដាក់ទំនិញ)</t>
        </is>
      </c>
    </row>
    <row r="735">
      <c r="A735" s="222">
        <f>A734+1</f>
        <v/>
      </c>
      <c r="B735" s="224" t="inlineStr">
        <is>
          <t>Trucking &amp; Clearance-Ex</t>
        </is>
      </c>
      <c r="C735" s="224" t="inlineStr">
        <is>
          <t>WANAKA LOGISTICS CO., LTD.</t>
        </is>
      </c>
      <c r="D735" s="225" t="inlineStr">
        <is>
          <t>K005-901907953</t>
        </is>
      </c>
      <c r="E735" s="359" t="inlineStr">
        <is>
          <t>WL25-001769</t>
        </is>
      </c>
      <c r="F735" s="338" t="n">
        <v>45800</v>
      </c>
      <c r="G735" s="226" t="n"/>
      <c r="H735" s="627" t="n"/>
      <c r="I735" s="627" t="n">
        <v>157318</v>
      </c>
      <c r="J735" s="223" t="inlineStr">
        <is>
          <t>អនុញ្ញាត (បានប្រកាស)</t>
        </is>
      </c>
      <c r="K735" s="628" t="n"/>
      <c r="L735" s="626">
        <f>I735</f>
        <v/>
      </c>
      <c r="M735" s="598">
        <f>I735-L735</f>
        <v/>
      </c>
      <c r="N735" s="223" t="n"/>
      <c r="O735" s="228">
        <f>U735=E735</f>
        <v/>
      </c>
      <c r="P735" s="228">
        <f>MONTH(F735)-MONTH(T735)</f>
        <v/>
      </c>
      <c r="Q735" s="228">
        <f>$B$5=X735</f>
        <v/>
      </c>
      <c r="R735" s="228">
        <f>I735-AD735</f>
        <v/>
      </c>
      <c r="S735" s="371" t="n"/>
      <c r="T735" s="372" t="n">
        <v>45800</v>
      </c>
      <c r="U735" s="371" t="inlineStr">
        <is>
          <t>WL25-001769</t>
        </is>
      </c>
      <c r="V735" s="371" t="n"/>
      <c r="W735" s="371" t="n"/>
      <c r="X735" s="371" t="n"/>
      <c r="Y735" s="371" t="inlineStr">
        <is>
          <t>ហូលីដេ ឌីហ្សាញ (ខេមបូឌា) ឯ.ក</t>
        </is>
      </c>
      <c r="Z735" s="373" t="n"/>
      <c r="AA735" s="373" t="n"/>
      <c r="AB735" s="371" t="n"/>
      <c r="AC735" s="371" t="n"/>
      <c r="AD735" s="373" t="n">
        <v>157318</v>
      </c>
      <c r="AE735" s="371" t="n"/>
      <c r="AF735" s="625" t="n"/>
    </row>
    <row r="736">
      <c r="A736" s="222">
        <f>A735+1</f>
        <v/>
      </c>
      <c r="B736" s="224" t="inlineStr">
        <is>
          <t>Lift-Off-Ex</t>
        </is>
      </c>
      <c r="C736" s="224" t="inlineStr">
        <is>
          <t>PHNOM PENH AUTONOMOUS PORT "PPAP"</t>
        </is>
      </c>
      <c r="D736" s="225" t="inlineStr">
        <is>
          <t>L001-100044999</t>
        </is>
      </c>
      <c r="E736" s="359" t="inlineStr">
        <is>
          <t>INV20250539898</t>
        </is>
      </c>
      <c r="F736" s="338" t="n">
        <v>45798</v>
      </c>
      <c r="G736" s="226" t="n"/>
      <c r="H736" s="627" t="n"/>
      <c r="I736" s="627" t="n">
        <v>28021</v>
      </c>
      <c r="J736" s="223" t="inlineStr">
        <is>
          <t>អនុញ្ញាត (បានប្រកាស)</t>
        </is>
      </c>
      <c r="K736" s="628" t="n"/>
      <c r="L736" s="626">
        <f>I736</f>
        <v/>
      </c>
      <c r="M736" s="598">
        <f>I736-L736</f>
        <v/>
      </c>
      <c r="N736" s="223" t="n"/>
      <c r="O736" s="228">
        <f>U736=E736</f>
        <v/>
      </c>
      <c r="P736" s="228">
        <f>MONTH(F736)-MONTH(T736)</f>
        <v/>
      </c>
      <c r="Q736" s="228">
        <f>$B$5=X736</f>
        <v/>
      </c>
      <c r="R736" s="228">
        <f>I736-AD736</f>
        <v/>
      </c>
      <c r="S736" s="371" t="n"/>
      <c r="T736" s="372" t="n">
        <v>45798</v>
      </c>
      <c r="U736" s="371" t="inlineStr">
        <is>
          <t>INV20250539898</t>
        </is>
      </c>
      <c r="V736" s="371" t="n">
        <v>0</v>
      </c>
      <c r="W736" s="371" t="inlineStr">
        <is>
          <t>បុគ្គលជាប់អាករ</t>
        </is>
      </c>
      <c r="X736" s="371" t="inlineStr">
        <is>
          <t>L001-901640009</t>
        </is>
      </c>
      <c r="Y736" s="371" t="inlineStr">
        <is>
          <t>ហូលីដេ ឌីហ្សាញ (ខេមបូឌា) ឯ.ក</t>
        </is>
      </c>
      <c r="Z736" s="373" t="n">
        <v>308231</v>
      </c>
      <c r="AA736" s="373" t="n">
        <v>280210</v>
      </c>
      <c r="AB736" s="371" t="n">
        <v>0</v>
      </c>
      <c r="AC736" s="371" t="inlineStr">
        <is>
          <t>-</t>
        </is>
      </c>
      <c r="AD736" s="373" t="n">
        <v>28021</v>
      </c>
      <c r="AE736" s="371" t="n">
        <v>0</v>
      </c>
      <c r="AF736" s="625" t="n">
        <v>0</v>
      </c>
      <c r="AG736" s="205" t="n">
        <v>0</v>
      </c>
      <c r="AH736" s="205" t="n">
        <v>0</v>
      </c>
      <c r="AI736" s="205" t="n">
        <v>0</v>
      </c>
      <c r="AJ736" s="205" t="n">
        <v>0</v>
      </c>
      <c r="AK736" s="205" t="n">
        <v>0</v>
      </c>
      <c r="AL736" s="205" t="n">
        <v>0.01</v>
      </c>
      <c r="AM736" s="205" t="n">
        <v>0</v>
      </c>
      <c r="AN736" s="205" t="inlineStr">
        <is>
          <t>ចំណូលពីសេវាកម្ម (លើកដាក់ទំនិញ)</t>
        </is>
      </c>
    </row>
    <row r="737">
      <c r="A737" s="222">
        <f>A736+1</f>
        <v/>
      </c>
      <c r="B737" s="224" t="inlineStr">
        <is>
          <t>Trucking &amp; Clearance-Ex</t>
        </is>
      </c>
      <c r="C737" s="224" t="inlineStr">
        <is>
          <t>WANAKA LOGISTICS CO., LTD.</t>
        </is>
      </c>
      <c r="D737" s="225" t="inlineStr">
        <is>
          <t>K005-901907953</t>
        </is>
      </c>
      <c r="E737" s="359" t="inlineStr">
        <is>
          <t>WL25-001768</t>
        </is>
      </c>
      <c r="F737" s="338" t="n">
        <v>45800</v>
      </c>
      <c r="G737" s="226" t="n"/>
      <c r="H737" s="627" t="n"/>
      <c r="I737" s="627" t="n">
        <v>156117</v>
      </c>
      <c r="J737" s="223" t="inlineStr">
        <is>
          <t>អនុញ្ញាត (បានប្រកាស)</t>
        </is>
      </c>
      <c r="K737" s="628" t="n"/>
      <c r="L737" s="626">
        <f>I737</f>
        <v/>
      </c>
      <c r="M737" s="598">
        <f>I737-L737</f>
        <v/>
      </c>
      <c r="N737" s="223" t="n"/>
      <c r="O737" s="228">
        <f>U737=E737</f>
        <v/>
      </c>
      <c r="P737" s="228">
        <f>MONTH(F737)-MONTH(T737)</f>
        <v/>
      </c>
      <c r="Q737" s="228">
        <f>$B$5=X737</f>
        <v/>
      </c>
      <c r="R737" s="228">
        <f>I737-AD737</f>
        <v/>
      </c>
      <c r="S737" s="371" t="n"/>
      <c r="T737" s="372" t="n">
        <v>45800</v>
      </c>
      <c r="U737" s="371" t="inlineStr">
        <is>
          <t>WL25-001768</t>
        </is>
      </c>
      <c r="V737" s="371" t="n"/>
      <c r="W737" s="371" t="n"/>
      <c r="X737" s="371" t="n"/>
      <c r="Y737" s="371" t="inlineStr">
        <is>
          <t>ហូលីដេ ឌីហ្សាញ (ខេមបូឌា) ឯ.ក</t>
        </is>
      </c>
      <c r="Z737" s="373" t="n"/>
      <c r="AA737" s="373" t="n"/>
      <c r="AB737" s="371" t="n"/>
      <c r="AC737" s="371" t="n"/>
      <c r="AD737" s="373" t="n">
        <v>156117</v>
      </c>
      <c r="AE737" s="371" t="n"/>
      <c r="AF737" s="625" t="n"/>
    </row>
    <row r="738">
      <c r="A738" s="222">
        <f>A737+1</f>
        <v/>
      </c>
      <c r="B738" s="224" t="inlineStr">
        <is>
          <t>Lift-Off-Ex</t>
        </is>
      </c>
      <c r="C738" s="224" t="inlineStr">
        <is>
          <t>PHNOM PENH AUTONOMOUS PORT "PPAP"</t>
        </is>
      </c>
      <c r="D738" s="225" t="inlineStr">
        <is>
          <t>L001-100044999</t>
        </is>
      </c>
      <c r="E738" s="359" t="inlineStr">
        <is>
          <t>INV20250539888</t>
        </is>
      </c>
      <c r="F738" s="338" t="n">
        <v>45798</v>
      </c>
      <c r="G738" s="226" t="n"/>
      <c r="H738" s="627" t="n"/>
      <c r="I738" s="627" t="n">
        <v>28021</v>
      </c>
      <c r="J738" s="223" t="inlineStr">
        <is>
          <t>អនុញ្ញាត (បានប្រកាស)</t>
        </is>
      </c>
      <c r="K738" s="628" t="n"/>
      <c r="L738" s="626">
        <f>I738</f>
        <v/>
      </c>
      <c r="M738" s="598">
        <f>I738-L738</f>
        <v/>
      </c>
      <c r="N738" s="223" t="n"/>
      <c r="O738" s="228">
        <f>U738=E738</f>
        <v/>
      </c>
      <c r="P738" s="228">
        <f>MONTH(F738)-MONTH(T738)</f>
        <v/>
      </c>
      <c r="Q738" s="228">
        <f>$B$5=X738</f>
        <v/>
      </c>
      <c r="R738" s="228">
        <f>I738-AD738</f>
        <v/>
      </c>
      <c r="S738" s="371" t="n"/>
      <c r="T738" s="372" t="n">
        <v>45798</v>
      </c>
      <c r="U738" s="371" t="inlineStr">
        <is>
          <t>INV20250539888</t>
        </is>
      </c>
      <c r="V738" s="371" t="n">
        <v>0</v>
      </c>
      <c r="W738" s="371" t="inlineStr">
        <is>
          <t>បុគ្គលជាប់អាករ</t>
        </is>
      </c>
      <c r="X738" s="371" t="inlineStr">
        <is>
          <t>L001-901640009</t>
        </is>
      </c>
      <c r="Y738" s="371" t="inlineStr">
        <is>
          <t>ហូលីដេ ឌីហ្សាញ (ខេមបូឌា) ឯ.ក</t>
        </is>
      </c>
      <c r="Z738" s="373" t="n">
        <v>308231</v>
      </c>
      <c r="AA738" s="373" t="n">
        <v>280210</v>
      </c>
      <c r="AB738" s="371" t="n">
        <v>0</v>
      </c>
      <c r="AC738" s="371" t="inlineStr">
        <is>
          <t>-</t>
        </is>
      </c>
      <c r="AD738" s="373" t="n">
        <v>28021</v>
      </c>
      <c r="AE738" s="371" t="n">
        <v>0</v>
      </c>
      <c r="AF738" s="625" t="n">
        <v>0</v>
      </c>
      <c r="AG738" s="205" t="n">
        <v>0</v>
      </c>
      <c r="AH738" s="205" t="n">
        <v>0</v>
      </c>
      <c r="AI738" s="205" t="n">
        <v>0</v>
      </c>
      <c r="AJ738" s="205" t="n">
        <v>0</v>
      </c>
      <c r="AK738" s="205" t="n">
        <v>0</v>
      </c>
      <c r="AL738" s="205" t="n">
        <v>0.01</v>
      </c>
      <c r="AM738" s="205" t="n">
        <v>0</v>
      </c>
      <c r="AN738" s="205" t="inlineStr">
        <is>
          <t>ចំណូលពីសេវាកម្ម (លើកដាក់ទំនិញ)</t>
        </is>
      </c>
    </row>
    <row r="739">
      <c r="A739" s="222">
        <f>A738+1</f>
        <v/>
      </c>
      <c r="B739" s="224" t="inlineStr">
        <is>
          <t>Lift-Off-Ex</t>
        </is>
      </c>
      <c r="C739" s="224" t="inlineStr">
        <is>
          <t>PHNOM PENH AUTONOMOUS PORT "PPAP"</t>
        </is>
      </c>
      <c r="D739" s="225" t="inlineStr">
        <is>
          <t>L001-100044999</t>
        </is>
      </c>
      <c r="E739" s="359" t="inlineStr">
        <is>
          <t>INV20250539897</t>
        </is>
      </c>
      <c r="F739" s="338" t="n">
        <v>45798</v>
      </c>
      <c r="G739" s="226" t="n"/>
      <c r="H739" s="627" t="n"/>
      <c r="I739" s="627" t="n">
        <v>28021</v>
      </c>
      <c r="J739" s="223" t="inlineStr">
        <is>
          <t>អនុញ្ញាត (បានប្រកាស)</t>
        </is>
      </c>
      <c r="K739" s="628" t="n"/>
      <c r="L739" s="626">
        <f>I739</f>
        <v/>
      </c>
      <c r="M739" s="598">
        <f>I739-L739</f>
        <v/>
      </c>
      <c r="N739" s="223" t="n"/>
      <c r="O739" s="228">
        <f>U739=E739</f>
        <v/>
      </c>
      <c r="P739" s="228">
        <f>MONTH(F739)-MONTH(T739)</f>
        <v/>
      </c>
      <c r="Q739" s="228">
        <f>$B$5=X739</f>
        <v/>
      </c>
      <c r="R739" s="228">
        <f>I739-AD739</f>
        <v/>
      </c>
      <c r="S739" s="371" t="n"/>
      <c r="T739" s="372" t="n">
        <v>45798</v>
      </c>
      <c r="U739" s="371" t="inlineStr">
        <is>
          <t>INV20250539897</t>
        </is>
      </c>
      <c r="V739" s="371" t="n">
        <v>0</v>
      </c>
      <c r="W739" s="371" t="inlineStr">
        <is>
          <t>បុគ្គលជាប់អាករ</t>
        </is>
      </c>
      <c r="X739" s="371" t="inlineStr">
        <is>
          <t>L001-901640009</t>
        </is>
      </c>
      <c r="Y739" s="371" t="inlineStr">
        <is>
          <t>ហូលីដេ ឌីហ្សាញ (ខេមបូឌា) ឯ.ក</t>
        </is>
      </c>
      <c r="Z739" s="373" t="n">
        <v>308231</v>
      </c>
      <c r="AA739" s="373" t="n">
        <v>280210</v>
      </c>
      <c r="AB739" s="371" t="n">
        <v>0</v>
      </c>
      <c r="AC739" s="371" t="inlineStr">
        <is>
          <t>-</t>
        </is>
      </c>
      <c r="AD739" s="373" t="n">
        <v>28021</v>
      </c>
      <c r="AE739" s="371" t="n">
        <v>0</v>
      </c>
      <c r="AF739" s="625" t="n">
        <v>0</v>
      </c>
      <c r="AG739" s="205" t="n">
        <v>0</v>
      </c>
      <c r="AH739" s="205" t="n">
        <v>0</v>
      </c>
      <c r="AI739" s="205" t="n">
        <v>0</v>
      </c>
      <c r="AJ739" s="205" t="n">
        <v>0</v>
      </c>
      <c r="AK739" s="205" t="n">
        <v>0</v>
      </c>
      <c r="AL739" s="205" t="n">
        <v>0.01</v>
      </c>
      <c r="AM739" s="205" t="n">
        <v>0</v>
      </c>
      <c r="AN739" s="205" t="inlineStr">
        <is>
          <t>ចំណូលពីសេវាកម្ម (លើកដាក់ទំនិញ)</t>
        </is>
      </c>
    </row>
    <row r="740">
      <c r="A740" s="222">
        <f>A739+1</f>
        <v/>
      </c>
      <c r="B740" s="224" t="inlineStr">
        <is>
          <t>Trucking &amp; Clearance-Ex</t>
        </is>
      </c>
      <c r="C740" s="224" t="inlineStr">
        <is>
          <t>WANAKA LOGISTICS CO., LTD.</t>
        </is>
      </c>
      <c r="D740" s="225" t="inlineStr">
        <is>
          <t>K005-901907953</t>
        </is>
      </c>
      <c r="E740" s="359" t="inlineStr">
        <is>
          <t>WL25-001767</t>
        </is>
      </c>
      <c r="F740" s="338" t="n">
        <v>45800</v>
      </c>
      <c r="G740" s="226" t="n"/>
      <c r="H740" s="627" t="n"/>
      <c r="I740" s="627" t="n">
        <v>156117</v>
      </c>
      <c r="J740" s="223" t="inlineStr">
        <is>
          <t>អនុញ្ញាត (បានប្រកាស)</t>
        </is>
      </c>
      <c r="K740" s="628" t="n"/>
      <c r="L740" s="626">
        <f>I740</f>
        <v/>
      </c>
      <c r="M740" s="598">
        <f>I740-L740</f>
        <v/>
      </c>
      <c r="N740" s="223" t="n"/>
      <c r="O740" s="228">
        <f>U740=E740</f>
        <v/>
      </c>
      <c r="P740" s="228">
        <f>MONTH(F740)-MONTH(T740)</f>
        <v/>
      </c>
      <c r="Q740" s="228">
        <f>$B$5=X740</f>
        <v/>
      </c>
      <c r="R740" s="228">
        <f>I740-AD740</f>
        <v/>
      </c>
      <c r="S740" s="371" t="n"/>
      <c r="T740" s="372" t="n">
        <v>45800</v>
      </c>
      <c r="U740" s="371" t="inlineStr">
        <is>
          <t>WL25-001767</t>
        </is>
      </c>
      <c r="V740" s="371" t="n"/>
      <c r="W740" s="371" t="n"/>
      <c r="X740" s="371" t="n"/>
      <c r="Y740" s="371" t="inlineStr">
        <is>
          <t>ហូលីដេ ឌីហ្សាញ (ខេមបូឌា) ឯ.ក</t>
        </is>
      </c>
      <c r="Z740" s="373" t="n"/>
      <c r="AA740" s="373" t="n"/>
      <c r="AB740" s="371" t="n"/>
      <c r="AC740" s="371" t="n"/>
      <c r="AD740" s="373" t="n">
        <v>156117</v>
      </c>
      <c r="AE740" s="371" t="n"/>
      <c r="AF740" s="625" t="n"/>
    </row>
    <row r="741">
      <c r="A741" s="222">
        <f>A740+1</f>
        <v/>
      </c>
      <c r="B741" s="224" t="inlineStr">
        <is>
          <t>Lift-Off-Ex</t>
        </is>
      </c>
      <c r="C741" s="224" t="inlineStr">
        <is>
          <t>PHNOM PENH AUTONOMOUS PORT "PPAP"</t>
        </is>
      </c>
      <c r="D741" s="225" t="inlineStr">
        <is>
          <t>L001-100044999</t>
        </is>
      </c>
      <c r="E741" s="359" t="inlineStr">
        <is>
          <t>INV20250539868</t>
        </is>
      </c>
      <c r="F741" s="338" t="n">
        <v>45798</v>
      </c>
      <c r="G741" s="226" t="n"/>
      <c r="H741" s="627" t="n"/>
      <c r="I741" s="627" t="n">
        <v>280210</v>
      </c>
      <c r="J741" s="223" t="inlineStr">
        <is>
          <t>អនុញ្ញាត (បានប្រកាស)</t>
        </is>
      </c>
      <c r="K741" s="628" t="n"/>
      <c r="L741" s="626">
        <f>I741</f>
        <v/>
      </c>
      <c r="M741" s="598">
        <f>I741-L741</f>
        <v/>
      </c>
      <c r="N741" s="223" t="n"/>
      <c r="O741" s="228">
        <f>U741=E741</f>
        <v/>
      </c>
      <c r="P741" s="228">
        <f>MONTH(F741)-MONTH(T741)</f>
        <v/>
      </c>
      <c r="Q741" s="228">
        <f>$B$5=X741</f>
        <v/>
      </c>
      <c r="R741" s="228">
        <f>I741-AD741</f>
        <v/>
      </c>
      <c r="S741" s="371" t="n"/>
      <c r="T741" s="372" t="n">
        <v>45798</v>
      </c>
      <c r="U741" s="371" t="inlineStr">
        <is>
          <t>INV20250539868</t>
        </is>
      </c>
      <c r="V741" s="371" t="n">
        <v>0</v>
      </c>
      <c r="W741" s="371" t="inlineStr">
        <is>
          <t>បុគ្គលជាប់អាករ</t>
        </is>
      </c>
      <c r="X741" s="371" t="inlineStr">
        <is>
          <t>L001-901640009</t>
        </is>
      </c>
      <c r="Y741" s="371" t="inlineStr">
        <is>
          <t>ហូលីដេ ឌីហ្សាញ (ខេមបូឌា) ឯ.ក</t>
        </is>
      </c>
      <c r="Z741" s="373" t="n">
        <v>3082310</v>
      </c>
      <c r="AA741" s="373" t="n">
        <v>2802100</v>
      </c>
      <c r="AB741" s="371" t="n">
        <v>0</v>
      </c>
      <c r="AC741" s="371" t="inlineStr">
        <is>
          <t>-</t>
        </is>
      </c>
      <c r="AD741" s="373" t="n">
        <v>280210</v>
      </c>
      <c r="AE741" s="371" t="n">
        <v>0</v>
      </c>
      <c r="AF741" s="625" t="n">
        <v>0</v>
      </c>
      <c r="AG741" s="205" t="n">
        <v>0</v>
      </c>
      <c r="AH741" s="205" t="n">
        <v>0</v>
      </c>
      <c r="AI741" s="205" t="n">
        <v>0</v>
      </c>
      <c r="AJ741" s="205" t="n">
        <v>0</v>
      </c>
      <c r="AK741" s="205" t="n">
        <v>0</v>
      </c>
      <c r="AL741" s="205" t="n">
        <v>0.01</v>
      </c>
      <c r="AM741" s="205" t="n">
        <v>0</v>
      </c>
      <c r="AN741" s="205" t="inlineStr">
        <is>
          <t>ចំណូលពីសេវាកម្ម (លើកដាក់ទំនិញ)</t>
        </is>
      </c>
    </row>
    <row r="742">
      <c r="A742" s="222">
        <f>A741+1</f>
        <v/>
      </c>
      <c r="B742" s="224" t="inlineStr">
        <is>
          <t>Trucking &amp; Clearance-Ex</t>
        </is>
      </c>
      <c r="C742" s="224" t="inlineStr">
        <is>
          <t>WANAKA LOGISTICS CO., LTD.</t>
        </is>
      </c>
      <c r="D742" s="225" t="inlineStr">
        <is>
          <t>K005-901907953</t>
        </is>
      </c>
      <c r="E742" s="359" t="inlineStr">
        <is>
          <t>WL25-001766</t>
        </is>
      </c>
      <c r="F742" s="338" t="n">
        <v>45800</v>
      </c>
      <c r="G742" s="226" t="n"/>
      <c r="H742" s="627" t="n"/>
      <c r="I742" s="627" t="n">
        <v>1565974</v>
      </c>
      <c r="J742" s="223" t="inlineStr">
        <is>
          <t>អនុញ្ញាត (បានប្រកាស)</t>
        </is>
      </c>
      <c r="K742" s="628" t="n"/>
      <c r="L742" s="626">
        <f>I742</f>
        <v/>
      </c>
      <c r="M742" s="598">
        <f>I742-L742</f>
        <v/>
      </c>
      <c r="N742" s="223" t="n"/>
      <c r="O742" s="228">
        <f>U742=E742</f>
        <v/>
      </c>
      <c r="P742" s="228">
        <f>MONTH(F742)-MONTH(T742)</f>
        <v/>
      </c>
      <c r="Q742" s="228">
        <f>$B$5=X742</f>
        <v/>
      </c>
      <c r="R742" s="228">
        <f>I742-AD742</f>
        <v/>
      </c>
      <c r="S742" s="371" t="n"/>
      <c r="T742" s="372" t="n">
        <v>45800</v>
      </c>
      <c r="U742" s="371" t="inlineStr">
        <is>
          <t>WL25-001766</t>
        </is>
      </c>
      <c r="V742" s="371" t="n"/>
      <c r="W742" s="371" t="n"/>
      <c r="X742" s="371" t="n"/>
      <c r="Y742" s="371" t="inlineStr">
        <is>
          <t>ហូលីដេ ឌីហ្សាញ (ខេមបូឌា) ឯ.ក</t>
        </is>
      </c>
      <c r="Z742" s="373" t="n"/>
      <c r="AA742" s="373" t="n"/>
      <c r="AB742" s="371" t="n"/>
      <c r="AC742" s="371" t="n"/>
      <c r="AD742" s="373" t="n">
        <v>1565974</v>
      </c>
      <c r="AE742" s="371" t="n"/>
      <c r="AF742" s="625" t="n"/>
    </row>
    <row r="743">
      <c r="A743" s="222">
        <f>A742+1</f>
        <v/>
      </c>
      <c r="B743" s="224" t="inlineStr">
        <is>
          <t>Lift-Off-Ex</t>
        </is>
      </c>
      <c r="C743" s="224" t="inlineStr">
        <is>
          <t>PHNOM PENH AUTONOMOUS PORT "PPAP"</t>
        </is>
      </c>
      <c r="D743" s="225" t="inlineStr">
        <is>
          <t>L001-100044999</t>
        </is>
      </c>
      <c r="E743" s="359" t="inlineStr">
        <is>
          <t>INV20250539870</t>
        </is>
      </c>
      <c r="F743" s="338" t="n">
        <v>45798</v>
      </c>
      <c r="G743" s="226" t="n"/>
      <c r="H743" s="627" t="n"/>
      <c r="I743" s="627" t="n">
        <v>28021</v>
      </c>
      <c r="J743" s="223" t="inlineStr">
        <is>
          <t>អនុញ្ញាត (បានប្រកាស)</t>
        </is>
      </c>
      <c r="K743" s="628" t="n"/>
      <c r="L743" s="626">
        <f>I743</f>
        <v/>
      </c>
      <c r="M743" s="598">
        <f>I743-L743</f>
        <v/>
      </c>
      <c r="N743" s="223" t="n"/>
      <c r="O743" s="228">
        <f>U743=E743</f>
        <v/>
      </c>
      <c r="P743" s="228">
        <f>MONTH(F743)-MONTH(T743)</f>
        <v/>
      </c>
      <c r="Q743" s="228">
        <f>$B$5=X743</f>
        <v/>
      </c>
      <c r="R743" s="228">
        <f>I743-AD743</f>
        <v/>
      </c>
      <c r="S743" s="371" t="n"/>
      <c r="T743" s="372" t="n">
        <v>45798</v>
      </c>
      <c r="U743" s="371" t="inlineStr">
        <is>
          <t>INV20250539870</t>
        </is>
      </c>
      <c r="V743" s="371" t="n">
        <v>0</v>
      </c>
      <c r="W743" s="371" t="inlineStr">
        <is>
          <t>បុគ្គលជាប់អាករ</t>
        </is>
      </c>
      <c r="X743" s="371" t="inlineStr">
        <is>
          <t>L001-901640009</t>
        </is>
      </c>
      <c r="Y743" s="371" t="inlineStr">
        <is>
          <t>ហូលីដេ ឌីហ្សាញ (ខេមបូឌា) ឯ.ក</t>
        </is>
      </c>
      <c r="Z743" s="373" t="n">
        <v>308231</v>
      </c>
      <c r="AA743" s="373" t="n">
        <v>280210</v>
      </c>
      <c r="AB743" s="371" t="n">
        <v>0</v>
      </c>
      <c r="AC743" s="371" t="inlineStr">
        <is>
          <t>-</t>
        </is>
      </c>
      <c r="AD743" s="373" t="n">
        <v>28021</v>
      </c>
      <c r="AE743" s="371" t="n">
        <v>0</v>
      </c>
      <c r="AF743" s="625" t="n">
        <v>0</v>
      </c>
      <c r="AG743" s="205" t="n">
        <v>0</v>
      </c>
      <c r="AH743" s="205" t="n">
        <v>0</v>
      </c>
      <c r="AI743" s="205" t="n">
        <v>0</v>
      </c>
      <c r="AJ743" s="205" t="n">
        <v>0</v>
      </c>
      <c r="AK743" s="205" t="n">
        <v>0</v>
      </c>
      <c r="AL743" s="205" t="n">
        <v>0.01</v>
      </c>
      <c r="AM743" s="205" t="n">
        <v>0</v>
      </c>
      <c r="AN743" s="205" t="inlineStr">
        <is>
          <t>ចំណូលពីសេវាកម្ម (លើកដាក់ទំនិញ)</t>
        </is>
      </c>
    </row>
    <row r="744">
      <c r="A744" s="222">
        <f>A743+1</f>
        <v/>
      </c>
      <c r="B744" s="224" t="inlineStr">
        <is>
          <t>Trucking &amp; Clearance-Ex</t>
        </is>
      </c>
      <c r="C744" s="224" t="inlineStr">
        <is>
          <t>WANAKA LOGISTICS CO., LTD.</t>
        </is>
      </c>
      <c r="D744" s="225" t="inlineStr">
        <is>
          <t>K005-901907953</t>
        </is>
      </c>
      <c r="E744" s="359" t="inlineStr">
        <is>
          <t>WL25-001772</t>
        </is>
      </c>
      <c r="F744" s="338" t="n">
        <v>45800</v>
      </c>
      <c r="G744" s="226" t="n"/>
      <c r="H744" s="627" t="n"/>
      <c r="I744" s="627" t="n">
        <v>157318</v>
      </c>
      <c r="J744" s="223" t="inlineStr">
        <is>
          <t>អនុញ្ញាត (បានប្រកាស)</t>
        </is>
      </c>
      <c r="K744" s="628" t="n"/>
      <c r="L744" s="626">
        <f>I744</f>
        <v/>
      </c>
      <c r="M744" s="598">
        <f>I744-L744</f>
        <v/>
      </c>
      <c r="N744" s="223" t="n"/>
      <c r="O744" s="228">
        <f>U744=E744</f>
        <v/>
      </c>
      <c r="P744" s="228">
        <f>MONTH(F744)-MONTH(T744)</f>
        <v/>
      </c>
      <c r="Q744" s="228">
        <f>$B$5=X744</f>
        <v/>
      </c>
      <c r="R744" s="228">
        <f>I744-AD744</f>
        <v/>
      </c>
      <c r="S744" s="371" t="n"/>
      <c r="T744" s="372" t="n">
        <v>45800</v>
      </c>
      <c r="U744" s="371" t="inlineStr">
        <is>
          <t>WL25-001772</t>
        </is>
      </c>
      <c r="V744" s="371" t="n"/>
      <c r="W744" s="371" t="n"/>
      <c r="X744" s="371" t="n"/>
      <c r="Y744" s="371" t="inlineStr">
        <is>
          <t>ហូលីដេ ឌីហ្សាញ (ខេមបូឌា) ឯ.ក</t>
        </is>
      </c>
      <c r="Z744" s="373" t="n"/>
      <c r="AA744" s="373" t="n"/>
      <c r="AB744" s="371" t="n"/>
      <c r="AC744" s="371" t="n"/>
      <c r="AD744" s="373" t="n">
        <v>157318</v>
      </c>
      <c r="AE744" s="371" t="n"/>
      <c r="AF744" s="625" t="n"/>
    </row>
    <row r="745">
      <c r="A745" s="222">
        <f>A744+1</f>
        <v/>
      </c>
      <c r="B745" s="224" t="inlineStr">
        <is>
          <t>Lift-Off-Ex</t>
        </is>
      </c>
      <c r="C745" s="224" t="inlineStr">
        <is>
          <t>PHNOM PENH AUTONOMOUS PORT "PPAP"</t>
        </is>
      </c>
      <c r="D745" s="225" t="inlineStr">
        <is>
          <t>L001-100044999</t>
        </is>
      </c>
      <c r="E745" s="359" t="inlineStr">
        <is>
          <t>INV20250539884</t>
        </is>
      </c>
      <c r="F745" s="338" t="n">
        <v>45798</v>
      </c>
      <c r="G745" s="226" t="n"/>
      <c r="H745" s="627" t="n"/>
      <c r="I745" s="627" t="n">
        <v>56042</v>
      </c>
      <c r="J745" s="223" t="inlineStr">
        <is>
          <t>អនុញ្ញាត (បានប្រកាស)</t>
        </is>
      </c>
      <c r="K745" s="628" t="n"/>
      <c r="L745" s="626">
        <f>I745</f>
        <v/>
      </c>
      <c r="M745" s="598">
        <f>I745-L745</f>
        <v/>
      </c>
      <c r="N745" s="223" t="n"/>
      <c r="O745" s="228">
        <f>U745=E745</f>
        <v/>
      </c>
      <c r="P745" s="228">
        <f>MONTH(F745)-MONTH(T745)</f>
        <v/>
      </c>
      <c r="Q745" s="228">
        <f>$B$5=X745</f>
        <v/>
      </c>
      <c r="R745" s="228">
        <f>I745-AD745</f>
        <v/>
      </c>
      <c r="S745" s="371" t="n"/>
      <c r="T745" s="372" t="n">
        <v>45798</v>
      </c>
      <c r="U745" s="371" t="inlineStr">
        <is>
          <t>INV20250539884</t>
        </is>
      </c>
      <c r="V745" s="371" t="n">
        <v>0</v>
      </c>
      <c r="W745" s="371" t="inlineStr">
        <is>
          <t>បុគ្គលជាប់អាករ</t>
        </is>
      </c>
      <c r="X745" s="371" t="inlineStr">
        <is>
          <t>L001-901640009</t>
        </is>
      </c>
      <c r="Y745" s="371" t="inlineStr">
        <is>
          <t>ហូលីដេ ឌីហ្សាញ (ខេមបូឌា) ឯ.ក</t>
        </is>
      </c>
      <c r="Z745" s="373" t="n">
        <v>616462</v>
      </c>
      <c r="AA745" s="373" t="n">
        <v>560420</v>
      </c>
      <c r="AB745" s="371" t="n">
        <v>0</v>
      </c>
      <c r="AC745" s="371" t="inlineStr">
        <is>
          <t>-</t>
        </is>
      </c>
      <c r="AD745" s="373" t="n">
        <v>56042</v>
      </c>
      <c r="AE745" s="371" t="n">
        <v>0</v>
      </c>
      <c r="AF745" s="625" t="n">
        <v>0</v>
      </c>
      <c r="AG745" s="205" t="n">
        <v>0</v>
      </c>
      <c r="AH745" s="205" t="n">
        <v>0</v>
      </c>
      <c r="AI745" s="205" t="n">
        <v>0</v>
      </c>
      <c r="AJ745" s="205" t="n">
        <v>0</v>
      </c>
      <c r="AK745" s="205" t="n">
        <v>0</v>
      </c>
      <c r="AL745" s="205" t="n">
        <v>0.01</v>
      </c>
      <c r="AM745" s="205" t="n">
        <v>0</v>
      </c>
      <c r="AN745" s="205" t="inlineStr">
        <is>
          <t>ចំណូលពីសេវាកម្ម (លើកដាក់ទំនិញ)</t>
        </is>
      </c>
    </row>
    <row r="746">
      <c r="A746" s="222">
        <f>A745+1</f>
        <v/>
      </c>
      <c r="B746" s="224" t="inlineStr">
        <is>
          <t>Trucking &amp; Clearance-Ex</t>
        </is>
      </c>
      <c r="C746" s="224" t="inlineStr">
        <is>
          <t>WANAKA LOGISTICS CO., LTD.</t>
        </is>
      </c>
      <c r="D746" s="225" t="inlineStr">
        <is>
          <t>K005-901907953</t>
        </is>
      </c>
      <c r="E746" s="359" t="inlineStr">
        <is>
          <t>WL25-001778</t>
        </is>
      </c>
      <c r="F746" s="338" t="n">
        <v>45800</v>
      </c>
      <c r="G746" s="226" t="n"/>
      <c r="H746" s="627" t="n"/>
      <c r="I746" s="627" t="n">
        <v>1415861</v>
      </c>
      <c r="J746" s="223" t="inlineStr">
        <is>
          <t>អនុញ្ញាត (បានប្រកាស)</t>
        </is>
      </c>
      <c r="K746" s="628" t="n"/>
      <c r="L746" s="626">
        <f>I746</f>
        <v/>
      </c>
      <c r="M746" s="598">
        <f>I746-L746</f>
        <v/>
      </c>
      <c r="N746" s="223" t="n"/>
      <c r="O746" s="228">
        <f>U746=E746</f>
        <v/>
      </c>
      <c r="P746" s="228">
        <f>MONTH(F746)-MONTH(T746)</f>
        <v/>
      </c>
      <c r="Q746" s="228">
        <f>$B$5=X746</f>
        <v/>
      </c>
      <c r="R746" s="228">
        <f>I746-AD746</f>
        <v/>
      </c>
      <c r="S746" s="371" t="n"/>
      <c r="T746" s="372" t="n">
        <v>45800</v>
      </c>
      <c r="U746" s="371" t="inlineStr">
        <is>
          <t>WL25-001778</t>
        </is>
      </c>
      <c r="V746" s="371" t="n"/>
      <c r="W746" s="371" t="n"/>
      <c r="X746" s="371" t="n"/>
      <c r="Y746" s="371" t="inlineStr">
        <is>
          <t>ហូលីដេ ឌីហ្សាញ (ខេមបូឌា) ឯ.ក</t>
        </is>
      </c>
      <c r="Z746" s="373" t="n"/>
      <c r="AA746" s="373" t="n"/>
      <c r="AB746" s="371" t="n"/>
      <c r="AC746" s="371" t="n"/>
      <c r="AD746" s="373" t="n">
        <v>1415861</v>
      </c>
      <c r="AE746" s="371" t="n"/>
      <c r="AF746" s="625" t="n"/>
    </row>
    <row r="747">
      <c r="A747" s="222">
        <f>A746+1</f>
        <v/>
      </c>
      <c r="B747" s="224" t="inlineStr">
        <is>
          <t>Lift-Off-Ex</t>
        </is>
      </c>
      <c r="C747" s="224" t="inlineStr">
        <is>
          <t>PHNOM PENH AUTONOMOUS PORT "PPAP"</t>
        </is>
      </c>
      <c r="D747" s="225" t="inlineStr">
        <is>
          <t>L001-100044999</t>
        </is>
      </c>
      <c r="E747" s="359" t="inlineStr">
        <is>
          <t>INV20250539881</t>
        </is>
      </c>
      <c r="F747" s="338" t="n">
        <v>45798</v>
      </c>
      <c r="G747" s="226" t="n"/>
      <c r="H747" s="627" t="n"/>
      <c r="I747" s="627" t="n">
        <v>56042</v>
      </c>
      <c r="J747" s="223" t="inlineStr">
        <is>
          <t>អនុញ្ញាត (បានប្រកាស)</t>
        </is>
      </c>
      <c r="K747" s="628" t="n"/>
      <c r="L747" s="626">
        <f>I747</f>
        <v/>
      </c>
      <c r="M747" s="598">
        <f>I747-L747</f>
        <v/>
      </c>
      <c r="N747" s="223" t="n"/>
      <c r="O747" s="228">
        <f>U747=E747</f>
        <v/>
      </c>
      <c r="P747" s="228">
        <f>MONTH(F747)-MONTH(T747)</f>
        <v/>
      </c>
      <c r="Q747" s="228">
        <f>$B$5=X747</f>
        <v/>
      </c>
      <c r="R747" s="228">
        <f>I747-AD747</f>
        <v/>
      </c>
      <c r="S747" s="371" t="n"/>
      <c r="T747" s="372" t="n">
        <v>45798</v>
      </c>
      <c r="U747" s="371" t="inlineStr">
        <is>
          <t>INV20250539881</t>
        </is>
      </c>
      <c r="V747" s="371" t="n">
        <v>0</v>
      </c>
      <c r="W747" s="371" t="inlineStr">
        <is>
          <t>បុគ្គលជាប់អាករ</t>
        </is>
      </c>
      <c r="X747" s="371" t="inlineStr">
        <is>
          <t>L001-901640009</t>
        </is>
      </c>
      <c r="Y747" s="371" t="inlineStr">
        <is>
          <t>ហូលីដេ ឌីហ្សាញ (ខេមបូឌា) ឯ.ក</t>
        </is>
      </c>
      <c r="Z747" s="373" t="n">
        <v>616462</v>
      </c>
      <c r="AA747" s="373" t="n">
        <v>560420</v>
      </c>
      <c r="AB747" s="371" t="n">
        <v>0</v>
      </c>
      <c r="AC747" s="371" t="inlineStr">
        <is>
          <t>-</t>
        </is>
      </c>
      <c r="AD747" s="373" t="n">
        <v>56042</v>
      </c>
      <c r="AE747" s="371" t="n">
        <v>0</v>
      </c>
      <c r="AF747" s="625" t="n">
        <v>0</v>
      </c>
      <c r="AG747" s="205" t="n">
        <v>0</v>
      </c>
      <c r="AH747" s="205" t="n">
        <v>0</v>
      </c>
      <c r="AI747" s="205" t="n">
        <v>0</v>
      </c>
      <c r="AJ747" s="205" t="n">
        <v>0</v>
      </c>
      <c r="AK747" s="205" t="n">
        <v>0</v>
      </c>
      <c r="AL747" s="205" t="n">
        <v>0.01</v>
      </c>
      <c r="AM747" s="205" t="n">
        <v>0</v>
      </c>
      <c r="AN747" s="205" t="inlineStr">
        <is>
          <t>ចំណូលពីសេវាកម្ម (លើកដាក់ទំនិញ)</t>
        </is>
      </c>
    </row>
    <row r="748">
      <c r="A748" s="222">
        <f>A747+1</f>
        <v/>
      </c>
      <c r="B748" s="224" t="inlineStr">
        <is>
          <t>Trucking &amp; Clearance-Ex</t>
        </is>
      </c>
      <c r="C748" s="224" t="inlineStr">
        <is>
          <t>WANAKA LOGISTICS CO., LTD.</t>
        </is>
      </c>
      <c r="D748" s="225" t="inlineStr">
        <is>
          <t>K005-901907953</t>
        </is>
      </c>
      <c r="E748" s="359" t="inlineStr">
        <is>
          <t>WL25-001777</t>
        </is>
      </c>
      <c r="F748" s="338" t="n">
        <v>45800</v>
      </c>
      <c r="G748" s="226" t="n"/>
      <c r="H748" s="627" t="n"/>
      <c r="I748" s="627" t="n">
        <v>332249</v>
      </c>
      <c r="J748" s="223" t="inlineStr">
        <is>
          <t>អនុញ្ញាត (បានប្រកាស)</t>
        </is>
      </c>
      <c r="K748" s="628" t="n"/>
      <c r="L748" s="626">
        <f>I748</f>
        <v/>
      </c>
      <c r="M748" s="598">
        <f>I748-L748</f>
        <v/>
      </c>
      <c r="N748" s="223" t="n"/>
      <c r="O748" s="228">
        <f>U748=E748</f>
        <v/>
      </c>
      <c r="P748" s="228">
        <f>MONTH(F748)-MONTH(T748)</f>
        <v/>
      </c>
      <c r="Q748" s="228">
        <f>$B$5=X748</f>
        <v/>
      </c>
      <c r="R748" s="228">
        <f>I748-AD748</f>
        <v/>
      </c>
      <c r="S748" s="371" t="n"/>
      <c r="T748" s="372" t="n">
        <v>45800</v>
      </c>
      <c r="U748" s="371" t="inlineStr">
        <is>
          <t>WL25-001777</t>
        </is>
      </c>
      <c r="V748" s="371" t="n"/>
      <c r="W748" s="371" t="n"/>
      <c r="X748" s="371" t="n"/>
      <c r="Y748" s="371" t="inlineStr">
        <is>
          <t>ហូលីដេ ឌីហ្សាញ (ខេមបូឌា) ឯ.ក</t>
        </is>
      </c>
      <c r="Z748" s="373" t="n"/>
      <c r="AA748" s="373" t="n"/>
      <c r="AB748" s="371" t="n"/>
      <c r="AC748" s="371" t="n"/>
      <c r="AD748" s="373" t="n">
        <v>332249</v>
      </c>
      <c r="AE748" s="371" t="n"/>
      <c r="AF748" s="625" t="n"/>
    </row>
    <row r="749">
      <c r="A749" s="222">
        <f>A748+1</f>
        <v/>
      </c>
      <c r="B749" s="224" t="inlineStr">
        <is>
          <t>Storage 20&amp;40 Feet Container-Ex</t>
        </is>
      </c>
      <c r="C749" s="224" t="inlineStr">
        <is>
          <t>PHNOM PENH AUTONOMOUS PORT "PPAP"</t>
        </is>
      </c>
      <c r="D749" s="225" t="inlineStr">
        <is>
          <t>L001-100044999</t>
        </is>
      </c>
      <c r="E749" s="359" t="inlineStr">
        <is>
          <t>INV20250542848</t>
        </is>
      </c>
      <c r="F749" s="338" t="n">
        <v>45807</v>
      </c>
      <c r="G749" s="226" t="n"/>
      <c r="H749" s="627" t="n"/>
      <c r="I749" s="627" t="n">
        <v>6008</v>
      </c>
      <c r="J749" s="223" t="inlineStr">
        <is>
          <t>អនុញ្ញាត (បានប្រកាស)</t>
        </is>
      </c>
      <c r="K749" s="628" t="n"/>
      <c r="L749" s="626">
        <f>I749</f>
        <v/>
      </c>
      <c r="M749" s="598">
        <f>I749-L749</f>
        <v/>
      </c>
      <c r="N749" s="223" t="n"/>
      <c r="O749" s="228">
        <f>U749=E749</f>
        <v/>
      </c>
      <c r="P749" s="228">
        <f>MONTH(F749)-MONTH(T749)</f>
        <v/>
      </c>
      <c r="Q749" s="228">
        <f>$B$5=X749</f>
        <v/>
      </c>
      <c r="R749" s="228">
        <f>I749-AD749</f>
        <v/>
      </c>
      <c r="S749" s="371" t="n"/>
      <c r="T749" s="372" t="n">
        <v>45807</v>
      </c>
      <c r="U749" s="371" t="inlineStr">
        <is>
          <t>INV20250542848</t>
        </is>
      </c>
      <c r="V749" s="371" t="n">
        <v>0</v>
      </c>
      <c r="W749" s="371" t="inlineStr">
        <is>
          <t>បុគ្គលជាប់អាករ</t>
        </is>
      </c>
      <c r="X749" s="371" t="inlineStr">
        <is>
          <t>L001-901640009</t>
        </is>
      </c>
      <c r="Y749" s="371" t="inlineStr">
        <is>
          <t>ហូលីដេ ឌីហ្សាញ (ខេមបូឌា) ឯ.ក</t>
        </is>
      </c>
      <c r="Z749" s="373" t="n">
        <v>66088</v>
      </c>
      <c r="AA749" s="373" t="n">
        <v>60080</v>
      </c>
      <c r="AB749" s="371" t="n">
        <v>0</v>
      </c>
      <c r="AC749" s="371" t="inlineStr">
        <is>
          <t>-</t>
        </is>
      </c>
      <c r="AD749" s="373" t="n">
        <v>6008</v>
      </c>
      <c r="AE749" s="371" t="n">
        <v>0</v>
      </c>
      <c r="AF749" s="625" t="n">
        <v>0</v>
      </c>
      <c r="AG749" s="205" t="n">
        <v>0</v>
      </c>
      <c r="AH749" s="205" t="n">
        <v>0</v>
      </c>
      <c r="AI749" s="205" t="n">
        <v>0</v>
      </c>
      <c r="AJ749" s="205" t="n">
        <v>0</v>
      </c>
      <c r="AK749" s="205" t="n">
        <v>0</v>
      </c>
      <c r="AL749" s="205" t="n">
        <v>0.01</v>
      </c>
      <c r="AM749" s="205" t="n">
        <v>0</v>
      </c>
      <c r="AN749" s="205" t="inlineStr">
        <is>
          <t>ចំណូលពីសេវាកម្ម (លើកដាក់ទំនិញ)</t>
        </is>
      </c>
    </row>
    <row r="750">
      <c r="A750" s="222">
        <f>A749+1</f>
        <v/>
      </c>
      <c r="B750" s="224" t="inlineStr">
        <is>
          <t>Lift-Off-Ex</t>
        </is>
      </c>
      <c r="C750" s="224" t="inlineStr">
        <is>
          <t>PHNOM PENH AUTONOMOUS PORT "PPAP"</t>
        </is>
      </c>
      <c r="D750" s="225" t="inlineStr">
        <is>
          <t>L001-100044999</t>
        </is>
      </c>
      <c r="E750" s="359" t="inlineStr">
        <is>
          <t>INV20250539879</t>
        </is>
      </c>
      <c r="F750" s="338" t="n">
        <v>45798</v>
      </c>
      <c r="G750" s="226" t="n"/>
      <c r="H750" s="627" t="n"/>
      <c r="I750" s="627" t="n">
        <v>74456</v>
      </c>
      <c r="J750" s="223" t="inlineStr">
        <is>
          <t>អនុញ្ញាត (បានប្រកាស)</t>
        </is>
      </c>
      <c r="K750" s="628" t="n"/>
      <c r="L750" s="626">
        <f>I750</f>
        <v/>
      </c>
      <c r="M750" s="598">
        <f>I750-L750</f>
        <v/>
      </c>
      <c r="N750" s="223" t="n"/>
      <c r="O750" s="228">
        <f>U750=E750</f>
        <v/>
      </c>
      <c r="P750" s="228">
        <f>MONTH(F750)-MONTH(T750)</f>
        <v/>
      </c>
      <c r="Q750" s="228">
        <f>$B$5=X750</f>
        <v/>
      </c>
      <c r="R750" s="228">
        <f>I750-AD750</f>
        <v/>
      </c>
      <c r="S750" s="371" t="n"/>
      <c r="T750" s="372" t="n">
        <v>45798</v>
      </c>
      <c r="U750" s="371" t="inlineStr">
        <is>
          <t>INV20250539879</t>
        </is>
      </c>
      <c r="V750" s="371" t="n">
        <v>0</v>
      </c>
      <c r="W750" s="371" t="inlineStr">
        <is>
          <t>បុគ្គលជាប់អាករ</t>
        </is>
      </c>
      <c r="X750" s="371" t="inlineStr">
        <is>
          <t>L001-901640009</t>
        </is>
      </c>
      <c r="Y750" s="371" t="inlineStr">
        <is>
          <t>ហូលីដេ ឌីហ្សាញ (ខេមបូឌា) ឯ.ក</t>
        </is>
      </c>
      <c r="Z750" s="373" t="n">
        <v>819016</v>
      </c>
      <c r="AA750" s="373" t="n">
        <v>744560</v>
      </c>
      <c r="AB750" s="371" t="n">
        <v>0</v>
      </c>
      <c r="AC750" s="371" t="inlineStr">
        <is>
          <t>-</t>
        </is>
      </c>
      <c r="AD750" s="373" t="n">
        <v>74456</v>
      </c>
      <c r="AE750" s="371" t="n">
        <v>0</v>
      </c>
      <c r="AF750" s="625" t="n">
        <v>0</v>
      </c>
      <c r="AG750" s="205" t="n">
        <v>0</v>
      </c>
      <c r="AH750" s="205" t="n">
        <v>0</v>
      </c>
      <c r="AI750" s="205" t="n">
        <v>0</v>
      </c>
      <c r="AJ750" s="205" t="n">
        <v>0</v>
      </c>
      <c r="AK750" s="205" t="n">
        <v>0</v>
      </c>
      <c r="AL750" s="205" t="n">
        <v>0.01</v>
      </c>
      <c r="AM750" s="205" t="n">
        <v>0</v>
      </c>
      <c r="AN750" s="205" t="inlineStr">
        <is>
          <t>ចំណូលពីសេវាកម្ម (លើកដាក់ទំនិញ)</t>
        </is>
      </c>
    </row>
    <row r="751">
      <c r="A751" s="222">
        <f>A750+1</f>
        <v/>
      </c>
      <c r="B751" s="224" t="inlineStr">
        <is>
          <t>Trucking &amp; Clearance-Ex</t>
        </is>
      </c>
      <c r="C751" s="224" t="inlineStr">
        <is>
          <t>WANAKA LOGISTICS CO., LTD.</t>
        </is>
      </c>
      <c r="D751" s="225" t="inlineStr">
        <is>
          <t>K005-901907953</t>
        </is>
      </c>
      <c r="E751" s="359" t="inlineStr">
        <is>
          <t>WL25-001776</t>
        </is>
      </c>
      <c r="F751" s="338" t="n">
        <v>45800</v>
      </c>
      <c r="G751" s="226" t="n"/>
      <c r="H751" s="627" t="n"/>
      <c r="I751" s="627" t="n">
        <v>463547</v>
      </c>
      <c r="J751" s="223" t="inlineStr">
        <is>
          <t>អនុញ្ញាត (បានប្រកាស)</t>
        </is>
      </c>
      <c r="K751" s="628" t="n"/>
      <c r="L751" s="626">
        <f>I751</f>
        <v/>
      </c>
      <c r="M751" s="598">
        <f>I751-L751</f>
        <v/>
      </c>
      <c r="N751" s="223" t="n"/>
      <c r="O751" s="228">
        <f>U751=E751</f>
        <v/>
      </c>
      <c r="P751" s="228">
        <f>MONTH(F751)-MONTH(T751)</f>
        <v/>
      </c>
      <c r="Q751" s="228">
        <f>$B$5=X751</f>
        <v/>
      </c>
      <c r="R751" s="228">
        <f>I751-AD751</f>
        <v/>
      </c>
      <c r="S751" s="371" t="n"/>
      <c r="T751" s="372" t="n">
        <v>45800</v>
      </c>
      <c r="U751" s="371" t="inlineStr">
        <is>
          <t>WL25-001776</t>
        </is>
      </c>
      <c r="V751" s="371" t="n"/>
      <c r="W751" s="371" t="n"/>
      <c r="X751" s="371" t="n"/>
      <c r="Y751" s="371" t="inlineStr">
        <is>
          <t>ហូលីដេ ឌីហ្សាញ (ខេមបូឌា) ឯ.ក</t>
        </is>
      </c>
      <c r="Z751" s="373" t="n"/>
      <c r="AA751" s="373" t="n"/>
      <c r="AB751" s="371" t="n"/>
      <c r="AC751" s="371" t="n"/>
      <c r="AD751" s="373" t="n">
        <v>463547</v>
      </c>
      <c r="AE751" s="371" t="n"/>
      <c r="AF751" s="625" t="n"/>
    </row>
    <row r="752">
      <c r="A752" s="222">
        <f>A751+1</f>
        <v/>
      </c>
      <c r="B752" s="224" t="inlineStr">
        <is>
          <t>Trucking &amp; Clearance-Ex</t>
        </is>
      </c>
      <c r="C752" s="224" t="inlineStr">
        <is>
          <t>WANAKA LOGISTICS CO., LTD.</t>
        </is>
      </c>
      <c r="D752" s="225" t="inlineStr">
        <is>
          <t>K005-901907953</t>
        </is>
      </c>
      <c r="E752" s="359" t="inlineStr">
        <is>
          <t>WL25-001775</t>
        </is>
      </c>
      <c r="F752" s="338" t="n">
        <v>45800</v>
      </c>
      <c r="G752" s="226" t="n"/>
      <c r="H752" s="627" t="n"/>
      <c r="I752" s="627" t="n">
        <v>312234</v>
      </c>
      <c r="J752" s="223" t="inlineStr">
        <is>
          <t>អនុញ្ញាត (បានប្រកាស)</t>
        </is>
      </c>
      <c r="K752" s="628" t="n"/>
      <c r="L752" s="626">
        <f>I752</f>
        <v/>
      </c>
      <c r="M752" s="598">
        <f>I752-L752</f>
        <v/>
      </c>
      <c r="N752" s="223" t="n"/>
      <c r="O752" s="228">
        <f>U752=E752</f>
        <v/>
      </c>
      <c r="P752" s="228">
        <f>MONTH(F752)-MONTH(T752)</f>
        <v/>
      </c>
      <c r="Q752" s="228">
        <f>$B$5=X752</f>
        <v/>
      </c>
      <c r="R752" s="228">
        <f>I752-AD752</f>
        <v/>
      </c>
      <c r="S752" s="371" t="n"/>
      <c r="T752" s="372" t="n">
        <v>45800</v>
      </c>
      <c r="U752" s="371" t="inlineStr">
        <is>
          <t>WL25-001775</t>
        </is>
      </c>
      <c r="V752" s="371" t="n"/>
      <c r="W752" s="371" t="n"/>
      <c r="X752" s="371" t="n"/>
      <c r="Y752" s="371" t="inlineStr">
        <is>
          <t>ហូលីដេ ឌីហ្សាញ (ខេមបូឌា) ឯ.ក</t>
        </is>
      </c>
      <c r="Z752" s="373" t="n"/>
      <c r="AA752" s="373" t="n"/>
      <c r="AB752" s="371" t="n"/>
      <c r="AC752" s="371" t="n"/>
      <c r="AD752" s="373" t="n">
        <v>312234</v>
      </c>
      <c r="AE752" s="371" t="n"/>
      <c r="AF752" s="625" t="n"/>
    </row>
    <row r="753">
      <c r="A753" s="222">
        <f>A752+1</f>
        <v/>
      </c>
      <c r="B753" s="224" t="inlineStr">
        <is>
          <t>Lift-Off-Ex</t>
        </is>
      </c>
      <c r="C753" s="224" t="inlineStr">
        <is>
          <t>PHNOM PENH AUTONOMOUS PORT "PPAP"</t>
        </is>
      </c>
      <c r="D753" s="225" t="inlineStr">
        <is>
          <t>L001-100044999</t>
        </is>
      </c>
      <c r="E753" s="359" t="inlineStr">
        <is>
          <t>INV20250539875</t>
        </is>
      </c>
      <c r="F753" s="338" t="n">
        <v>45798</v>
      </c>
      <c r="G753" s="226" t="n"/>
      <c r="H753" s="627" t="n"/>
      <c r="I753" s="627" t="n">
        <v>112084</v>
      </c>
      <c r="J753" s="223" t="inlineStr">
        <is>
          <t>អនុញ្ញាត (បានប្រកាស)</t>
        </is>
      </c>
      <c r="K753" s="628" t="n"/>
      <c r="L753" s="626">
        <f>I753</f>
        <v/>
      </c>
      <c r="M753" s="598">
        <f>I753-L753</f>
        <v/>
      </c>
      <c r="N753" s="223" t="n"/>
      <c r="O753" s="228">
        <f>U753=E753</f>
        <v/>
      </c>
      <c r="P753" s="228">
        <f>MONTH(F753)-MONTH(T753)</f>
        <v/>
      </c>
      <c r="Q753" s="228">
        <f>$B$5=X753</f>
        <v/>
      </c>
      <c r="R753" s="228">
        <f>I753-AD753</f>
        <v/>
      </c>
      <c r="S753" s="371" t="n"/>
      <c r="T753" s="372" t="n">
        <v>45798</v>
      </c>
      <c r="U753" s="371" t="inlineStr">
        <is>
          <t>INV20250539875</t>
        </is>
      </c>
      <c r="V753" s="371" t="n">
        <v>0</v>
      </c>
      <c r="W753" s="371" t="inlineStr">
        <is>
          <t>បុគ្គលជាប់អាករ</t>
        </is>
      </c>
      <c r="X753" s="371" t="inlineStr">
        <is>
          <t>L001-901640009</t>
        </is>
      </c>
      <c r="Y753" s="371" t="inlineStr">
        <is>
          <t>ហូលីដេ ឌីហ្សាញ (ខេមបូឌា) ឯ.ក</t>
        </is>
      </c>
      <c r="Z753" s="373" t="n">
        <v>1232924</v>
      </c>
      <c r="AA753" s="373" t="n">
        <v>1120840</v>
      </c>
      <c r="AB753" s="371" t="n">
        <v>0</v>
      </c>
      <c r="AC753" s="371" t="inlineStr">
        <is>
          <t>-</t>
        </is>
      </c>
      <c r="AD753" s="373" t="n">
        <v>112084</v>
      </c>
      <c r="AE753" s="371" t="n">
        <v>0</v>
      </c>
      <c r="AF753" s="625" t="n">
        <v>0</v>
      </c>
      <c r="AG753" s="205" t="n">
        <v>0</v>
      </c>
      <c r="AH753" s="205" t="n">
        <v>0</v>
      </c>
      <c r="AI753" s="205" t="n">
        <v>0</v>
      </c>
      <c r="AJ753" s="205" t="n">
        <v>0</v>
      </c>
      <c r="AK753" s="205" t="n">
        <v>0</v>
      </c>
      <c r="AL753" s="205" t="n">
        <v>0.01</v>
      </c>
      <c r="AM753" s="205" t="n">
        <v>0</v>
      </c>
      <c r="AN753" s="205" t="inlineStr">
        <is>
          <t>ចំណូលពីសេវាកម្ម (លើកដាក់ទំនិញ)</t>
        </is>
      </c>
    </row>
    <row r="754">
      <c r="A754" s="222">
        <f>A753+1</f>
        <v/>
      </c>
      <c r="B754" s="224" t="inlineStr">
        <is>
          <t>Trucking &amp; Clearance-Ex</t>
        </is>
      </c>
      <c r="C754" s="224" t="inlineStr">
        <is>
          <t>WANAKA LOGISTICS CO., LTD.</t>
        </is>
      </c>
      <c r="D754" s="225" t="inlineStr">
        <is>
          <t>K005-901907953</t>
        </is>
      </c>
      <c r="E754" s="359" t="inlineStr">
        <is>
          <t>WL25-001774</t>
        </is>
      </c>
      <c r="F754" s="338" t="n">
        <v>45800</v>
      </c>
      <c r="G754" s="226" t="n"/>
      <c r="H754" s="627" t="n"/>
      <c r="I754" s="627" t="n">
        <v>624468</v>
      </c>
      <c r="J754" s="223" t="inlineStr">
        <is>
          <t>អនុញ្ញាត (បានប្រកាស)</t>
        </is>
      </c>
      <c r="K754" s="628" t="n"/>
      <c r="L754" s="626">
        <f>I754</f>
        <v/>
      </c>
      <c r="M754" s="598">
        <f>I754-L754</f>
        <v/>
      </c>
      <c r="N754" s="223" t="n"/>
      <c r="O754" s="228">
        <f>U754=E754</f>
        <v/>
      </c>
      <c r="P754" s="228">
        <f>MONTH(F754)-MONTH(T754)</f>
        <v/>
      </c>
      <c r="Q754" s="228">
        <f>$B$5=X754</f>
        <v/>
      </c>
      <c r="R754" s="228">
        <f>I754-AD754</f>
        <v/>
      </c>
      <c r="S754" s="371" t="n"/>
      <c r="T754" s="372" t="n">
        <v>45800</v>
      </c>
      <c r="U754" s="371" t="inlineStr">
        <is>
          <t>WL25-001774</t>
        </is>
      </c>
      <c r="V754" s="371" t="n"/>
      <c r="W754" s="371" t="n"/>
      <c r="X754" s="371" t="n"/>
      <c r="Y754" s="371" t="inlineStr">
        <is>
          <t>ហូលីដេ ឌីហ្សាញ (ខេមបូឌា) ឯ.ក</t>
        </is>
      </c>
      <c r="Z754" s="373" t="n"/>
      <c r="AA754" s="373" t="n"/>
      <c r="AB754" s="371" t="n"/>
      <c r="AC754" s="371" t="n"/>
      <c r="AD754" s="373" t="n">
        <v>624468</v>
      </c>
      <c r="AE754" s="371" t="n"/>
      <c r="AF754" s="625" t="n"/>
    </row>
    <row r="755">
      <c r="A755" s="222">
        <f>A754+1</f>
        <v/>
      </c>
      <c r="B755" s="224" t="inlineStr">
        <is>
          <t>Lift-Off-Ex</t>
        </is>
      </c>
      <c r="C755" s="224" t="inlineStr">
        <is>
          <t>PHNOM PENH AUTONOMOUS PORT "PPAP"</t>
        </is>
      </c>
      <c r="D755" s="225" t="inlineStr">
        <is>
          <t>L001-100044999</t>
        </is>
      </c>
      <c r="E755" s="359" t="inlineStr">
        <is>
          <t>INV20250539894</t>
        </is>
      </c>
      <c r="F755" s="338" t="n">
        <v>45798</v>
      </c>
      <c r="G755" s="226" t="n"/>
      <c r="H755" s="627" t="n"/>
      <c r="I755" s="627" t="n">
        <v>28021</v>
      </c>
      <c r="J755" s="223" t="inlineStr">
        <is>
          <t>អនុញ្ញាត (បានប្រកាស)</t>
        </is>
      </c>
      <c r="K755" s="628" t="n"/>
      <c r="L755" s="626">
        <f>I755</f>
        <v/>
      </c>
      <c r="M755" s="598">
        <f>I755-L755</f>
        <v/>
      </c>
      <c r="N755" s="223" t="n"/>
      <c r="O755" s="228">
        <f>U755=E755</f>
        <v/>
      </c>
      <c r="P755" s="228">
        <f>MONTH(F755)-MONTH(T755)</f>
        <v/>
      </c>
      <c r="Q755" s="228">
        <f>$B$5=X755</f>
        <v/>
      </c>
      <c r="R755" s="228">
        <f>I755-AD755</f>
        <v/>
      </c>
      <c r="S755" s="371" t="n"/>
      <c r="T755" s="372" t="n">
        <v>45798</v>
      </c>
      <c r="U755" s="371" t="inlineStr">
        <is>
          <t>INV20250539894</t>
        </is>
      </c>
      <c r="V755" s="371" t="n">
        <v>0</v>
      </c>
      <c r="W755" s="371" t="inlineStr">
        <is>
          <t>បុគ្គលជាប់អាករ</t>
        </is>
      </c>
      <c r="X755" s="371" t="inlineStr">
        <is>
          <t>L001-901640009</t>
        </is>
      </c>
      <c r="Y755" s="371" t="inlineStr">
        <is>
          <t>ហូលីដេ ឌីហ្សាញ (ខេមបូឌា) ឯ.ក</t>
        </is>
      </c>
      <c r="Z755" s="373" t="n">
        <v>308231</v>
      </c>
      <c r="AA755" s="373" t="n">
        <v>280210</v>
      </c>
      <c r="AB755" s="371" t="n">
        <v>0</v>
      </c>
      <c r="AC755" s="371" t="inlineStr">
        <is>
          <t>-</t>
        </is>
      </c>
      <c r="AD755" s="373" t="n">
        <v>28021</v>
      </c>
      <c r="AE755" s="371" t="n">
        <v>0</v>
      </c>
      <c r="AF755" s="625" t="n">
        <v>0</v>
      </c>
      <c r="AG755" s="205" t="n">
        <v>0</v>
      </c>
      <c r="AH755" s="205" t="n">
        <v>0</v>
      </c>
      <c r="AI755" s="205" t="n">
        <v>0</v>
      </c>
      <c r="AJ755" s="205" t="n">
        <v>0</v>
      </c>
      <c r="AK755" s="205" t="n">
        <v>0</v>
      </c>
      <c r="AL755" s="205" t="n">
        <v>0.01</v>
      </c>
      <c r="AM755" s="205" t="n">
        <v>0</v>
      </c>
      <c r="AN755" s="205" t="inlineStr">
        <is>
          <t>ចំណូលពីសេវាកម្ម (លើកដាក់ទំនិញ)</t>
        </is>
      </c>
    </row>
    <row r="756">
      <c r="A756" s="222">
        <f>A755+1</f>
        <v/>
      </c>
      <c r="B756" s="224" t="inlineStr">
        <is>
          <t>Trucking &amp; Clearance-Ex</t>
        </is>
      </c>
      <c r="C756" s="224" t="inlineStr">
        <is>
          <t>WANAKA LOGISTICS CO., LTD.</t>
        </is>
      </c>
      <c r="D756" s="225" t="inlineStr">
        <is>
          <t>K005-901907953</t>
        </is>
      </c>
      <c r="E756" s="359" t="inlineStr">
        <is>
          <t>WL25-001773</t>
        </is>
      </c>
      <c r="F756" s="338" t="n">
        <v>45800</v>
      </c>
      <c r="G756" s="226" t="n"/>
      <c r="H756" s="627" t="n"/>
      <c r="I756" s="627" t="n">
        <v>157318</v>
      </c>
      <c r="J756" s="223" t="inlineStr">
        <is>
          <t>អនុញ្ញាត (បានប្រកាស)</t>
        </is>
      </c>
      <c r="K756" s="628" t="n"/>
      <c r="L756" s="626">
        <f>I756</f>
        <v/>
      </c>
      <c r="M756" s="598">
        <f>I756-L756</f>
        <v/>
      </c>
      <c r="N756" s="223" t="n"/>
      <c r="O756" s="228">
        <f>U756=E756</f>
        <v/>
      </c>
      <c r="P756" s="228">
        <f>MONTH(F756)-MONTH(T756)</f>
        <v/>
      </c>
      <c r="Q756" s="228">
        <f>$B$5=X756</f>
        <v/>
      </c>
      <c r="R756" s="228">
        <f>I756-AD756</f>
        <v/>
      </c>
      <c r="S756" s="371" t="n"/>
      <c r="T756" s="372" t="n">
        <v>45800</v>
      </c>
      <c r="U756" s="371" t="inlineStr">
        <is>
          <t>WL25-001773</t>
        </is>
      </c>
      <c r="V756" s="371" t="n"/>
      <c r="W756" s="371" t="n"/>
      <c r="X756" s="371" t="n"/>
      <c r="Y756" s="371" t="inlineStr">
        <is>
          <t>ហូលីដេ ឌីហ្សាញ (ខេមបូឌា) ឯ.ក</t>
        </is>
      </c>
      <c r="Z756" s="373" t="n"/>
      <c r="AA756" s="373" t="n"/>
      <c r="AB756" s="371" t="n"/>
      <c r="AC756" s="371" t="n"/>
      <c r="AD756" s="373" t="n">
        <v>157318</v>
      </c>
      <c r="AE756" s="371" t="n"/>
      <c r="AF756" s="625" t="n"/>
    </row>
    <row r="757">
      <c r="A757" s="222">
        <f>A756+1</f>
        <v/>
      </c>
      <c r="B757" s="224" t="inlineStr">
        <is>
          <t>Lift-Off-Ex</t>
        </is>
      </c>
      <c r="C757" s="224" t="inlineStr">
        <is>
          <t>PHNOM PENH AUTONOMOUS PORT "PPAP"</t>
        </is>
      </c>
      <c r="D757" s="225" t="inlineStr">
        <is>
          <t>L001-100044999</t>
        </is>
      </c>
      <c r="E757" s="359" t="inlineStr">
        <is>
          <t>INV20250539887</t>
        </is>
      </c>
      <c r="F757" s="338" t="n">
        <v>45798</v>
      </c>
      <c r="G757" s="226" t="n"/>
      <c r="H757" s="627" t="n"/>
      <c r="I757" s="627" t="n">
        <v>28021</v>
      </c>
      <c r="J757" s="223" t="inlineStr">
        <is>
          <t>អនុញ្ញាត (បានប្រកាស)</t>
        </is>
      </c>
      <c r="K757" s="628" t="n"/>
      <c r="L757" s="626">
        <f>I757</f>
        <v/>
      </c>
      <c r="M757" s="598">
        <f>I757-L757</f>
        <v/>
      </c>
      <c r="N757" s="223" t="n"/>
      <c r="O757" s="228">
        <f>U757=E757</f>
        <v/>
      </c>
      <c r="P757" s="228">
        <f>MONTH(F757)-MONTH(T757)+YEAR(F757)-YEAR(T757)</f>
        <v/>
      </c>
      <c r="Q757" s="228">
        <f>$B$5=X757</f>
        <v/>
      </c>
      <c r="R757" s="228">
        <f>I757-AD757</f>
        <v/>
      </c>
      <c r="S757" s="371" t="n"/>
      <c r="T757" s="372" t="n">
        <v>45433</v>
      </c>
      <c r="U757" s="371" t="inlineStr">
        <is>
          <t>INV20250539887</t>
        </is>
      </c>
      <c r="V757" s="371" t="n">
        <v>0</v>
      </c>
      <c r="W757" s="371" t="inlineStr">
        <is>
          <t>បុគ្គលជាប់អាករ</t>
        </is>
      </c>
      <c r="X757" s="371" t="inlineStr">
        <is>
          <t>L001-901640009</t>
        </is>
      </c>
      <c r="Y757" s="371" t="inlineStr">
        <is>
          <t>ហូលីដេ ឌីហ្សាញ (ខេមបូឌា) ឯ.ក</t>
        </is>
      </c>
      <c r="Z757" s="373" t="n">
        <v>308231</v>
      </c>
      <c r="AA757" s="373" t="n">
        <v>280210</v>
      </c>
      <c r="AB757" s="371" t="n">
        <v>0</v>
      </c>
      <c r="AC757" s="371" t="inlineStr">
        <is>
          <t>-</t>
        </is>
      </c>
      <c r="AD757" s="373" t="n">
        <v>28021</v>
      </c>
      <c r="AE757" s="371" t="n">
        <v>0</v>
      </c>
      <c r="AF757" s="625" t="n">
        <v>0</v>
      </c>
      <c r="AG757" s="205" t="n">
        <v>0</v>
      </c>
      <c r="AH757" s="205" t="n">
        <v>0</v>
      </c>
      <c r="AI757" s="205" t="n">
        <v>0</v>
      </c>
      <c r="AJ757" s="205" t="n">
        <v>0</v>
      </c>
      <c r="AK757" s="205" t="n">
        <v>0</v>
      </c>
      <c r="AL757" s="205" t="n">
        <v>0.01</v>
      </c>
      <c r="AM757" s="205" t="n">
        <v>0</v>
      </c>
      <c r="AN757" s="205" t="inlineStr">
        <is>
          <t>ចំណូលពីសេវាកម្ម (លើកដាក់ទំនិញ)</t>
        </is>
      </c>
    </row>
    <row r="758">
      <c r="A758" s="222">
        <f>A757+1</f>
        <v/>
      </c>
      <c r="B758" s="224" t="inlineStr">
        <is>
          <t>Handling Fee,FCR Fee</t>
        </is>
      </c>
      <c r="C758" s="224" t="inlineStr">
        <is>
          <t>CENTURY DISTRIBUTION SYSTEMS (CAMBODIA) CO., LTD.</t>
        </is>
      </c>
      <c r="D758" s="225" t="inlineStr">
        <is>
          <t>L001-902205494</t>
        </is>
      </c>
      <c r="E758" s="359" t="inlineStr">
        <is>
          <t>CDS202504-2521</t>
        </is>
      </c>
      <c r="F758" s="338" t="n">
        <v>45755</v>
      </c>
      <c r="G758" s="226" t="n"/>
      <c r="H758" s="627" t="n"/>
      <c r="I758" s="627" t="n">
        <v>144072</v>
      </c>
      <c r="J758" s="223" t="inlineStr">
        <is>
          <t>អនុញ្ញាត (បានប្រកាស)</t>
        </is>
      </c>
      <c r="K758" s="628" t="n"/>
      <c r="L758" s="626">
        <f>I758</f>
        <v/>
      </c>
      <c r="M758" s="598">
        <f>I758-L758</f>
        <v/>
      </c>
      <c r="N758" s="223" t="n"/>
      <c r="O758" s="228">
        <f>U758=E758</f>
        <v/>
      </c>
      <c r="P758" s="228">
        <f>MONTH(F758)-MONTH(T758)</f>
        <v/>
      </c>
      <c r="Q758" s="228">
        <f>$B$5=X758</f>
        <v/>
      </c>
      <c r="R758" s="228">
        <f>I758-AD758</f>
        <v/>
      </c>
      <c r="S758" s="371" t="n"/>
      <c r="T758" s="374" t="n">
        <v>45755</v>
      </c>
      <c r="U758" s="371" t="inlineStr">
        <is>
          <t>CDS202504-2521</t>
        </is>
      </c>
      <c r="V758" s="371" t="n">
        <v>0</v>
      </c>
      <c r="W758" s="371" t="inlineStr">
        <is>
          <t>បុគ្គលជាប់អាករ</t>
        </is>
      </c>
      <c r="X758" s="371" t="inlineStr">
        <is>
          <t>L001-901640009</t>
        </is>
      </c>
      <c r="Y758" s="371" t="inlineStr">
        <is>
          <t>ហូលីដេ ឌីហ្សាញ (ខេមបូឌា) ឯ.ក</t>
        </is>
      </c>
      <c r="Z758" s="373" t="n">
        <v>1584792</v>
      </c>
      <c r="AA758" s="373" t="n">
        <v>1440720</v>
      </c>
      <c r="AB758" s="371" t="n">
        <v>0</v>
      </c>
      <c r="AC758" s="371" t="inlineStr">
        <is>
          <t>-</t>
        </is>
      </c>
      <c r="AD758" s="373" t="n">
        <v>144072</v>
      </c>
      <c r="AE758" s="371" t="n">
        <v>0</v>
      </c>
      <c r="AF758" s="625" t="n">
        <v>0</v>
      </c>
      <c r="AG758" s="205" t="n">
        <v>0</v>
      </c>
      <c r="AH758" s="205" t="n">
        <v>0</v>
      </c>
      <c r="AI758" s="205" t="n">
        <v>0</v>
      </c>
      <c r="AJ758" s="205" t="n">
        <v>0</v>
      </c>
      <c r="AK758" s="205" t="n">
        <v>0</v>
      </c>
      <c r="AL758" s="205" t="n">
        <v>0.01</v>
      </c>
      <c r="AM758" s="205" t="n">
        <v>0</v>
      </c>
      <c r="AN758" s="205" t="inlineStr">
        <is>
          <t>OCEAN SHIPPING LOCAL CHARGES</t>
        </is>
      </c>
      <c r="AO758" s="205" t="inlineStr">
        <is>
          <t>បានប្រកាសនិងបង់ពន្ធ</t>
        </is>
      </c>
    </row>
    <row r="759" ht="25.2" customHeight="1" s="408">
      <c r="A759" s="222" t="n"/>
      <c r="B759" s="230" t="n"/>
      <c r="C759" s="230" t="n"/>
      <c r="D759" s="231" t="n"/>
      <c r="E759" s="630" t="n"/>
      <c r="F759" s="631" t="n"/>
      <c r="G759" s="226" t="n"/>
      <c r="H759" s="632" t="n"/>
      <c r="I759" s="633" t="n"/>
      <c r="J759" s="625" t="n"/>
      <c r="K759" s="583" t="n"/>
      <c r="L759" s="626" t="n"/>
    </row>
    <row r="760" ht="25.2" customHeight="1" s="408">
      <c r="A760" s="236" t="inlineStr">
        <is>
          <t>Total</t>
        </is>
      </c>
      <c r="B760" s="236" t="n"/>
      <c r="C760" s="236" t="n"/>
      <c r="D760" s="236" t="n"/>
      <c r="E760" s="236" t="n"/>
      <c r="F760" s="236" t="n"/>
      <c r="G760" s="236" t="n"/>
      <c r="H760" s="236" t="n"/>
      <c r="I760" s="634">
        <f>SUM(I10:I758)</f>
        <v/>
      </c>
      <c r="J760" s="223" t="n"/>
      <c r="K760" s="626" t="n"/>
      <c r="L760" s="634">
        <f>SUM(L10:L758)</f>
        <v/>
      </c>
      <c r="M760" s="634">
        <f>SUM(M10:M758)</f>
        <v/>
      </c>
      <c r="N760" s="635" t="n"/>
    </row>
    <row r="762" customFormat="1" s="240">
      <c r="A762" s="248" t="inlineStr">
        <is>
          <t>តារាងសង្ខេបប្រាក់អាករដែលអាចស្នើសុំបង្វិលសង ហូលីដេ ឌីហ្សាញ (ខេមបូឌា) ឯ.ក</t>
        </is>
      </c>
      <c r="B762" s="205" t="n"/>
      <c r="C762" s="205" t="n"/>
      <c r="D762" s="205" t="n"/>
      <c r="E762" s="205" t="n"/>
      <c r="F762" s="205" t="n"/>
      <c r="G762" s="205" t="n"/>
      <c r="H762" s="205" t="n"/>
      <c r="I762" s="205" t="n"/>
      <c r="J762" s="441" t="n"/>
      <c r="K762" s="441" t="n"/>
      <c r="L762" s="636" t="n"/>
      <c r="M762" s="637" t="n"/>
      <c r="N762" s="637" t="n"/>
      <c r="O762" s="241" t="n"/>
      <c r="P762" s="241" t="n"/>
      <c r="Q762" s="241" t="n"/>
      <c r="R762" s="241" t="n"/>
      <c r="S762" s="340" t="n"/>
      <c r="T762" s="637" t="n"/>
      <c r="U762" s="637" t="n"/>
      <c r="V762" s="637" t="n"/>
      <c r="W762" s="637" t="n"/>
      <c r="X762" s="637" t="n"/>
      <c r="Y762" s="637" t="n"/>
      <c r="Z762" s="637" t="n"/>
      <c r="AA762" s="637" t="n"/>
      <c r="AB762" s="637" t="n"/>
      <c r="AC762" s="637" t="n"/>
      <c r="AD762" s="637" t="n"/>
      <c r="AE762" s="637" t="n"/>
      <c r="AF762" s="241" t="n"/>
      <c r="AG762" s="241" t="n"/>
      <c r="AI762" s="241" t="n"/>
      <c r="AJ762" s="241" t="n"/>
    </row>
    <row r="763" ht="24.6" customFormat="1" customHeight="1" s="240">
      <c r="A763" s="236" t="inlineStr">
        <is>
          <t>ចំនួន.វិ</t>
        </is>
      </c>
      <c r="B763" s="236" t="inlineStr">
        <is>
          <t>បរិយាយ</t>
        </is>
      </c>
      <c r="C763" s="361" t="inlineStr">
        <is>
          <t>ចំនួនទឹកប្រាក់</t>
        </is>
      </c>
      <c r="D763" s="255" t="inlineStr">
        <is>
          <t>តាង</t>
        </is>
      </c>
      <c r="E763" s="255" t="inlineStr">
        <is>
          <t>ផ្សេងៗ</t>
        </is>
      </c>
      <c r="K763" s="470" t="n"/>
      <c r="L763" s="636" t="n"/>
      <c r="M763" s="637" t="n"/>
      <c r="N763" s="637" t="n"/>
      <c r="O763" s="241" t="n"/>
      <c r="P763" s="241" t="n"/>
      <c r="Q763" s="241" t="n"/>
      <c r="R763" s="241" t="n"/>
      <c r="S763" s="340" t="n"/>
      <c r="T763" s="637" t="n"/>
      <c r="U763" s="637" t="n"/>
      <c r="V763" s="637" t="n"/>
      <c r="W763" s="637" t="n"/>
      <c r="X763" s="637" t="n"/>
      <c r="Y763" s="637" t="n"/>
      <c r="Z763" s="637" t="n"/>
      <c r="AA763" s="637" t="n"/>
      <c r="AB763" s="637" t="n"/>
      <c r="AC763" s="637" t="n"/>
      <c r="AD763" s="637" t="n"/>
      <c r="AE763" s="637" t="n"/>
      <c r="AF763" s="241" t="n"/>
      <c r="AG763" s="242" t="n"/>
      <c r="AI763" s="241" t="n"/>
      <c r="AJ763" s="241" t="n"/>
    </row>
    <row r="764" customFormat="1" s="240">
      <c r="A764" s="222" t="n"/>
      <c r="B764" s="223" t="inlineStr">
        <is>
          <t>ចំនួនប្រាក់អាករលើការនាំចូល</t>
        </is>
      </c>
      <c r="C764" s="638">
        <f>'Annex II-IM Non-State Charge'!G17</f>
        <v/>
      </c>
      <c r="D764" s="250" t="n"/>
      <c r="E764" s="250" t="n"/>
      <c r="K764" s="443" t="n"/>
      <c r="L764" s="636" t="n"/>
      <c r="M764" s="637" t="n"/>
      <c r="N764" s="637" t="n"/>
      <c r="O764" s="241" t="n"/>
      <c r="P764" s="241" t="n"/>
      <c r="Q764" s="241" t="n"/>
      <c r="R764" s="241" t="n"/>
      <c r="S764" s="340" t="n"/>
      <c r="T764" s="637" t="n"/>
      <c r="U764" s="637" t="n"/>
      <c r="V764" s="637" t="n"/>
      <c r="W764" s="637" t="n"/>
      <c r="X764" s="637" t="n"/>
      <c r="Y764" s="637" t="n"/>
      <c r="Z764" s="637" t="n"/>
      <c r="AA764" s="637" t="n"/>
      <c r="AB764" s="637" t="n"/>
      <c r="AC764" s="637" t="n"/>
      <c r="AD764" s="637" t="n"/>
      <c r="AE764" s="637" t="n"/>
      <c r="AF764" s="241" t="n"/>
      <c r="AG764" s="242" t="n"/>
      <c r="AI764" s="241" t="n"/>
      <c r="AJ764" s="241" t="n"/>
    </row>
    <row r="765" customFormat="1" s="240">
      <c r="A765" s="618" t="n"/>
      <c r="B765" s="223" t="inlineStr">
        <is>
          <t>ចំនួនប្រាក់អាករលើធាតុចូលទិញក្នុងស្រុក</t>
        </is>
      </c>
      <c r="C765" s="638">
        <f>I760</f>
        <v/>
      </c>
      <c r="D765" s="250" t="n"/>
      <c r="E765" s="250" t="n"/>
      <c r="F765" s="252" t="n"/>
      <c r="G765" s="205" t="n"/>
      <c r="H765" s="597" t="n"/>
      <c r="I765" s="443" t="n"/>
      <c r="J765" s="441" t="n"/>
      <c r="K765" s="441" t="n"/>
      <c r="L765" s="636" t="n"/>
      <c r="M765" s="637" t="n"/>
      <c r="N765" s="637" t="n"/>
      <c r="O765" s="241" t="n"/>
      <c r="P765" s="241" t="n"/>
      <c r="Q765" s="241" t="n"/>
      <c r="R765" s="241" t="n"/>
      <c r="S765" s="340" t="n"/>
      <c r="T765" s="637" t="n"/>
      <c r="U765" s="637" t="n"/>
      <c r="V765" s="637" t="n"/>
      <c r="W765" s="637" t="n"/>
      <c r="X765" s="637" t="n"/>
      <c r="Y765" s="637" t="n"/>
      <c r="Z765" s="637" t="n"/>
      <c r="AA765" s="637" t="n"/>
      <c r="AB765" s="637" t="n"/>
      <c r="AC765" s="637" t="n"/>
      <c r="AD765" s="637" t="n"/>
      <c r="AE765" s="637" t="n"/>
      <c r="AF765" s="241" t="n"/>
      <c r="AG765" s="242" t="n"/>
      <c r="AI765" s="241" t="n"/>
      <c r="AJ765" s="241" t="n"/>
    </row>
    <row r="766" customFormat="1" s="240">
      <c r="A766" s="618" t="n"/>
      <c r="B766" s="253" t="inlineStr">
        <is>
          <t>ចំនួនប្រាក់អាករលើធាតុចូលសរុប</t>
        </is>
      </c>
      <c r="C766" s="639">
        <f>C764+C765</f>
        <v/>
      </c>
      <c r="D766" s="255" t="n"/>
      <c r="E766" s="250" t="n"/>
      <c r="F766" s="252" t="n"/>
      <c r="G766" s="205" t="n"/>
      <c r="H766" s="597" t="n"/>
      <c r="I766" s="249" t="n"/>
      <c r="J766" s="441" t="n"/>
      <c r="K766" s="441" t="n"/>
      <c r="L766" s="636" t="n"/>
      <c r="M766" s="637" t="n"/>
      <c r="N766" s="637" t="n"/>
      <c r="O766" s="241" t="n"/>
      <c r="P766" s="241" t="n"/>
      <c r="Q766" s="241" t="n"/>
      <c r="R766" s="241" t="n"/>
      <c r="S766" s="340" t="n"/>
      <c r="T766" s="637" t="n"/>
      <c r="U766" s="637" t="n"/>
      <c r="V766" s="637" t="n"/>
      <c r="W766" s="637" t="n"/>
      <c r="X766" s="637" t="n"/>
      <c r="Y766" s="637" t="n"/>
      <c r="Z766" s="637" t="n"/>
      <c r="AA766" s="637" t="n"/>
      <c r="AB766" s="637" t="n"/>
      <c r="AC766" s="637" t="n"/>
      <c r="AD766" s="637" t="n"/>
      <c r="AE766" s="637" t="n"/>
      <c r="AF766" s="241" t="n"/>
      <c r="AG766" s="241" t="n"/>
      <c r="AI766" s="241" t="n"/>
      <c r="AJ766" s="241" t="n"/>
    </row>
    <row r="767" customFormat="1" s="240">
      <c r="A767" s="618" t="n"/>
      <c r="B767" s="223" t="inlineStr">
        <is>
          <t>ចំនួនប្រាក់អាករលើធាតុចេញលក់ក្នុងស្រុក</t>
        </is>
      </c>
      <c r="C767" s="638">
        <f>'Annex V-Local Sale'!G12</f>
        <v/>
      </c>
      <c r="D767" s="255" t="n"/>
      <c r="E767" s="250" t="n"/>
      <c r="F767" s="252" t="n"/>
      <c r="G767" s="205" t="n"/>
      <c r="H767" s="597" t="n"/>
      <c r="I767" s="249" t="n"/>
      <c r="J767" s="441" t="n"/>
      <c r="K767" s="441" t="n"/>
      <c r="L767" s="636" t="n"/>
      <c r="M767" s="637" t="n"/>
      <c r="N767" s="637" t="n"/>
      <c r="O767" s="360" t="n"/>
      <c r="P767" s="360" t="n"/>
      <c r="Q767" s="360" t="n"/>
      <c r="R767" s="360" t="n"/>
      <c r="S767" s="340" t="n"/>
      <c r="T767" s="637" t="n"/>
      <c r="U767" s="637" t="n"/>
      <c r="V767" s="637" t="n"/>
      <c r="W767" s="637" t="n"/>
      <c r="X767" s="637" t="n"/>
      <c r="Y767" s="637" t="n"/>
      <c r="Z767" s="637" t="n"/>
      <c r="AA767" s="637" t="n"/>
      <c r="AB767" s="637" t="n"/>
      <c r="AC767" s="637" t="n"/>
      <c r="AD767" s="637" t="n"/>
      <c r="AE767" s="637" t="n"/>
      <c r="AF767" s="241" t="n"/>
      <c r="AG767" s="241" t="n"/>
      <c r="AI767" s="241" t="n"/>
      <c r="AJ767" s="241" t="n"/>
    </row>
    <row r="768" customFormat="1" s="240">
      <c r="A768" s="618" t="n"/>
      <c r="B768" s="253" t="inlineStr">
        <is>
          <t>ចំនួនប្រាក់អាករលើធាតុចេញសរុប</t>
        </is>
      </c>
      <c r="C768" s="638">
        <f>C767</f>
        <v/>
      </c>
      <c r="D768" s="255" t="n"/>
      <c r="E768" s="250" t="n"/>
      <c r="F768" s="252" t="n"/>
      <c r="G768" s="205" t="n"/>
      <c r="H768" s="597" t="n"/>
      <c r="I768" s="249" t="n"/>
      <c r="J768" s="441" t="n"/>
      <c r="K768" s="441" t="n"/>
      <c r="L768" s="636" t="n"/>
      <c r="M768" s="637" t="n"/>
      <c r="N768" s="637" t="n"/>
      <c r="O768" s="360" t="n"/>
      <c r="P768" s="360" t="n"/>
      <c r="Q768" s="360" t="n"/>
      <c r="R768" s="360" t="n"/>
      <c r="S768" s="340" t="n"/>
      <c r="T768" s="637" t="n"/>
      <c r="U768" s="637" t="n"/>
      <c r="V768" s="637" t="n"/>
      <c r="W768" s="637" t="n"/>
      <c r="X768" s="637" t="n"/>
      <c r="Y768" s="637" t="n"/>
      <c r="Z768" s="637" t="n"/>
      <c r="AA768" s="637" t="n"/>
      <c r="AB768" s="637" t="n"/>
      <c r="AC768" s="637" t="n"/>
      <c r="AD768" s="637" t="n"/>
      <c r="AE768" s="637" t="n"/>
      <c r="AF768" s="241" t="n"/>
      <c r="AG768" s="241" t="n"/>
      <c r="AI768" s="241" t="n"/>
      <c r="AJ768" s="241" t="n"/>
    </row>
    <row r="769" customFormat="1" s="240">
      <c r="A769" s="618" t="n"/>
      <c r="B769" s="257" t="inlineStr">
        <is>
          <t>ចំនួនប្រាក់អាករដែលអាចធ្វើការផ្ទៀងផ្ទាត់</t>
        </is>
      </c>
      <c r="C769" s="640">
        <f>C766-C768</f>
        <v/>
      </c>
      <c r="D769" s="255" t="n"/>
      <c r="E769" s="641" t="n"/>
      <c r="F769" s="252" t="n"/>
      <c r="G769" s="205" t="n"/>
      <c r="H769" s="597" t="n"/>
      <c r="I769" s="249" t="n"/>
      <c r="J769" s="441" t="n"/>
      <c r="K769" s="441" t="n"/>
      <c r="L769" s="636" t="n"/>
      <c r="M769" s="637" t="n"/>
      <c r="N769" s="637" t="inlineStr">
        <is>
          <t>ហូលីដេ ឌីហ្សាញ (ខេមបូឌា) ឯ.ក</t>
        </is>
      </c>
      <c r="O769" s="360" t="n"/>
      <c r="P769" s="360" t="n"/>
      <c r="Q769" s="360" t="n"/>
      <c r="R769" s="360" t="n"/>
      <c r="S769" s="340" t="n"/>
      <c r="T769" s="637" t="n"/>
      <c r="U769" s="637" t="n"/>
      <c r="V769" s="637" t="n"/>
      <c r="W769" s="637" t="n"/>
      <c r="X769" s="637" t="n"/>
      <c r="Y769" s="637" t="n"/>
      <c r="Z769" s="637" t="n"/>
      <c r="AA769" s="637" t="n"/>
      <c r="AB769" s="637" t="n"/>
      <c r="AC769" s="637" t="n"/>
      <c r="AD769" s="637" t="n"/>
      <c r="AE769" s="637" t="n"/>
      <c r="AF769" s="241" t="n"/>
      <c r="AG769" s="241" t="n"/>
      <c r="AI769" s="241" t="n"/>
      <c r="AJ769" s="241" t="n"/>
    </row>
    <row r="770" customFormat="1" s="240">
      <c r="A770" s="574" t="n"/>
      <c r="B770" s="236" t="inlineStr">
        <is>
          <t>ចំនួនប្រាក់អាករស្នើសុំតាមប្រព័ន្ធ E-VAT</t>
        </is>
      </c>
      <c r="C770" s="634">
        <f>'Company information'!H9</f>
        <v/>
      </c>
      <c r="D770" s="255" t="inlineStr">
        <is>
          <t>ក</t>
        </is>
      </c>
      <c r="E770" s="223" t="n"/>
      <c r="F770" s="249" t="n"/>
      <c r="G770" s="205" t="n"/>
      <c r="H770" s="597" t="n"/>
      <c r="I770" s="249" t="n"/>
      <c r="J770" s="441" t="n"/>
      <c r="K770" s="441" t="n"/>
      <c r="L770" s="636" t="n"/>
      <c r="M770" s="637" t="n"/>
      <c r="N770" s="377" t="n"/>
      <c r="O770" s="241" t="n"/>
      <c r="P770" s="241" t="n"/>
      <c r="Q770" s="241" t="n"/>
      <c r="R770" s="241" t="n"/>
      <c r="S770" s="340" t="n"/>
      <c r="T770" s="637" t="n"/>
      <c r="U770" s="637" t="n"/>
      <c r="V770" s="637" t="n"/>
      <c r="W770" s="637" t="n"/>
      <c r="X770" s="637" t="n"/>
      <c r="Y770" s="637" t="n"/>
      <c r="Z770" s="637" t="n"/>
      <c r="AA770" s="637" t="n"/>
      <c r="AB770" s="637" t="n"/>
      <c r="AC770" s="637" t="n"/>
      <c r="AD770" s="637" t="n"/>
      <c r="AE770" s="637" t="n"/>
      <c r="AF770" s="241" t="n"/>
      <c r="AG770" s="241" t="n"/>
      <c r="AH770" s="442" t="n"/>
      <c r="AI770" s="241" t="n"/>
      <c r="AJ770" s="241" t="n"/>
    </row>
    <row r="771" ht="40.2" customFormat="1" customHeight="1" s="240">
      <c r="A771" s="387">
        <f>COUNTIF($J$10:$J$758,"អនុញ្ញាត (បានប្រកាស)")</f>
        <v/>
      </c>
      <c r="B771" s="388" t="inlineStr">
        <is>
          <t>ចំនួនប្រាក់អាករដែលបានប្រកាស</t>
        </is>
      </c>
      <c r="C771" s="638">
        <f>SUMIF($J$10:$J$758,"អនុញ្ញាត (បានប្រកាស)",$L$10:$L$758)</f>
        <v/>
      </c>
      <c r="D771" s="255" t="inlineStr">
        <is>
          <t>ខ</t>
        </is>
      </c>
      <c r="E771" s="223" t="inlineStr">
        <is>
          <t>គួរអនុញ្ញាត</t>
        </is>
      </c>
      <c r="K771" s="441" t="n"/>
      <c r="L771" s="636" t="n"/>
      <c r="M771" s="637" t="n"/>
      <c r="N771" s="377" t="n"/>
      <c r="O771" s="241" t="n"/>
      <c r="P771" s="241" t="n"/>
      <c r="Q771" s="241" t="n"/>
      <c r="R771" s="241" t="n"/>
      <c r="S771" s="340" t="n"/>
      <c r="T771" s="637" t="n"/>
      <c r="U771" s="637" t="n"/>
      <c r="V771" s="637" t="n"/>
      <c r="W771" s="637" t="n"/>
      <c r="X771" s="637" t="n"/>
      <c r="Y771" s="637" t="n"/>
      <c r="Z771" s="637" t="n"/>
      <c r="AA771" s="637" t="n"/>
      <c r="AB771" s="637" t="n"/>
      <c r="AC771" s="637" t="n"/>
      <c r="AD771" s="637" t="n"/>
      <c r="AE771" s="637" t="n"/>
      <c r="AF771" s="241" t="n"/>
      <c r="AG771" s="242" t="n"/>
      <c r="AH771" s="245" t="n"/>
      <c r="AI771" s="241" t="n"/>
      <c r="AJ771" s="241" t="n"/>
    </row>
    <row r="772" ht="40.2" customFormat="1" customHeight="1" s="240">
      <c r="A772" s="387" t="n"/>
      <c r="B772" s="388" t="inlineStr">
        <is>
          <t>ចំនួនប្រាក់អាករទិញក្នុងស្រុក(ផ្ទៀងផ្ទាត់តាមក្រោយ)</t>
        </is>
      </c>
      <c r="C772" s="638" t="n"/>
      <c r="D772" s="255" t="n"/>
      <c r="E772" s="223" t="inlineStr">
        <is>
          <t>គួរអនុញ្ញាត(អនុលោមភាព "មាស")</t>
        </is>
      </c>
      <c r="K772" s="441" t="n"/>
      <c r="L772" s="636" t="n"/>
      <c r="M772" s="637" t="n"/>
      <c r="N772" s="377" t="n"/>
      <c r="O772" s="241" t="n"/>
      <c r="P772" s="241" t="n"/>
      <c r="Q772" s="241" t="n"/>
      <c r="R772" s="241" t="n"/>
      <c r="S772" s="340" t="n"/>
      <c r="T772" s="637" t="n"/>
      <c r="U772" s="637" t="n"/>
      <c r="V772" s="637" t="n"/>
      <c r="W772" s="637" t="n"/>
      <c r="X772" s="637" t="n"/>
      <c r="Y772" s="637" t="n"/>
      <c r="Z772" s="637" t="n"/>
      <c r="AA772" s="637" t="n"/>
      <c r="AB772" s="637" t="n"/>
      <c r="AC772" s="637" t="n"/>
      <c r="AD772" s="637" t="n"/>
      <c r="AE772" s="637" t="n"/>
      <c r="AF772" s="241" t="n"/>
      <c r="AG772" s="242" t="n"/>
      <c r="AH772" s="245" t="n"/>
      <c r="AI772" s="241" t="n"/>
      <c r="AJ772" s="241" t="n"/>
    </row>
    <row r="773" ht="40.2" customFormat="1" customHeight="1" s="240">
      <c r="A773" s="387" t="n"/>
      <c r="B773" s="388" t="inlineStr">
        <is>
          <t>ចំនួនប្រាក់អាករនាំចូលមានឯកសារគាំទ្រ(ផ្ទៀងផ្ទាត់តាមក្រោយ)</t>
        </is>
      </c>
      <c r="C773" s="638" t="n"/>
      <c r="D773" s="255" t="n"/>
      <c r="E773" s="223" t="inlineStr">
        <is>
          <t>គួរអនុញ្ញាត(អនុលោមភាព "មាស")</t>
        </is>
      </c>
      <c r="K773" s="441" t="n"/>
      <c r="L773" s="636" t="n"/>
      <c r="M773" s="637" t="n"/>
      <c r="N773" s="377" t="n"/>
      <c r="O773" s="241" t="n"/>
      <c r="P773" s="241" t="n"/>
      <c r="Q773" s="241" t="n"/>
      <c r="R773" s="241" t="n"/>
      <c r="S773" s="340" t="n"/>
      <c r="T773" s="637" t="n"/>
      <c r="U773" s="637" t="n"/>
      <c r="V773" s="637" t="n"/>
      <c r="W773" s="637" t="n"/>
      <c r="X773" s="637" t="n"/>
      <c r="Y773" s="637" t="n"/>
      <c r="Z773" s="637" t="n"/>
      <c r="AA773" s="637" t="n"/>
      <c r="AB773" s="637" t="n"/>
      <c r="AC773" s="637" t="n"/>
      <c r="AD773" s="637" t="n"/>
      <c r="AE773" s="637" t="n"/>
      <c r="AF773" s="241" t="n"/>
      <c r="AG773" s="242" t="n"/>
      <c r="AH773" s="245" t="n"/>
      <c r="AI773" s="241" t="n"/>
      <c r="AJ773" s="241" t="n"/>
    </row>
    <row r="774" customFormat="1" s="240">
      <c r="A774" s="387">
        <f>COUNTIF('Annex II-IM Non-State Charge'!$H$10:$H$15,"អាចប្រើប្រាស់ជាឥណទានបាន")</f>
        <v/>
      </c>
      <c r="B774" s="388" t="inlineStr">
        <is>
          <t>ចំនួនប្រាក់អាករនាំចូលមានឯកសារគាំទ្រ</t>
        </is>
      </c>
      <c r="C774" s="638">
        <f>SUMIF('Annex II-IM Non-State Charge'!$H$10:$H$15,"អាចប្រើប្រាស់ជាឥណទានបាន",'Annex II-IM Non-State Charge'!$J$10:$J$15)</f>
        <v/>
      </c>
      <c r="D774" s="255" t="inlineStr">
        <is>
          <t>គ</t>
        </is>
      </c>
      <c r="E774" s="223" t="inlineStr">
        <is>
          <t>គួរអនុញ្ញាត</t>
        </is>
      </c>
      <c r="F774" s="353" t="n"/>
      <c r="G774" s="440" t="n"/>
      <c r="H774" s="440" t="n"/>
      <c r="I774" s="440" t="n"/>
      <c r="J774" s="441" t="n"/>
      <c r="K774" s="441" t="n"/>
      <c r="L774" s="636" t="n"/>
      <c r="M774" s="637" t="n"/>
      <c r="N774" s="637" t="n"/>
      <c r="O774" s="241" t="n"/>
      <c r="P774" s="241" t="n"/>
      <c r="Q774" s="241" t="n"/>
      <c r="R774" s="241" t="n"/>
      <c r="S774" s="340" t="n"/>
      <c r="T774" s="637" t="n"/>
      <c r="U774" s="637" t="n"/>
      <c r="V774" s="637" t="n"/>
      <c r="W774" s="637" t="n"/>
      <c r="X774" s="637" t="n"/>
      <c r="Y774" s="637" t="n"/>
      <c r="Z774" s="637" t="n"/>
      <c r="AA774" s="637" t="n"/>
      <c r="AB774" s="637" t="n"/>
      <c r="AC774" s="637" t="n"/>
      <c r="AD774" s="637" t="n"/>
      <c r="AE774" s="637" t="n"/>
      <c r="AF774" s="241" t="n"/>
      <c r="AG774" s="242" t="n"/>
      <c r="AH774" s="245" t="n"/>
      <c r="AI774" s="241" t="n"/>
      <c r="AJ774" s="241" t="n"/>
    </row>
    <row r="775" customFormat="1" s="240">
      <c r="A775" s="387">
        <f>'Annex II-IM Non-State Charge'!A15</f>
        <v/>
      </c>
      <c r="B775" s="388" t="inlineStr">
        <is>
          <t>ចំនួនប្រាក់អាករនាំចូលមិនមានឯកសារគាំទ្រ</t>
        </is>
      </c>
      <c r="C775" s="638">
        <f>C764</f>
        <v/>
      </c>
      <c r="D775" s="255" t="inlineStr">
        <is>
          <t>គ</t>
        </is>
      </c>
      <c r="E775" s="223" t="inlineStr">
        <is>
          <t>ព្យួរទុក</t>
        </is>
      </c>
      <c r="F775" s="353" t="n"/>
      <c r="G775" s="440" t="n"/>
      <c r="H775" s="440" t="n"/>
      <c r="I775" s="440" t="n"/>
      <c r="J775" s="441" t="n"/>
      <c r="K775" s="441" t="n"/>
      <c r="L775" s="636" t="n"/>
      <c r="M775" s="637" t="n"/>
      <c r="N775" s="637" t="n"/>
      <c r="O775" s="241" t="n"/>
      <c r="P775" s="241" t="n"/>
      <c r="Q775" s="241" t="n"/>
      <c r="R775" s="241" t="n"/>
      <c r="S775" s="340" t="n"/>
      <c r="T775" s="637" t="n"/>
      <c r="U775" s="637" t="n"/>
      <c r="V775" s="637" t="n"/>
      <c r="W775" s="637" t="n"/>
      <c r="X775" s="637" t="n"/>
      <c r="Y775" s="637" t="n"/>
      <c r="Z775" s="637" t="n"/>
      <c r="AA775" s="637" t="n"/>
      <c r="AB775" s="637" t="n"/>
      <c r="AC775" s="637" t="n"/>
      <c r="AD775" s="637" t="n"/>
      <c r="AE775" s="637" t="n"/>
      <c r="AF775" s="241" t="n"/>
      <c r="AG775" s="242" t="n"/>
      <c r="AH775" s="245" t="n"/>
      <c r="AI775" s="241" t="n"/>
      <c r="AJ775" s="241" t="n"/>
    </row>
    <row r="776" customFormat="1" s="240">
      <c r="A776" s="387">
        <f>COUNTIF($J$10:$J$758,"ព្យួរទុក (មិនបានប្រកាស)")</f>
        <v/>
      </c>
      <c r="B776" s="388" t="inlineStr">
        <is>
          <t>ចំនួនប្រាក់អាករដែលមិនបានប្រកាស</t>
        </is>
      </c>
      <c r="C776" s="638">
        <f>SUMIF($J$10:$J$758,"ព្យួរទុក (មិនបានប្រកាស)",$M$10:$M$758)+SUMIF($J$10:$J$758,"អនុញ្ញាត (បានប្រកាស)",$M$10:$M$758)</f>
        <v/>
      </c>
      <c r="D776" s="255" t="inlineStr">
        <is>
          <t>គ</t>
        </is>
      </c>
      <c r="E776" s="223" t="inlineStr">
        <is>
          <t>ព្យួរទុក</t>
        </is>
      </c>
      <c r="L776" s="636" t="n"/>
      <c r="M776" s="637" t="n"/>
      <c r="N776" s="637" t="n"/>
      <c r="O776" s="241" t="n"/>
      <c r="P776" s="241" t="n"/>
      <c r="Q776" s="241" t="n"/>
      <c r="R776" s="241" t="n"/>
      <c r="S776" s="340" t="n"/>
      <c r="T776" s="637" t="n"/>
      <c r="U776" s="637" t="n"/>
      <c r="V776" s="637" t="n"/>
      <c r="W776" s="637" t="n"/>
      <c r="X776" s="637" t="n"/>
      <c r="Y776" s="637" t="n"/>
      <c r="Z776" s="637" t="n"/>
      <c r="AA776" s="637" t="n"/>
      <c r="AB776" s="637" t="n"/>
      <c r="AC776" s="637" t="n"/>
      <c r="AD776" s="637" t="n"/>
      <c r="AE776" s="637" t="n"/>
      <c r="AF776" s="241" t="n"/>
      <c r="AG776" s="241" t="n"/>
      <c r="AH776" s="245" t="n"/>
      <c r="AI776" s="241" t="n"/>
      <c r="AJ776" s="241" t="n"/>
    </row>
    <row r="777" customFormat="1" s="240">
      <c r="A777" s="387">
        <f>COUNTIF($J$10:$J$758,"ព្យួរទុក (មិនមានទិន្នន័យ)")</f>
        <v/>
      </c>
      <c r="B777" s="388" t="inlineStr">
        <is>
          <t>ចំនួនប្រាក់អាករដែលមិនមានទិន្នន័យ</t>
        </is>
      </c>
      <c r="C777" s="638">
        <f>SUMIF($J$10:$J$758,"ព្យួរទុក (មិនមានទិន្នន័យ)",$M$10:$M$758)</f>
        <v/>
      </c>
      <c r="D777" s="255" t="inlineStr">
        <is>
          <t>ឃ</t>
        </is>
      </c>
      <c r="E777" s="223" t="inlineStr">
        <is>
          <t>ព្យួរទុក</t>
        </is>
      </c>
      <c r="L777" s="636" t="n"/>
      <c r="M777" s="637" t="n"/>
      <c r="N777" s="637" t="n"/>
      <c r="O777" s="642" t="n"/>
      <c r="P777" s="642" t="n"/>
      <c r="Q777" s="642" t="n"/>
      <c r="R777" s="642" t="n"/>
      <c r="S777" s="340" t="n"/>
      <c r="T777" s="637" t="n"/>
      <c r="U777" s="637" t="n"/>
      <c r="V777" s="637" t="n"/>
      <c r="W777" s="637" t="n"/>
      <c r="X777" s="637" t="n"/>
      <c r="Y777" s="637" t="n"/>
      <c r="Z777" s="637" t="n"/>
      <c r="AA777" s="637" t="n"/>
      <c r="AB777" s="637" t="n"/>
      <c r="AC777" s="637" t="n"/>
      <c r="AD777" s="637" t="n"/>
      <c r="AE777" s="637" t="n"/>
      <c r="AF777" s="241" t="n"/>
      <c r="AG777" s="241" t="n"/>
      <c r="AH777" s="245" t="n"/>
      <c r="AI777" s="241" t="n"/>
      <c r="AJ777" s="241" t="n"/>
    </row>
    <row r="778" customFormat="1" s="240">
      <c r="A778" s="387">
        <f>COUNTIF($J$10:$J$758,"ព្យួរទុក (ប្រកាសខុស)")</f>
        <v/>
      </c>
      <c r="B778" s="388" t="inlineStr">
        <is>
          <t>ចំនួនប្រាក់អាករដែលប្រកាសខុស</t>
        </is>
      </c>
      <c r="C778" s="638">
        <f>SUMIF($J$10:$J$758,"ព្យួរទុក (ប្រកាសខុស)",$M$10:$M$758)</f>
        <v/>
      </c>
      <c r="D778" s="255" t="inlineStr">
        <is>
          <t>ច</t>
        </is>
      </c>
      <c r="E778" s="223" t="inlineStr">
        <is>
          <t>ព្យួរទុក</t>
        </is>
      </c>
      <c r="L778" s="636" t="n"/>
      <c r="M778" s="637" t="n"/>
      <c r="N778" s="637" t="n"/>
      <c r="O778" s="241" t="n"/>
      <c r="P778" s="241" t="n"/>
      <c r="Q778" s="241" t="n"/>
      <c r="R778" s="241" t="n"/>
      <c r="S778" s="340" t="n"/>
      <c r="T778" s="637" t="n"/>
      <c r="U778" s="637" t="n"/>
      <c r="V778" s="637" t="n"/>
      <c r="W778" s="637" t="n"/>
      <c r="X778" s="637" t="n"/>
      <c r="Y778" s="637" t="n"/>
      <c r="Z778" s="637" t="n"/>
      <c r="AA778" s="637" t="n"/>
      <c r="AB778" s="637" t="n"/>
      <c r="AC778" s="637" t="n"/>
      <c r="AD778" s="637" t="n"/>
      <c r="AE778" s="637" t="n"/>
      <c r="AF778" s="241" t="n"/>
      <c r="AG778" s="241" t="n"/>
      <c r="AH778" s="245" t="n"/>
      <c r="AI778" s="241" t="n"/>
      <c r="AJ778" s="241" t="n"/>
    </row>
    <row r="779" ht="23.25" customFormat="1" customHeight="1" s="240">
      <c r="A779" s="387">
        <f>COUNTIF($J$10:$J$758,"ព្យួរទុក (មិនអនុញ្ញាតជាឥណទាន)")</f>
        <v/>
      </c>
      <c r="B779" s="388" t="inlineStr">
        <is>
          <t>ចំនួនប្រាក់អាករដែលមិនអនុញ្ញាតជាឥណទាន</t>
        </is>
      </c>
      <c r="C779" s="638">
        <f>SUMIF($J$10:$J$758,"ព្យួរទុក (មិនអនុញ្ញាតជាឥណទាន)",$M$10:$M$758)</f>
        <v/>
      </c>
      <c r="D779" s="255" t="inlineStr">
        <is>
          <t>ឆ</t>
        </is>
      </c>
      <c r="E779" s="223" t="inlineStr">
        <is>
          <t>ព្យួរទុក</t>
        </is>
      </c>
      <c r="L779" s="636" t="n"/>
      <c r="M779" s="637" t="n"/>
      <c r="N779" s="637" t="n"/>
      <c r="O779" s="241" t="n"/>
      <c r="P779" s="241" t="n"/>
      <c r="Q779" s="241" t="n"/>
      <c r="R779" s="241" t="n"/>
      <c r="S779" s="340" t="n"/>
      <c r="T779" s="637" t="n"/>
      <c r="U779" s="637" t="n"/>
      <c r="V779" s="637" t="n"/>
      <c r="W779" s="637" t="n"/>
      <c r="X779" s="637" t="n"/>
      <c r="Y779" s="637" t="n"/>
      <c r="Z779" s="637" t="n"/>
      <c r="AA779" s="637" t="n"/>
      <c r="AB779" s="637" t="n"/>
      <c r="AC779" s="637" t="n"/>
      <c r="AD779" s="637" t="n"/>
      <c r="AE779" s="637" t="n"/>
      <c r="AF779" s="241" t="n"/>
      <c r="AG779" s="241" t="n"/>
      <c r="AH779" s="245" t="n"/>
      <c r="AI779" s="241" t="n"/>
      <c r="AJ779" s="241" t="n"/>
    </row>
    <row r="780" ht="23.25" customFormat="1" customHeight="1" s="240">
      <c r="A780" s="387" t="n"/>
      <c r="B780" s="388" t="inlineStr">
        <is>
          <t>ចំនួនប្រាក់អាករដែលព្យួរទុកឥណទាន</t>
        </is>
      </c>
      <c r="C780" s="638" t="n"/>
      <c r="D780" s="255" t="n"/>
      <c r="E780" s="223" t="n"/>
      <c r="L780" s="636" t="n"/>
      <c r="M780" s="637" t="n"/>
      <c r="N780" s="637" t="n"/>
      <c r="O780" s="241" t="n"/>
      <c r="P780" s="241" t="n"/>
      <c r="Q780" s="241" t="n"/>
      <c r="R780" s="241" t="n"/>
      <c r="S780" s="340" t="n"/>
      <c r="T780" s="637" t="n"/>
      <c r="U780" s="637" t="n"/>
      <c r="V780" s="637" t="n"/>
      <c r="W780" s="637" t="n"/>
      <c r="X780" s="637" t="n"/>
      <c r="Y780" s="637" t="n"/>
      <c r="Z780" s="637" t="n"/>
      <c r="AA780" s="637" t="n"/>
      <c r="AB780" s="637" t="n"/>
      <c r="AC780" s="637" t="n"/>
      <c r="AD780" s="637" t="n"/>
      <c r="AE780" s="637" t="n"/>
      <c r="AF780" s="241" t="n"/>
      <c r="AG780" s="241" t="n"/>
      <c r="AH780" s="245" t="n"/>
      <c r="AI780" s="241" t="n"/>
      <c r="AJ780" s="241" t="n"/>
    </row>
    <row r="781" customFormat="1" s="240">
      <c r="A781" s="387" t="n"/>
      <c r="B781" s="388" t="inlineStr">
        <is>
          <t>លម្អៀងបា្រក់អាករជាមួយប្រព័ន្ធ E-VAT</t>
        </is>
      </c>
      <c r="C781" s="638">
        <f>C770-C769</f>
        <v/>
      </c>
      <c r="D781" s="255" t="inlineStr">
        <is>
          <t>ជ</t>
        </is>
      </c>
      <c r="E781" s="223" t="inlineStr">
        <is>
          <t>ព្យួរទុក</t>
        </is>
      </c>
      <c r="L781" s="636" t="n"/>
      <c r="M781" s="637" t="n"/>
      <c r="N781" s="637" t="n"/>
      <c r="O781" s="241" t="n"/>
      <c r="P781" s="241" t="n"/>
      <c r="Q781" s="241" t="n"/>
      <c r="R781" s="241" t="n"/>
      <c r="S781" s="340" t="n"/>
      <c r="T781" s="637" t="n"/>
      <c r="U781" s="637" t="n"/>
      <c r="V781" s="637" t="n"/>
      <c r="W781" s="637" t="n"/>
      <c r="X781" s="637" t="n"/>
      <c r="Y781" s="637" t="n"/>
      <c r="Z781" s="637" t="n"/>
      <c r="AA781" s="637" t="n"/>
      <c r="AB781" s="637" t="n"/>
      <c r="AC781" s="637" t="n"/>
      <c r="AD781" s="637" t="n"/>
      <c r="AE781" s="637" t="n"/>
      <c r="AF781" s="241" t="n"/>
      <c r="AG781" s="241" t="n"/>
      <c r="AH781" s="245" t="n"/>
      <c r="AI781" s="241" t="n"/>
      <c r="AJ781" s="241" t="n"/>
    </row>
    <row r="782" customFormat="1" s="240">
      <c r="A782" s="388" t="n"/>
      <c r="B782" s="388" t="inlineStr">
        <is>
          <t>សរុបប្រាក់អាករគួរបង្វិលសងជូនក្រុមហ៊ុន</t>
        </is>
      </c>
      <c r="C782" s="634">
        <f>C770-C776-C777</f>
        <v/>
      </c>
      <c r="D782" s="643" t="inlineStr">
        <is>
          <t>ង=ក-ខ-គ-ឃ</t>
        </is>
      </c>
      <c r="E782" s="644" t="n"/>
      <c r="L782" s="636" t="n"/>
      <c r="M782" s="637" t="n"/>
      <c r="N782" s="637" t="n"/>
      <c r="O782" s="642" t="n"/>
      <c r="P782" s="642" t="n"/>
      <c r="Q782" s="642" t="n"/>
      <c r="R782" s="642" t="n"/>
      <c r="S782" s="340" t="n"/>
      <c r="T782" s="637" t="n"/>
      <c r="U782" s="637" t="n"/>
      <c r="V782" s="637" t="n"/>
      <c r="W782" s="637" t="n"/>
      <c r="X782" s="637" t="n"/>
      <c r="Y782" s="637" t="n"/>
      <c r="Z782" s="637" t="n"/>
      <c r="AA782" s="637" t="n"/>
      <c r="AB782" s="637" t="n"/>
      <c r="AC782" s="637" t="n"/>
      <c r="AD782" s="637" t="n"/>
      <c r="AE782" s="637" t="n"/>
      <c r="AF782" s="241" t="n"/>
      <c r="AG782" s="241" t="n"/>
      <c r="AH782" s="245" t="n"/>
      <c r="AI782" s="241" t="n"/>
      <c r="AJ782" s="241" t="n"/>
    </row>
    <row r="783" ht="23.25" customHeight="1" s="408">
      <c r="A783" s="474" t="inlineStr">
        <is>
          <t>សេចក្តីធានាអះអាងរបស់មន្ត្រីសវនករទទួលបន្ទុក៖
លទ្ធផលនៃការផ្ទៀងផ្ទាត់វិក្កយបត្រអាករ (Invoice Cross-check) ខាងលើ ពិតជាត្រឹមត្រូវតាមការប្រកាសរបស់អ្នកផ្គត់ផ្គង់ពិតប្រាកដមែន។</t>
        </is>
      </c>
    </row>
    <row r="784"/>
    <row r="785"/>
    <row r="786" ht="24.6" customHeight="1" s="408">
      <c r="A786" s="470" t="inlineStr">
        <is>
          <t>រាជធានីភ្នំពេញ.ថ្ងៃទី         ខែ                   ឆ្នាំ២០២៥</t>
        </is>
      </c>
    </row>
    <row r="787">
      <c r="A787" s="443" t="inlineStr">
        <is>
          <t>មន្ត្រីសវនកម្ម</t>
        </is>
      </c>
      <c r="F787" s="440" t="inlineStr">
        <is>
          <t>បានឃើញ និងឯកភាព</t>
        </is>
      </c>
      <c r="L787" s="386" t="n"/>
    </row>
    <row r="788">
      <c r="A788" s="205" t="n"/>
      <c r="D788" s="205" t="n"/>
      <c r="E788" s="205" t="n"/>
      <c r="F788" s="442" t="inlineStr">
        <is>
          <t>រាជធានីភ្នំពេញ.ថ្ងៃទី         ខែ                   ឆ្នាំ២០២៥</t>
        </is>
      </c>
    </row>
    <row r="789">
      <c r="F789" s="443" t="inlineStr">
        <is>
          <t>ប្រធានការិយាល័យ</t>
        </is>
      </c>
    </row>
    <row r="790" ht="27" customHeight="1" s="408">
      <c r="A790" s="440">
        <f>'Company information'!C9</f>
        <v/>
      </c>
      <c r="C790" s="441">
        <f>'Company information'!D9</f>
        <v/>
      </c>
    </row>
    <row r="791">
      <c r="D791" s="645" t="n"/>
    </row>
  </sheetData>
  <autoFilter ref="A9:AO758"/>
  <mergeCells count="40">
    <mergeCell ref="F788:K788"/>
    <mergeCell ref="A7:A8"/>
    <mergeCell ref="R7:R8"/>
    <mergeCell ref="Z7:Z8"/>
    <mergeCell ref="A787:E787"/>
    <mergeCell ref="A3:L3"/>
    <mergeCell ref="W7:Y7"/>
    <mergeCell ref="S7:S8"/>
    <mergeCell ref="U7:U8"/>
    <mergeCell ref="A2:L2"/>
    <mergeCell ref="F789:K789"/>
    <mergeCell ref="J6:K6"/>
    <mergeCell ref="D7:D8"/>
    <mergeCell ref="C790:E790"/>
    <mergeCell ref="J7:J8"/>
    <mergeCell ref="AG7:AG8"/>
    <mergeCell ref="P7:P8"/>
    <mergeCell ref="R5:S6"/>
    <mergeCell ref="A764:A770"/>
    <mergeCell ref="AA7:AB7"/>
    <mergeCell ref="L5:Q6"/>
    <mergeCell ref="C7:C8"/>
    <mergeCell ref="T7:T8"/>
    <mergeCell ref="V7:V8"/>
    <mergeCell ref="K7:K8"/>
    <mergeCell ref="AC7:AC8"/>
    <mergeCell ref="O7:O8"/>
    <mergeCell ref="A790:B790"/>
    <mergeCell ref="AF7:AF8"/>
    <mergeCell ref="Q7:Q8"/>
    <mergeCell ref="T5:AJ6"/>
    <mergeCell ref="AD7:AE7"/>
    <mergeCell ref="F787:K787"/>
    <mergeCell ref="E7:F7"/>
    <mergeCell ref="A1:L1"/>
    <mergeCell ref="A783:E785"/>
    <mergeCell ref="B7:B8"/>
    <mergeCell ref="A786:E786"/>
    <mergeCell ref="L7:L8"/>
    <mergeCell ref="G7:I7"/>
  </mergeCells>
  <conditionalFormatting sqref="B763:B765">
    <cfRule type="duplicateValues" priority="12" dxfId="0"/>
  </conditionalFormatting>
  <conditionalFormatting sqref="B766:B769">
    <cfRule type="duplicateValues" priority="13" dxfId="0"/>
  </conditionalFormatting>
  <conditionalFormatting sqref="B770:B775">
    <cfRule type="duplicateValues" priority="1044" dxfId="0"/>
  </conditionalFormatting>
  <conditionalFormatting sqref="B776">
    <cfRule type="duplicateValues" priority="9" dxfId="0"/>
  </conditionalFormatting>
  <conditionalFormatting sqref="B777">
    <cfRule type="duplicateValues" priority="15" dxfId="0"/>
  </conditionalFormatting>
  <conditionalFormatting sqref="B778">
    <cfRule type="duplicateValues" priority="7" dxfId="0"/>
  </conditionalFormatting>
  <conditionalFormatting sqref="B779:B780">
    <cfRule type="duplicateValues" priority="8" dxfId="0"/>
  </conditionalFormatting>
  <conditionalFormatting sqref="B781">
    <cfRule type="duplicateValues" priority="2" dxfId="0"/>
  </conditionalFormatting>
  <conditionalFormatting sqref="E759">
    <cfRule type="duplicateValues" priority="1043" dxfId="0"/>
  </conditionalFormatting>
  <printOptions horizontalCentered="1"/>
  <pageMargins left="0.2" right="0.2" top="0.5" bottom="0.45" header="0" footer="0"/>
  <pageSetup orientation="portrait" paperSize="9" scale="48" fitToHeight="0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I146"/>
  <sheetViews>
    <sheetView view="pageBreakPreview" zoomScaleNormal="100" zoomScaleSheetLayoutView="100" workbookViewId="0">
      <pane ySplit="8" topLeftCell="A9" activePane="bottomLeft" state="frozen"/>
      <selection pane="bottomLeft" activeCell="B9" sqref="B9"/>
    </sheetView>
  </sheetViews>
  <sheetFormatPr baseColWidth="8" defaultColWidth="9.109375" defaultRowHeight="25.2"/>
  <cols>
    <col width="12.33203125" customWidth="1" style="296" min="1" max="1"/>
    <col width="41.44140625" customWidth="1" style="296" min="2" max="2"/>
    <col width="31.5546875" customWidth="1" style="296" min="3" max="3"/>
    <col width="28.88671875" customWidth="1" style="296" min="4" max="4"/>
    <col width="25.5546875" bestFit="1" customWidth="1" style="296" min="5" max="5"/>
    <col width="9.109375" customWidth="1" style="194" min="6" max="8"/>
    <col width="17" bestFit="1" customWidth="1" style="194" min="9" max="9"/>
    <col width="9.109375" customWidth="1" style="194" min="10" max="16384"/>
  </cols>
  <sheetData>
    <row r="1" ht="22.8" customFormat="1" customHeight="1" s="210">
      <c r="A1" s="421" t="inlineStr">
        <is>
          <t>តារាងឧបសម្ព័ន្ធ  IV</t>
        </is>
      </c>
    </row>
    <row r="2" ht="22.8" customFormat="1" customHeight="1" s="210">
      <c r="A2" s="421" t="inlineStr">
        <is>
          <t>បញ្ជាក់អំពីការលក់</t>
        </is>
      </c>
    </row>
    <row r="3" ht="22.8" customFormat="1" customHeight="1" s="210">
      <c r="A3" s="421" t="inlineStr">
        <is>
          <t>(ការនាំចេញ/លក់បន្ទុករដ្ឋ/លក់តាមអត្រា០%)</t>
        </is>
      </c>
    </row>
    <row r="4" ht="22.8" customFormat="1" customHeight="1" s="210">
      <c r="A4" s="294" t="inlineStr">
        <is>
          <t>ក្រុមហ៊ុន៖</t>
        </is>
      </c>
      <c r="B4" s="207">
        <f>'Company information'!C2</f>
        <v/>
      </c>
      <c r="C4" s="208" t="n"/>
      <c r="D4" s="646" t="inlineStr">
        <is>
          <t xml:space="preserve">សវនករពន្ធដារ៖ </t>
        </is>
      </c>
      <c r="E4" s="569">
        <f>'Company information'!C8</f>
        <v/>
      </c>
    </row>
    <row r="5" ht="22.8" customFormat="1" customHeight="1" s="210">
      <c r="A5" s="213" t="inlineStr">
        <is>
          <t>លេខ អតប ៖</t>
        </is>
      </c>
      <c r="B5" s="207">
        <f>'Company information'!C4</f>
        <v/>
      </c>
      <c r="C5" s="208" t="n"/>
      <c r="D5" s="208" t="n"/>
      <c r="E5" s="569">
        <f>'Company information'!D8</f>
        <v/>
      </c>
    </row>
    <row r="6" ht="22.8" customFormat="1" customHeight="1" s="210">
      <c r="A6" s="570">
        <f>'Company information'!H8</f>
        <v/>
      </c>
      <c r="B6" s="207" t="n"/>
      <c r="D6" s="647" t="inlineStr">
        <is>
          <t>ទឹកប្រាក់ស្នើសុំបង្វិលសងចំនួន៖</t>
        </is>
      </c>
      <c r="E6" s="572">
        <f>'Company information'!H9</f>
        <v/>
      </c>
    </row>
    <row r="7">
      <c r="A7" s="422" t="inlineStr">
        <is>
          <t>ល.រ</t>
        </is>
      </c>
      <c r="B7" s="422" t="inlineStr">
        <is>
          <t>បរិយាយ</t>
        </is>
      </c>
      <c r="C7" s="422" t="inlineStr">
        <is>
          <t>ប្រតិវេទន៍គយនាំចេញ/វិក្កយបត្រ</t>
        </is>
      </c>
      <c r="D7" s="573" t="n"/>
      <c r="E7" s="422" t="inlineStr">
        <is>
          <t>តម្លៃជារៀល</t>
        </is>
      </c>
    </row>
    <row r="8">
      <c r="A8" s="574" t="n"/>
      <c r="B8" s="574" t="n"/>
      <c r="C8" s="422" t="inlineStr">
        <is>
          <t>លេខ</t>
        </is>
      </c>
      <c r="D8" s="422" t="inlineStr">
        <is>
          <t>ចុះថ្ងៃទី ខែ ឆ្នាំ</t>
        </is>
      </c>
      <c r="E8" s="574" t="n"/>
    </row>
    <row r="9" ht="24" customFormat="1" customHeight="1" s="2">
      <c r="A9" s="277" t="n"/>
      <c r="B9" s="298" t="n"/>
      <c r="C9" s="577" t="n"/>
      <c r="D9" s="575" t="n"/>
      <c r="E9" s="578" t="n"/>
    </row>
    <row r="10" ht="24" customFormat="1" customHeight="1" s="2">
      <c r="A10" s="277" t="n">
        <v>1</v>
      </c>
      <c r="B10" s="278" t="inlineStr">
        <is>
          <t>Sample Aritificail Christmas Trees</t>
        </is>
      </c>
      <c r="C10" s="577" t="inlineStr">
        <is>
          <t>E826</t>
        </is>
      </c>
      <c r="D10" s="575" t="n">
        <v>45666</v>
      </c>
      <c r="E10" s="578" t="n">
        <v>484680</v>
      </c>
    </row>
    <row r="11" ht="24" customFormat="1" customHeight="1" s="2">
      <c r="A11" s="277">
        <f>A10+1</f>
        <v/>
      </c>
      <c r="B11" s="278" t="inlineStr">
        <is>
          <t>Artificial Christmas Trees</t>
        </is>
      </c>
      <c r="C11" s="577" t="inlineStr">
        <is>
          <t>E65515</t>
        </is>
      </c>
      <c r="D11" s="575" t="n">
        <v>45744</v>
      </c>
      <c r="E11" s="578" t="n">
        <v>83289380</v>
      </c>
    </row>
    <row r="12" ht="24" customFormat="1" customHeight="1" s="2">
      <c r="A12" s="277">
        <f>A11+1</f>
        <v/>
      </c>
      <c r="B12" s="278" t="inlineStr">
        <is>
          <t>Artificial Christmas Trees</t>
        </is>
      </c>
      <c r="C12" s="577" t="inlineStr">
        <is>
          <t>E65535</t>
        </is>
      </c>
      <c r="D12" s="575" t="n">
        <v>45744</v>
      </c>
      <c r="E12" s="578" t="n">
        <v>83289380</v>
      </c>
    </row>
    <row r="13" ht="24" customFormat="1" customHeight="1" s="2">
      <c r="A13" s="277">
        <f>A12+1</f>
        <v/>
      </c>
      <c r="B13" s="278" t="inlineStr">
        <is>
          <t>Artificial Christmas Tree</t>
        </is>
      </c>
      <c r="C13" s="577" t="inlineStr">
        <is>
          <t>E112738</t>
        </is>
      </c>
      <c r="D13" s="575" t="n">
        <v>45806</v>
      </c>
      <c r="E13" s="578" t="n">
        <v>59359060</v>
      </c>
    </row>
    <row r="14" ht="24" customFormat="1" customHeight="1" s="2">
      <c r="A14" s="277">
        <f>A13+1</f>
        <v/>
      </c>
      <c r="B14" s="278" t="inlineStr">
        <is>
          <t>Artificial Christmas Tree</t>
        </is>
      </c>
      <c r="C14" s="577" t="inlineStr">
        <is>
          <t>E103083</t>
        </is>
      </c>
      <c r="D14" s="575" t="n">
        <v>45793</v>
      </c>
      <c r="E14" s="578" t="n">
        <v>65108778</v>
      </c>
    </row>
    <row r="15" ht="24" customFormat="1" customHeight="1" s="2">
      <c r="A15" s="277">
        <f>A14+1</f>
        <v/>
      </c>
      <c r="B15" s="278" t="inlineStr">
        <is>
          <t>Artificial Christmas Tree</t>
        </is>
      </c>
      <c r="C15" s="577" t="inlineStr">
        <is>
          <t>E114909</t>
        </is>
      </c>
      <c r="D15" s="575" t="n">
        <v>45807</v>
      </c>
      <c r="E15" s="578" t="n">
        <v>62091918</v>
      </c>
    </row>
    <row r="16" ht="24" customFormat="1" customHeight="1" s="2">
      <c r="A16" s="277">
        <f>A15+1</f>
        <v/>
      </c>
      <c r="B16" s="278" t="inlineStr">
        <is>
          <t>Artificial Christmas Tree</t>
        </is>
      </c>
      <c r="C16" s="577" t="inlineStr">
        <is>
          <t>E115070</t>
        </is>
      </c>
      <c r="D16" s="575" t="n">
        <v>45807</v>
      </c>
      <c r="E16" s="578" t="n">
        <v>229986284</v>
      </c>
    </row>
    <row r="17" ht="24" customFormat="1" customHeight="1" s="2">
      <c r="A17" s="277">
        <f>A16+1</f>
        <v/>
      </c>
      <c r="B17" s="278" t="inlineStr">
        <is>
          <t>Artificial Christmas Tree</t>
        </is>
      </c>
      <c r="C17" s="577" t="inlineStr">
        <is>
          <t>E102146</t>
        </is>
      </c>
      <c r="D17" s="575" t="n">
        <v>45793</v>
      </c>
      <c r="E17" s="578" t="n">
        <v>332889882</v>
      </c>
    </row>
    <row r="18" ht="24" customFormat="1" customHeight="1" s="2">
      <c r="A18" s="277">
        <f>A17+1</f>
        <v/>
      </c>
      <c r="B18" s="278" t="inlineStr">
        <is>
          <t>Artificial Christmas Tree</t>
        </is>
      </c>
      <c r="C18" s="577" t="inlineStr">
        <is>
          <t>E102497</t>
        </is>
      </c>
      <c r="D18" s="575" t="n">
        <v>45793</v>
      </c>
      <c r="E18" s="578" t="n">
        <v>127028603</v>
      </c>
    </row>
    <row r="19" ht="24" customFormat="1" customHeight="1" s="2">
      <c r="A19" s="277">
        <f>A18+1</f>
        <v/>
      </c>
      <c r="B19" s="278" t="inlineStr">
        <is>
          <t>Artificial Christmas Tree</t>
        </is>
      </c>
      <c r="C19" s="577" t="inlineStr">
        <is>
          <t>E102119</t>
        </is>
      </c>
      <c r="D19" s="575" t="n">
        <v>45793</v>
      </c>
      <c r="E19" s="578" t="n">
        <v>395201062</v>
      </c>
    </row>
    <row r="20" ht="24" customFormat="1" customHeight="1" s="2">
      <c r="A20" s="277">
        <f>A19+1</f>
        <v/>
      </c>
      <c r="B20" s="278" t="inlineStr">
        <is>
          <t>Artificial Christmas Tree</t>
        </is>
      </c>
      <c r="C20" s="577" t="inlineStr">
        <is>
          <t>E103361</t>
        </is>
      </c>
      <c r="D20" s="575" t="n">
        <v>45793</v>
      </c>
      <c r="E20" s="578" t="n">
        <v>31706405</v>
      </c>
    </row>
    <row r="21" ht="24" customFormat="1" customHeight="1" s="2">
      <c r="A21" s="277">
        <f>A20+1</f>
        <v/>
      </c>
      <c r="B21" s="278" t="inlineStr">
        <is>
          <t>Artificial Christmas Tree</t>
        </is>
      </c>
      <c r="C21" s="577" t="inlineStr">
        <is>
          <t>E103328</t>
        </is>
      </c>
      <c r="D21" s="575" t="n">
        <v>45793</v>
      </c>
      <c r="E21" s="578" t="n">
        <v>44852495</v>
      </c>
    </row>
    <row r="22" ht="24" customFormat="1" customHeight="1" s="2">
      <c r="A22" s="277">
        <f>A21+1</f>
        <v/>
      </c>
      <c r="B22" s="278" t="inlineStr">
        <is>
          <t>Artificial Christmas Tree</t>
        </is>
      </c>
      <c r="C22" s="577" t="inlineStr">
        <is>
          <t>E102362</t>
        </is>
      </c>
      <c r="D22" s="575" t="n">
        <v>45793</v>
      </c>
      <c r="E22" s="578" t="n">
        <v>258436834</v>
      </c>
    </row>
    <row r="23" ht="24" customFormat="1" customHeight="1" s="2">
      <c r="A23" s="277">
        <f>A22+1</f>
        <v/>
      </c>
      <c r="B23" s="278" t="inlineStr">
        <is>
          <t>Artificial Christmas Tree</t>
        </is>
      </c>
      <c r="C23" s="577" t="inlineStr">
        <is>
          <t>E102468</t>
        </is>
      </c>
      <c r="D23" s="575" t="n">
        <v>45793</v>
      </c>
      <c r="E23" s="578" t="n">
        <v>121208094</v>
      </c>
    </row>
    <row r="24" ht="24" customFormat="1" customHeight="1" s="2">
      <c r="A24" s="277">
        <f>A23+1</f>
        <v/>
      </c>
      <c r="B24" s="278" t="inlineStr">
        <is>
          <t>Artificial Christmas Tree</t>
        </is>
      </c>
      <c r="C24" s="577" t="inlineStr">
        <is>
          <t>E102571</t>
        </is>
      </c>
      <c r="D24" s="575" t="n">
        <v>45793</v>
      </c>
      <c r="E24" s="578" t="n">
        <v>71026696</v>
      </c>
    </row>
    <row r="25" ht="24" customFormat="1" customHeight="1" s="2">
      <c r="A25" s="277">
        <f>A24+1</f>
        <v/>
      </c>
      <c r="B25" s="278" t="inlineStr">
        <is>
          <t>Artificial Christmas Tree</t>
        </is>
      </c>
      <c r="C25" s="577" t="inlineStr">
        <is>
          <t>E102681</t>
        </is>
      </c>
      <c r="D25" s="575" t="n">
        <v>45793</v>
      </c>
      <c r="E25" s="578" t="n">
        <v>65108778</v>
      </c>
    </row>
    <row r="26" ht="24" customFormat="1" customHeight="1" s="2">
      <c r="A26" s="277">
        <f>A25+1</f>
        <v/>
      </c>
      <c r="B26" s="278" t="inlineStr">
        <is>
          <t>Artificial Christmas Tree</t>
        </is>
      </c>
      <c r="C26" s="577" t="inlineStr">
        <is>
          <t>E99083</t>
        </is>
      </c>
      <c r="D26" s="575" t="n">
        <v>45790</v>
      </c>
      <c r="E26" s="578" t="n">
        <v>707371749</v>
      </c>
    </row>
    <row r="27" ht="24" customFormat="1" customHeight="1" s="2">
      <c r="A27" s="277">
        <f>A26+1</f>
        <v/>
      </c>
      <c r="B27" s="278" t="inlineStr">
        <is>
          <t>Artificial Christmas Tree</t>
        </is>
      </c>
      <c r="C27" s="577" t="inlineStr">
        <is>
          <t>E103111</t>
        </is>
      </c>
      <c r="D27" s="575" t="n">
        <v>45793</v>
      </c>
      <c r="E27" s="578" t="n">
        <v>51520147</v>
      </c>
    </row>
    <row r="28" ht="24" customFormat="1" customHeight="1" s="2">
      <c r="A28" s="277">
        <f>A27+1</f>
        <v/>
      </c>
      <c r="B28" s="278" t="inlineStr">
        <is>
          <t>Artificial Christmas Tree</t>
        </is>
      </c>
      <c r="C28" s="577" t="inlineStr">
        <is>
          <t>E103146</t>
        </is>
      </c>
      <c r="D28" s="575" t="n">
        <v>45793</v>
      </c>
      <c r="E28" s="578" t="n">
        <v>78785613</v>
      </c>
    </row>
    <row r="29" ht="24" customFormat="1" customHeight="1" s="2">
      <c r="A29" s="277">
        <f>A28+1</f>
        <v/>
      </c>
      <c r="B29" s="278" t="inlineStr">
        <is>
          <t>Artificial Christmas Tree</t>
        </is>
      </c>
      <c r="C29" s="577" t="inlineStr">
        <is>
          <t>E110409</t>
        </is>
      </c>
      <c r="D29" s="575" t="n">
        <v>45801</v>
      </c>
      <c r="E29" s="578" t="n">
        <v>29023631</v>
      </c>
    </row>
    <row r="30" ht="24" customFormat="1" customHeight="1" s="2">
      <c r="A30" s="277">
        <f>A29+1</f>
        <v/>
      </c>
      <c r="B30" s="278" t="inlineStr">
        <is>
          <t>Artificial Christmas Tree</t>
        </is>
      </c>
      <c r="C30" s="577" t="inlineStr">
        <is>
          <t>E102979</t>
        </is>
      </c>
      <c r="D30" s="575" t="n">
        <v>45793</v>
      </c>
      <c r="E30" s="578" t="n">
        <v>61707398</v>
      </c>
    </row>
    <row r="31" ht="24" customFormat="1" customHeight="1" s="2">
      <c r="A31" s="277">
        <f>A30+1</f>
        <v/>
      </c>
      <c r="B31" s="278" t="inlineStr">
        <is>
          <t>Artificial Christmas Tree</t>
        </is>
      </c>
      <c r="C31" s="577" t="inlineStr">
        <is>
          <t>E102952</t>
        </is>
      </c>
      <c r="D31" s="575" t="n">
        <v>45793</v>
      </c>
      <c r="E31" s="578" t="n">
        <v>60106838</v>
      </c>
    </row>
    <row r="32" ht="24" customFormat="1" customHeight="1" s="2">
      <c r="A32" s="277">
        <f>A31+1</f>
        <v/>
      </c>
      <c r="B32" s="278" t="inlineStr">
        <is>
          <t>Artificial Christmas Tree</t>
        </is>
      </c>
      <c r="C32" s="577" t="inlineStr">
        <is>
          <t>E102918</t>
        </is>
      </c>
      <c r="D32" s="575" t="n">
        <v>45793</v>
      </c>
      <c r="E32" s="578" t="n">
        <v>69405405</v>
      </c>
    </row>
    <row r="33" ht="24" customFormat="1" customHeight="1" s="2">
      <c r="A33" s="277">
        <f>A32+1</f>
        <v/>
      </c>
      <c r="B33" s="278" t="inlineStr">
        <is>
          <t>Artificial Christmas Tree</t>
        </is>
      </c>
      <c r="C33" s="577" t="inlineStr">
        <is>
          <t>E103180</t>
        </is>
      </c>
      <c r="D33" s="575" t="n">
        <v>45793</v>
      </c>
      <c r="E33" s="578" t="n">
        <v>57609670</v>
      </c>
    </row>
    <row r="34" ht="24" customFormat="1" customHeight="1" s="2">
      <c r="A34" s="277">
        <f>A33+1</f>
        <v/>
      </c>
      <c r="B34" s="278" t="inlineStr">
        <is>
          <t>Artificial Christmas Tree</t>
        </is>
      </c>
      <c r="C34" s="577" t="inlineStr">
        <is>
          <t>E102214</t>
        </is>
      </c>
      <c r="D34" s="575" t="n">
        <v>45793</v>
      </c>
      <c r="E34" s="578" t="n">
        <v>250212204</v>
      </c>
    </row>
    <row r="35" ht="24" customFormat="1" customHeight="1" s="2">
      <c r="A35" s="277">
        <f>A34+1</f>
        <v/>
      </c>
      <c r="B35" s="278" t="inlineStr">
        <is>
          <t>Artificial Christmas Tree</t>
        </is>
      </c>
      <c r="C35" s="577" t="inlineStr">
        <is>
          <t>E102538</t>
        </is>
      </c>
      <c r="D35" s="575" t="n">
        <v>45793</v>
      </c>
      <c r="E35" s="578" t="n">
        <v>130217556</v>
      </c>
    </row>
    <row r="36" ht="24" customFormat="1" customHeight="1" s="2">
      <c r="A36" s="277">
        <f>A35+1</f>
        <v/>
      </c>
      <c r="B36" s="278" t="inlineStr">
        <is>
          <t>Artificial Christmas Tree</t>
        </is>
      </c>
      <c r="C36" s="577" t="inlineStr">
        <is>
          <t>E102393</t>
        </is>
      </c>
      <c r="D36" s="575" t="n">
        <v>45793</v>
      </c>
      <c r="E36" s="578" t="n">
        <v>136165969</v>
      </c>
    </row>
    <row r="37" ht="24" customFormat="1" customHeight="1" s="2">
      <c r="A37" s="277">
        <f>A36+1</f>
        <v/>
      </c>
      <c r="B37" s="278" t="inlineStr">
        <is>
          <t>Artificial Christmas Tree</t>
        </is>
      </c>
      <c r="C37" s="577" t="inlineStr">
        <is>
          <t>E102447</t>
        </is>
      </c>
      <c r="D37" s="575" t="n">
        <v>45793</v>
      </c>
      <c r="E37" s="578" t="n">
        <v>118608555</v>
      </c>
    </row>
    <row r="38" ht="24" customFormat="1" customHeight="1" s="2">
      <c r="A38" s="277">
        <f>A37+1</f>
        <v/>
      </c>
      <c r="B38" s="278" t="inlineStr">
        <is>
          <t>Artificial Christmas Tree</t>
        </is>
      </c>
      <c r="C38" s="577" t="inlineStr">
        <is>
          <t>E102062</t>
        </is>
      </c>
      <c r="D38" s="575" t="n">
        <v>45793</v>
      </c>
      <c r="E38" s="578" t="n">
        <v>553083444</v>
      </c>
    </row>
    <row r="39" ht="24" customFormat="1" customHeight="1" s="2">
      <c r="A39" s="277">
        <f>A38+1</f>
        <v/>
      </c>
      <c r="B39" s="278" t="inlineStr">
        <is>
          <t>Artificial Christmas Tree</t>
        </is>
      </c>
      <c r="C39" s="577" t="inlineStr">
        <is>
          <t>E103291</t>
        </is>
      </c>
      <c r="D39" s="575" t="n">
        <v>45793</v>
      </c>
      <c r="E39" s="578" t="n">
        <v>63815572</v>
      </c>
    </row>
    <row r="40" ht="24" customFormat="1" customHeight="1" s="2">
      <c r="A40" s="277">
        <f>A39+1</f>
        <v/>
      </c>
      <c r="B40" s="278" t="inlineStr">
        <is>
          <t>Artificial Christmas Tree</t>
        </is>
      </c>
      <c r="C40" s="577" t="inlineStr">
        <is>
          <t>E103243</t>
        </is>
      </c>
      <c r="D40" s="575" t="n">
        <v>45793</v>
      </c>
      <c r="E40" s="578" t="n">
        <v>63514301</v>
      </c>
    </row>
    <row r="41" ht="24" customFormat="1" customHeight="1" s="2">
      <c r="A41" s="277">
        <f>A40+1</f>
        <v/>
      </c>
      <c r="B41" s="278" t="inlineStr">
        <is>
          <t>Artificial Christmas Tree</t>
        </is>
      </c>
      <c r="C41" s="577" t="inlineStr">
        <is>
          <t>E102309</t>
        </is>
      </c>
      <c r="D41" s="575" t="n">
        <v>45793</v>
      </c>
      <c r="E41" s="578" t="n">
        <v>254904909</v>
      </c>
    </row>
    <row r="42" ht="24" customFormat="1" customHeight="1" s="2">
      <c r="A42" s="277">
        <f>A41+1</f>
        <v/>
      </c>
      <c r="B42" s="278" t="inlineStr">
        <is>
          <t>Artificial Christmas Tree</t>
        </is>
      </c>
      <c r="C42" s="577" t="inlineStr">
        <is>
          <t>E102076</t>
        </is>
      </c>
      <c r="D42" s="575" t="n">
        <v>45793</v>
      </c>
      <c r="E42" s="578" t="n">
        <v>304117303</v>
      </c>
    </row>
    <row r="43" ht="24" customFormat="1" customHeight="1" s="2">
      <c r="A43" s="277">
        <f>A42+1</f>
        <v/>
      </c>
      <c r="B43" s="278" t="inlineStr">
        <is>
          <t>Artificial Christmas Tree</t>
        </is>
      </c>
      <c r="C43" s="577" t="inlineStr">
        <is>
          <t>E114339</t>
        </is>
      </c>
      <c r="D43" s="575" t="n">
        <v>45807</v>
      </c>
      <c r="E43" s="578" t="n">
        <v>236984501</v>
      </c>
    </row>
    <row r="44" ht="24" customFormat="1" customHeight="1" s="2">
      <c r="A44" s="277">
        <f>A43+1</f>
        <v/>
      </c>
      <c r="B44" s="278" t="inlineStr">
        <is>
          <t>Artificial Christmas Tree</t>
        </is>
      </c>
      <c r="C44" s="577" t="inlineStr">
        <is>
          <t>E113963</t>
        </is>
      </c>
      <c r="D44" s="575" t="n">
        <v>45807</v>
      </c>
      <c r="E44" s="578" t="n">
        <v>236038440</v>
      </c>
    </row>
    <row r="45" ht="24" customFormat="1" customHeight="1" s="2">
      <c r="A45" s="277">
        <f>A44+1</f>
        <v/>
      </c>
      <c r="B45" s="278" t="inlineStr">
        <is>
          <t>Artificial Christmas Tree</t>
        </is>
      </c>
      <c r="C45" s="577" t="inlineStr">
        <is>
          <t>E113819</t>
        </is>
      </c>
      <c r="D45" s="575" t="n">
        <v>45807</v>
      </c>
      <c r="E45" s="578" t="n">
        <v>48157322</v>
      </c>
    </row>
    <row r="46" ht="24" customFormat="1" customHeight="1" s="2">
      <c r="A46" s="277">
        <f>A45+1</f>
        <v/>
      </c>
      <c r="B46" s="278" t="inlineStr">
        <is>
          <t>Artificial Christmas Tree</t>
        </is>
      </c>
      <c r="C46" s="577" t="inlineStr">
        <is>
          <t>E107088</t>
        </is>
      </c>
      <c r="D46" s="575" t="n">
        <v>45800</v>
      </c>
      <c r="E46" s="578" t="n">
        <v>25775957</v>
      </c>
    </row>
    <row r="47" ht="24" customFormat="1" customHeight="1" s="2">
      <c r="A47" s="277">
        <f>A46+1</f>
        <v/>
      </c>
      <c r="B47" s="278" t="inlineStr">
        <is>
          <t>Artificial Christmas Tree</t>
        </is>
      </c>
      <c r="C47" s="577" t="inlineStr">
        <is>
          <t>E99147</t>
        </is>
      </c>
      <c r="D47" s="575" t="n">
        <v>45790</v>
      </c>
      <c r="E47" s="578" t="n">
        <v>75362182</v>
      </c>
    </row>
    <row r="48" ht="24" customFormat="1" customHeight="1" s="2">
      <c r="A48" s="277">
        <f>A47+1</f>
        <v/>
      </c>
      <c r="B48" s="278" t="inlineStr">
        <is>
          <t>Artificial Christmas Tree</t>
        </is>
      </c>
      <c r="C48" s="577" t="inlineStr">
        <is>
          <t>E99150</t>
        </is>
      </c>
      <c r="D48" s="575" t="n">
        <v>45790</v>
      </c>
      <c r="E48" s="578" t="n">
        <v>293340677</v>
      </c>
    </row>
    <row r="49" ht="24" customFormat="1" customHeight="1" s="2">
      <c r="A49" s="277">
        <f>A48+1</f>
        <v/>
      </c>
      <c r="B49" s="278" t="inlineStr">
        <is>
          <t>Artificial Christmas Tree</t>
        </is>
      </c>
      <c r="C49" s="577" t="inlineStr">
        <is>
          <t>E103255</t>
        </is>
      </c>
      <c r="D49" s="575" t="n">
        <v>45793</v>
      </c>
      <c r="E49" s="578" t="n">
        <v>309956981</v>
      </c>
    </row>
    <row r="50" ht="24" customFormat="1" customHeight="1" s="2">
      <c r="A50" s="277">
        <f>A49+1</f>
        <v/>
      </c>
      <c r="B50" s="278" t="inlineStr">
        <is>
          <t>Artificial Christmas Tree</t>
        </is>
      </c>
      <c r="C50" s="577" t="inlineStr">
        <is>
          <t>E103269</t>
        </is>
      </c>
      <c r="D50" s="575" t="n">
        <v>45793</v>
      </c>
      <c r="E50" s="578" t="n">
        <v>475282002</v>
      </c>
    </row>
    <row r="51" ht="24" customFormat="1" customHeight="1" s="2">
      <c r="A51" s="277">
        <f>A50+1</f>
        <v/>
      </c>
      <c r="B51" s="278" t="inlineStr">
        <is>
          <t>Artificial Christmas Tree</t>
        </is>
      </c>
      <c r="C51" s="577" t="inlineStr">
        <is>
          <t>E102673</t>
        </is>
      </c>
      <c r="D51" s="575" t="n">
        <v>45793</v>
      </c>
      <c r="E51" s="578" t="n">
        <v>78785613</v>
      </c>
    </row>
    <row r="52" ht="24" customFormat="1" customHeight="1" s="2">
      <c r="A52" s="277">
        <f>A51+1</f>
        <v/>
      </c>
      <c r="B52" s="278" t="inlineStr">
        <is>
          <t>Artificial Christmas Tree</t>
        </is>
      </c>
      <c r="C52" s="577" t="inlineStr">
        <is>
          <t>E102687</t>
        </is>
      </c>
      <c r="D52" s="575" t="n">
        <v>45793</v>
      </c>
      <c r="E52" s="578" t="n">
        <v>157571226</v>
      </c>
    </row>
    <row r="53" ht="24" customFormat="1" customHeight="1" s="2">
      <c r="A53" s="277">
        <f>A52+1</f>
        <v/>
      </c>
      <c r="B53" s="278" t="inlineStr">
        <is>
          <t>Artificial Christmas Tree</t>
        </is>
      </c>
      <c r="C53" s="577" t="inlineStr">
        <is>
          <t>E102037</t>
        </is>
      </c>
      <c r="D53" s="575" t="n">
        <v>45793</v>
      </c>
      <c r="E53" s="578" t="n">
        <v>62043166</v>
      </c>
    </row>
    <row r="54" ht="24" customFormat="1" customHeight="1" s="2">
      <c r="A54" s="277">
        <f>A53+1</f>
        <v/>
      </c>
      <c r="B54" s="278" t="inlineStr">
        <is>
          <t>Artificial Christmas Tree</t>
        </is>
      </c>
      <c r="C54" s="577" t="inlineStr">
        <is>
          <t>E102869</t>
        </is>
      </c>
      <c r="D54" s="575" t="n">
        <v>45793</v>
      </c>
      <c r="E54" s="578" t="n">
        <v>152035500</v>
      </c>
    </row>
    <row r="55" ht="24" customFormat="1" customHeight="1" s="2">
      <c r="A55" s="277">
        <f>A54+1</f>
        <v/>
      </c>
      <c r="B55" s="278" t="inlineStr">
        <is>
          <t>Artificial Christmas Tree</t>
        </is>
      </c>
      <c r="C55" s="577" t="inlineStr">
        <is>
          <t>E103304</t>
        </is>
      </c>
      <c r="D55" s="575" t="n">
        <v>45793</v>
      </c>
      <c r="E55" s="578" t="n">
        <v>566248743</v>
      </c>
    </row>
    <row r="56" ht="24" customFormat="1" customHeight="1" s="2">
      <c r="A56" s="277">
        <f>A55+1</f>
        <v/>
      </c>
      <c r="B56" s="278" t="inlineStr">
        <is>
          <t>Artificial Christmas Tree</t>
        </is>
      </c>
      <c r="C56" s="577" t="inlineStr">
        <is>
          <t>E102905</t>
        </is>
      </c>
      <c r="D56" s="575" t="n">
        <v>45793</v>
      </c>
      <c r="E56" s="578" t="n">
        <v>153338391</v>
      </c>
    </row>
    <row r="57" ht="24" customFormat="1" customHeight="1" s="2">
      <c r="A57" s="277">
        <f>A56+1</f>
        <v/>
      </c>
      <c r="B57" s="278" t="inlineStr">
        <is>
          <t>Artificial Christmas Tree</t>
        </is>
      </c>
      <c r="C57" s="577" t="inlineStr">
        <is>
          <t>E102890</t>
        </is>
      </c>
      <c r="D57" s="575" t="n">
        <v>45793</v>
      </c>
      <c r="E57" s="578" t="n">
        <v>130258817</v>
      </c>
    </row>
    <row r="58" ht="24" customFormat="1" customHeight="1" s="2">
      <c r="A58" s="277">
        <f>A57+1</f>
        <v/>
      </c>
      <c r="B58" s="278" t="inlineStr">
        <is>
          <t>Artificial Christmas Tree</t>
        </is>
      </c>
      <c r="C58" s="577" t="inlineStr">
        <is>
          <t>E102761</t>
        </is>
      </c>
      <c r="D58" s="575" t="n">
        <v>45793</v>
      </c>
      <c r="E58" s="578" t="n">
        <v>61664737</v>
      </c>
    </row>
    <row r="59" ht="24" customFormat="1" customHeight="1" s="2">
      <c r="A59" s="277">
        <f>A58+1</f>
        <v/>
      </c>
      <c r="B59" s="278" t="inlineStr">
        <is>
          <t>Artificial Christmas Tree</t>
        </is>
      </c>
      <c r="C59" s="577" t="inlineStr">
        <is>
          <t>E102733</t>
        </is>
      </c>
      <c r="D59" s="575" t="n">
        <v>45793</v>
      </c>
      <c r="E59" s="578" t="n">
        <v>35424423</v>
      </c>
    </row>
    <row r="60" ht="24" customFormat="1" customHeight="1" s="2">
      <c r="A60" s="277">
        <f>A59+1</f>
        <v/>
      </c>
      <c r="B60" s="278" t="inlineStr">
        <is>
          <t>Artificial Christmas Tree</t>
        </is>
      </c>
      <c r="C60" s="577" t="inlineStr">
        <is>
          <t>E103542</t>
        </is>
      </c>
      <c r="D60" s="575" t="n">
        <v>45793</v>
      </c>
      <c r="E60" s="578" t="n">
        <v>272644774</v>
      </c>
    </row>
    <row r="61" ht="24" customFormat="1" customHeight="1" s="2">
      <c r="A61" s="277">
        <f>A60+1</f>
        <v/>
      </c>
      <c r="B61" s="278" t="inlineStr">
        <is>
          <t>Artificial Christmas Tree</t>
        </is>
      </c>
      <c r="C61" s="577" t="inlineStr">
        <is>
          <t>E103166</t>
        </is>
      </c>
      <c r="D61" s="575" t="n">
        <v>45793</v>
      </c>
      <c r="E61" s="578" t="n">
        <v>69775070</v>
      </c>
    </row>
    <row r="62" ht="24" customFormat="1" customHeight="1" s="2">
      <c r="A62" s="277">
        <f>A61+1</f>
        <v/>
      </c>
      <c r="B62" s="278" t="inlineStr">
        <is>
          <t>Artificial Christmas Tree</t>
        </is>
      </c>
      <c r="C62" s="577" t="inlineStr">
        <is>
          <t>E103501</t>
        </is>
      </c>
      <c r="D62" s="575" t="n">
        <v>45793</v>
      </c>
      <c r="E62" s="578" t="n">
        <v>43814336</v>
      </c>
    </row>
    <row r="63" ht="24" customFormat="1" customHeight="1" s="2">
      <c r="A63" s="277">
        <f>A62+1</f>
        <v/>
      </c>
      <c r="B63" s="278" t="inlineStr">
        <is>
          <t>Artificial Christmas Tree</t>
        </is>
      </c>
      <c r="C63" s="577" t="inlineStr">
        <is>
          <t>E103240</t>
        </is>
      </c>
      <c r="D63" s="575" t="n">
        <v>45793</v>
      </c>
      <c r="E63" s="578" t="n">
        <v>37584983</v>
      </c>
    </row>
    <row r="64" ht="24" customFormat="1" customHeight="1" s="2">
      <c r="A64" s="277">
        <f>A63+1</f>
        <v/>
      </c>
      <c r="B64" s="278" t="inlineStr">
        <is>
          <t>Artificial Christmas Tree</t>
        </is>
      </c>
      <c r="C64" s="577" t="inlineStr">
        <is>
          <t>E102925</t>
        </is>
      </c>
      <c r="D64" s="575" t="n">
        <v>45793</v>
      </c>
      <c r="E64" s="578" t="n">
        <v>66322905</v>
      </c>
    </row>
    <row r="65" ht="24" customFormat="1" customHeight="1" s="2">
      <c r="A65" s="277">
        <f>A64+1</f>
        <v/>
      </c>
      <c r="B65" s="278" t="inlineStr">
        <is>
          <t>Artificial Christmas Tree</t>
        </is>
      </c>
      <c r="C65" s="577" t="inlineStr">
        <is>
          <t>E103204</t>
        </is>
      </c>
      <c r="D65" s="575" t="n">
        <v>45793</v>
      </c>
      <c r="E65" s="578" t="n">
        <v>114874769</v>
      </c>
    </row>
    <row r="66" ht="24" customFormat="1" customHeight="1" s="2">
      <c r="A66" s="277">
        <f>A65+1</f>
        <v/>
      </c>
      <c r="B66" s="278" t="inlineStr">
        <is>
          <t>Artificial Christmas Tree</t>
        </is>
      </c>
      <c r="C66" s="577" t="inlineStr">
        <is>
          <t>E103005</t>
        </is>
      </c>
      <c r="D66" s="575" t="n">
        <v>45793</v>
      </c>
      <c r="E66" s="578" t="n">
        <v>98252302</v>
      </c>
    </row>
    <row r="67" ht="24" customFormat="1" customHeight="1" s="2">
      <c r="A67" s="277">
        <f>A66+1</f>
        <v/>
      </c>
      <c r="B67" s="278" t="inlineStr">
        <is>
          <t>Artificial Christmas Tree</t>
        </is>
      </c>
      <c r="C67" s="577" t="inlineStr">
        <is>
          <t>E103053</t>
        </is>
      </c>
      <c r="D67" s="575" t="n">
        <v>45793</v>
      </c>
      <c r="E67" s="578" t="n">
        <v>113490637</v>
      </c>
    </row>
    <row r="68" ht="24" customFormat="1" customHeight="1" s="2">
      <c r="A68" s="277">
        <f>A67+1</f>
        <v/>
      </c>
      <c r="B68" s="278" t="inlineStr">
        <is>
          <t>Artificial Christmas Tree</t>
        </is>
      </c>
      <c r="C68" s="577" t="inlineStr">
        <is>
          <t>E103518</t>
        </is>
      </c>
      <c r="D68" s="575" t="n">
        <v>45793</v>
      </c>
      <c r="E68" s="578" t="n">
        <v>64103636</v>
      </c>
    </row>
    <row r="69" ht="24" customFormat="1" customHeight="1" s="2">
      <c r="A69" s="277">
        <f>A68+1</f>
        <v/>
      </c>
      <c r="B69" s="278" t="inlineStr">
        <is>
          <t>Artificial Christmas Tree</t>
        </is>
      </c>
      <c r="C69" s="577" t="inlineStr">
        <is>
          <t>E106993</t>
        </is>
      </c>
      <c r="D69" s="575" t="n">
        <v>45800</v>
      </c>
      <c r="E69" s="578" t="n">
        <v>497742627</v>
      </c>
    </row>
    <row r="70" ht="24" customFormat="1" customHeight="1" s="2">
      <c r="A70" s="277">
        <f>A69+1</f>
        <v/>
      </c>
      <c r="B70" s="278" t="inlineStr">
        <is>
          <t>Artificial Christmas Tree</t>
        </is>
      </c>
      <c r="C70" s="577" t="inlineStr">
        <is>
          <t>E107020</t>
        </is>
      </c>
      <c r="D70" s="575" t="n">
        <v>45800</v>
      </c>
      <c r="E70" s="578" t="n">
        <v>62217828</v>
      </c>
    </row>
    <row r="71" ht="24" customFormat="1" customHeight="1" s="2">
      <c r="A71" s="277">
        <f>A70+1</f>
        <v/>
      </c>
      <c r="B71" s="278" t="inlineStr">
        <is>
          <t>Artificial Christmas Tree</t>
        </is>
      </c>
      <c r="C71" s="577" t="inlineStr">
        <is>
          <t>E107341</t>
        </is>
      </c>
      <c r="D71" s="575" t="n">
        <v>45800</v>
      </c>
      <c r="E71" s="578" t="n">
        <v>124435657</v>
      </c>
    </row>
    <row r="72" ht="24" customFormat="1" customHeight="1" s="2">
      <c r="A72" s="277">
        <f>A71+1</f>
        <v/>
      </c>
      <c r="B72" s="278" t="inlineStr">
        <is>
          <t>Artificial Christmas Tree</t>
        </is>
      </c>
      <c r="C72" s="577" t="inlineStr">
        <is>
          <t>E107038</t>
        </is>
      </c>
      <c r="D72" s="575" t="n">
        <v>45800</v>
      </c>
      <c r="E72" s="578" t="n">
        <v>62217828</v>
      </c>
    </row>
    <row r="73" ht="24" customFormat="1" customHeight="1" s="2">
      <c r="A73" s="277">
        <f>A72+1</f>
        <v/>
      </c>
      <c r="B73" s="278" t="inlineStr">
        <is>
          <t>Artificial Christmas Tree</t>
        </is>
      </c>
      <c r="C73" s="577" t="inlineStr">
        <is>
          <t>E107061</t>
        </is>
      </c>
      <c r="D73" s="575" t="n">
        <v>45800</v>
      </c>
      <c r="E73" s="578" t="n">
        <v>62217828</v>
      </c>
    </row>
    <row r="74" ht="24" customFormat="1" customHeight="1" s="2">
      <c r="A74" s="277">
        <f>A73+1</f>
        <v/>
      </c>
      <c r="B74" s="278" t="inlineStr">
        <is>
          <t>Artificial Christmas Tree</t>
        </is>
      </c>
      <c r="C74" s="577" t="inlineStr">
        <is>
          <t>E110454</t>
        </is>
      </c>
      <c r="D74" s="575" t="n">
        <v>45801</v>
      </c>
      <c r="E74" s="578" t="n">
        <v>72079219</v>
      </c>
    </row>
    <row r="75" ht="24" customFormat="1" customHeight="1" s="2">
      <c r="A75" s="277">
        <f>A74+1</f>
        <v/>
      </c>
      <c r="B75" s="278" t="inlineStr">
        <is>
          <t>Artificial Christmas Tree</t>
        </is>
      </c>
      <c r="C75" s="577" t="inlineStr">
        <is>
          <t>E108436</t>
        </is>
      </c>
      <c r="D75" s="575" t="n">
        <v>45800</v>
      </c>
      <c r="E75" s="578" t="n">
        <v>117325048</v>
      </c>
    </row>
    <row r="76" ht="24" customFormat="1" customHeight="1" s="2">
      <c r="A76" s="277">
        <f>A75+1</f>
        <v/>
      </c>
      <c r="B76" s="278" t="inlineStr">
        <is>
          <t>Artificial Christmas Tree</t>
        </is>
      </c>
      <c r="C76" s="577" t="inlineStr">
        <is>
          <t>E113702</t>
        </is>
      </c>
      <c r="D76" s="575" t="n">
        <v>45807</v>
      </c>
      <c r="E76" s="578" t="n">
        <v>9184266</v>
      </c>
    </row>
    <row r="77" ht="24" customFormat="1" customHeight="1" s="2">
      <c r="A77" s="277">
        <f>A76+1</f>
        <v/>
      </c>
      <c r="B77" s="278" t="inlineStr">
        <is>
          <t>Artificial Christmas Tree</t>
        </is>
      </c>
      <c r="C77" s="577" t="inlineStr">
        <is>
          <t>E107310</t>
        </is>
      </c>
      <c r="D77" s="575" t="n">
        <v>45800</v>
      </c>
      <c r="E77" s="578" t="n">
        <v>98151799</v>
      </c>
    </row>
    <row r="78" ht="24" customFormat="1" customHeight="1" s="2">
      <c r="A78" s="277">
        <f>A77+1</f>
        <v/>
      </c>
      <c r="B78" s="278" t="inlineStr">
        <is>
          <t>Artificial Christmas Tree</t>
        </is>
      </c>
      <c r="C78" s="577" t="inlineStr">
        <is>
          <t>E102690</t>
        </is>
      </c>
      <c r="D78" s="575" t="n">
        <v>45793</v>
      </c>
      <c r="E78" s="578" t="n">
        <v>57607349</v>
      </c>
    </row>
    <row r="79" ht="24" customFormat="1" customHeight="1" s="2">
      <c r="A79" s="277">
        <f>A78+1</f>
        <v/>
      </c>
      <c r="B79" s="278" t="inlineStr">
        <is>
          <t>Artificial Christmas Tree</t>
        </is>
      </c>
      <c r="C79" s="577" t="inlineStr">
        <is>
          <t>E102705</t>
        </is>
      </c>
      <c r="D79" s="575" t="n">
        <v>45793</v>
      </c>
      <c r="E79" s="578" t="n">
        <v>63145077</v>
      </c>
    </row>
    <row r="80" ht="24" customFormat="1" customHeight="1" s="2">
      <c r="A80" s="277">
        <f>A79+1</f>
        <v/>
      </c>
      <c r="B80" s="278" t="inlineStr">
        <is>
          <t>Artificial Christmas Tree</t>
        </is>
      </c>
      <c r="C80" s="577" t="inlineStr">
        <is>
          <t>E102725</t>
        </is>
      </c>
      <c r="D80" s="575" t="n">
        <v>45793</v>
      </c>
      <c r="E80" s="578" t="n">
        <v>50143939</v>
      </c>
    </row>
    <row r="81" ht="24" customFormat="1" customHeight="1" s="2">
      <c r="A81" s="277">
        <f>A80+1</f>
        <v/>
      </c>
      <c r="B81" s="278" t="inlineStr">
        <is>
          <t>Artificial Christmas Tree</t>
        </is>
      </c>
      <c r="C81" s="577" t="inlineStr">
        <is>
          <t>E102762</t>
        </is>
      </c>
      <c r="D81" s="575" t="n">
        <v>45793</v>
      </c>
      <c r="E81" s="578" t="n">
        <v>28057702</v>
      </c>
    </row>
    <row r="82" ht="24" customFormat="1" customHeight="1" s="2">
      <c r="A82" s="277">
        <f>A81+1</f>
        <v/>
      </c>
      <c r="B82" s="278" t="inlineStr">
        <is>
          <t>Artificial Christmas Tree</t>
        </is>
      </c>
      <c r="C82" s="577" t="inlineStr">
        <is>
          <t>E102780</t>
        </is>
      </c>
      <c r="D82" s="575" t="n">
        <v>45793</v>
      </c>
      <c r="E82" s="578" t="n">
        <v>62929209</v>
      </c>
    </row>
    <row r="83" ht="24" customFormat="1" customHeight="1" s="2">
      <c r="A83" s="277">
        <f>A82+1</f>
        <v/>
      </c>
      <c r="B83" s="278" t="inlineStr">
        <is>
          <t>Artificial Christmas Tree</t>
        </is>
      </c>
      <c r="C83" s="577" t="inlineStr">
        <is>
          <t>E102806</t>
        </is>
      </c>
      <c r="D83" s="575" t="n">
        <v>45793</v>
      </c>
      <c r="E83" s="578" t="n">
        <v>55533593</v>
      </c>
    </row>
    <row r="84" ht="24" customFormat="1" customHeight="1" s="2">
      <c r="A84" s="277">
        <f>A83+1</f>
        <v/>
      </c>
      <c r="B84" s="278" t="inlineStr">
        <is>
          <t>Artificial Christmas Tree</t>
        </is>
      </c>
      <c r="C84" s="577" t="inlineStr">
        <is>
          <t>E102817</t>
        </is>
      </c>
      <c r="D84" s="575" t="n">
        <v>45793</v>
      </c>
      <c r="E84" s="578" t="n">
        <v>78785613</v>
      </c>
    </row>
    <row r="85" ht="24" customFormat="1" customHeight="1" s="2">
      <c r="A85" s="277">
        <f>A84+1</f>
        <v/>
      </c>
      <c r="B85" s="278" t="inlineStr">
        <is>
          <t>Artificial Christmas Tree</t>
        </is>
      </c>
      <c r="C85" s="577" t="inlineStr">
        <is>
          <t>E102840</t>
        </is>
      </c>
      <c r="D85" s="575" t="n">
        <v>45793</v>
      </c>
      <c r="E85" s="578" t="n">
        <v>58267639</v>
      </c>
    </row>
    <row r="86" ht="24" customFormat="1" customHeight="1" s="2">
      <c r="A86" s="277">
        <f>A85+1</f>
        <v/>
      </c>
      <c r="B86" s="278" t="inlineStr">
        <is>
          <t>Artificial Christmas Tree</t>
        </is>
      </c>
      <c r="C86" s="577" t="inlineStr">
        <is>
          <t>E102865</t>
        </is>
      </c>
      <c r="D86" s="575" t="n">
        <v>45793</v>
      </c>
      <c r="E86" s="578" t="n">
        <v>44785181</v>
      </c>
    </row>
    <row r="87" ht="24" customFormat="1" customHeight="1" s="2">
      <c r="A87" s="277">
        <f>A86+1</f>
        <v/>
      </c>
      <c r="B87" s="278" t="inlineStr">
        <is>
          <t>Artificial Christmas Tree</t>
        </is>
      </c>
      <c r="C87" s="577" t="inlineStr">
        <is>
          <t>E102879</t>
        </is>
      </c>
      <c r="D87" s="575" t="n">
        <v>45793</v>
      </c>
      <c r="E87" s="578" t="n">
        <v>92715535</v>
      </c>
    </row>
    <row r="88" ht="24" customFormat="1" customHeight="1" s="2">
      <c r="A88" s="277">
        <f>A87+1</f>
        <v/>
      </c>
      <c r="B88" s="278" t="inlineStr">
        <is>
          <t>Artificial Christmas Tree</t>
        </is>
      </c>
      <c r="C88" s="577" t="inlineStr">
        <is>
          <t>E107382</t>
        </is>
      </c>
      <c r="D88" s="575" t="n">
        <v>45800</v>
      </c>
      <c r="E88" s="578" t="n">
        <v>139481172</v>
      </c>
    </row>
    <row r="89" ht="24" customFormat="1" customHeight="1" s="2">
      <c r="A89" s="277">
        <f>A88+1</f>
        <v/>
      </c>
      <c r="B89" s="278" t="inlineStr">
        <is>
          <t>Artificial Christmas Tree</t>
        </is>
      </c>
      <c r="C89" s="577" t="inlineStr">
        <is>
          <t>E106869</t>
        </is>
      </c>
      <c r="D89" s="575" t="n">
        <v>45800</v>
      </c>
      <c r="E89" s="578" t="n">
        <v>611131445</v>
      </c>
    </row>
    <row r="90" ht="24" customFormat="1" customHeight="1" s="2">
      <c r="A90" s="277">
        <f>A89+1</f>
        <v/>
      </c>
      <c r="B90" s="278" t="inlineStr">
        <is>
          <t>Artificial Christmas Tree</t>
        </is>
      </c>
      <c r="C90" s="577" t="inlineStr">
        <is>
          <t>E107294</t>
        </is>
      </c>
      <c r="D90" s="575" t="n">
        <v>45800</v>
      </c>
      <c r="E90" s="578" t="n">
        <v>29585212</v>
      </c>
    </row>
    <row r="91" ht="24" customFormat="1" customHeight="1" s="2">
      <c r="A91" s="277">
        <f>A90+1</f>
        <v/>
      </c>
      <c r="B91" s="278" t="inlineStr">
        <is>
          <t>Artificial Christmas Tree</t>
        </is>
      </c>
      <c r="C91" s="577" t="inlineStr">
        <is>
          <t>E107320</t>
        </is>
      </c>
      <c r="D91" s="575" t="n">
        <v>45800</v>
      </c>
      <c r="E91" s="578" t="n">
        <v>124435657</v>
      </c>
    </row>
    <row r="92" ht="24" customFormat="1" customHeight="1" s="2">
      <c r="A92" s="277">
        <f>A91+1</f>
        <v/>
      </c>
      <c r="B92" s="278" t="inlineStr">
        <is>
          <t>Artificial Christmas Tree</t>
        </is>
      </c>
      <c r="C92" s="577" t="inlineStr">
        <is>
          <t>E110431</t>
        </is>
      </c>
      <c r="D92" s="575" t="n">
        <v>45801</v>
      </c>
      <c r="E92" s="578" t="n">
        <v>53111604</v>
      </c>
    </row>
    <row r="93" ht="24" customFormat="1" customHeight="1" s="2">
      <c r="A93" s="277">
        <f>A92+1</f>
        <v/>
      </c>
      <c r="B93" s="278" t="inlineStr">
        <is>
          <t>Artificial Christmas Tree</t>
        </is>
      </c>
      <c r="C93" s="577" t="inlineStr">
        <is>
          <t>E107342</t>
        </is>
      </c>
      <c r="D93" s="575" t="n">
        <v>45800</v>
      </c>
      <c r="E93" s="578" t="n">
        <v>123165905</v>
      </c>
    </row>
    <row r="94" ht="24" customFormat="1" customHeight="1" s="2">
      <c r="A94" s="277">
        <f>A93+1</f>
        <v/>
      </c>
      <c r="B94" s="278" t="inlineStr">
        <is>
          <t>Artificial Christmas Tree</t>
        </is>
      </c>
      <c r="C94" s="577" t="inlineStr">
        <is>
          <t>E107360</t>
        </is>
      </c>
      <c r="D94" s="575" t="n">
        <v>45800</v>
      </c>
      <c r="E94" s="578" t="n">
        <v>248871314</v>
      </c>
    </row>
    <row r="95" ht="24" customFormat="1" customHeight="1" s="2">
      <c r="A95" s="277">
        <f>A94+1</f>
        <v/>
      </c>
      <c r="B95" s="278" t="inlineStr">
        <is>
          <t>Artificial Christmas Tree</t>
        </is>
      </c>
      <c r="C95" s="577" t="inlineStr">
        <is>
          <t>E112669</t>
        </is>
      </c>
      <c r="D95" s="575" t="n">
        <v>45806</v>
      </c>
      <c r="E95" s="578" t="n">
        <v>773103932</v>
      </c>
    </row>
    <row r="96" ht="24" customFormat="1" customHeight="1" s="2">
      <c r="A96" s="277">
        <f>A95+1</f>
        <v/>
      </c>
      <c r="B96" s="278" t="inlineStr">
        <is>
          <t>Artificial Christmas Tree</t>
        </is>
      </c>
      <c r="C96" s="577" t="inlineStr">
        <is>
          <t>E112680</t>
        </is>
      </c>
      <c r="D96" s="575" t="n">
        <v>45806</v>
      </c>
      <c r="E96" s="578" t="n">
        <v>302205704</v>
      </c>
    </row>
    <row r="97" ht="24" customFormat="1" customHeight="1" s="2">
      <c r="A97" s="277">
        <f>A96+1</f>
        <v/>
      </c>
      <c r="B97" s="278" t="inlineStr">
        <is>
          <t>Artificial Christmas Tree</t>
        </is>
      </c>
      <c r="C97" s="577" t="inlineStr">
        <is>
          <t>E112700</t>
        </is>
      </c>
      <c r="D97" s="575" t="n">
        <v>45806</v>
      </c>
      <c r="E97" s="578" t="n">
        <v>607028702</v>
      </c>
    </row>
    <row r="98" ht="24" customFormat="1" customHeight="1" s="2">
      <c r="A98" s="277">
        <f>A97+1</f>
        <v/>
      </c>
      <c r="B98" s="278" t="inlineStr">
        <is>
          <t>Artificial Christmas Tree</t>
        </is>
      </c>
      <c r="C98" s="577" t="inlineStr">
        <is>
          <t>E113619</t>
        </is>
      </c>
      <c r="D98" s="575" t="n">
        <v>45807</v>
      </c>
      <c r="E98" s="578" t="n">
        <v>15108622</v>
      </c>
    </row>
    <row r="99" ht="24" customFormat="1" customHeight="1" s="2">
      <c r="A99" s="277">
        <f>A98+1</f>
        <v/>
      </c>
      <c r="B99" s="278" t="inlineStr">
        <is>
          <t>Artificial Christmas Tree</t>
        </is>
      </c>
      <c r="C99" s="577" t="inlineStr">
        <is>
          <t>E113647</t>
        </is>
      </c>
      <c r="D99" s="575" t="n">
        <v>45807</v>
      </c>
      <c r="E99" s="578" t="n">
        <v>22063385</v>
      </c>
    </row>
    <row r="100" ht="24" customFormat="1" customHeight="1" s="2">
      <c r="A100" s="277">
        <f>A99+1</f>
        <v/>
      </c>
      <c r="B100" s="278" t="inlineStr">
        <is>
          <t>Artificial Christmas Tree</t>
        </is>
      </c>
      <c r="C100" s="577" t="inlineStr">
        <is>
          <t>E112707</t>
        </is>
      </c>
      <c r="D100" s="575" t="n">
        <v>45806</v>
      </c>
      <c r="E100" s="578" t="n">
        <v>28948720</v>
      </c>
    </row>
    <row r="101" ht="24" customFormat="1" customHeight="1" s="2">
      <c r="A101" s="277">
        <f>A100+1</f>
        <v/>
      </c>
      <c r="B101" s="278" t="inlineStr">
        <is>
          <t>Artificial Christmas Tree</t>
        </is>
      </c>
      <c r="C101" s="577" t="inlineStr">
        <is>
          <t>E112713</t>
        </is>
      </c>
      <c r="D101" s="575" t="n">
        <v>45806</v>
      </c>
      <c r="E101" s="578" t="n">
        <v>66058753</v>
      </c>
    </row>
    <row r="102" ht="24" customFormat="1" customHeight="1" s="2">
      <c r="A102" s="277">
        <f>A101+1</f>
        <v/>
      </c>
      <c r="B102" s="278" t="inlineStr">
        <is>
          <t>Artificial Christmas Tree</t>
        </is>
      </c>
      <c r="C102" s="577" t="inlineStr">
        <is>
          <t>E112717</t>
        </is>
      </c>
      <c r="D102" s="575" t="n">
        <v>45806</v>
      </c>
      <c r="E102" s="578" t="n">
        <v>63654951</v>
      </c>
    </row>
    <row r="103" ht="24" customFormat="1" customHeight="1" s="2">
      <c r="A103" s="277">
        <f>A102+1</f>
        <v/>
      </c>
      <c r="B103" s="278" t="inlineStr">
        <is>
          <t>Artificial Christmas Tree</t>
        </is>
      </c>
      <c r="C103" s="577" t="inlineStr">
        <is>
          <t>E112724</t>
        </is>
      </c>
      <c r="D103" s="575" t="n">
        <v>45806</v>
      </c>
      <c r="E103" s="578" t="n">
        <v>61091510</v>
      </c>
    </row>
    <row r="104" ht="24" customFormat="1" customHeight="1" s="2">
      <c r="A104" s="277">
        <f>A103+1</f>
        <v/>
      </c>
      <c r="B104" s="278" t="inlineStr">
        <is>
          <t>Artificial Christmas Tree</t>
        </is>
      </c>
      <c r="C104" s="577" t="inlineStr">
        <is>
          <t>E112727</t>
        </is>
      </c>
      <c r="D104" s="575" t="n">
        <v>45806</v>
      </c>
      <c r="E104" s="578" t="n">
        <v>107736269</v>
      </c>
    </row>
    <row r="105" ht="24" customFormat="1" customHeight="1" s="2">
      <c r="A105" s="277">
        <f>A104+1</f>
        <v/>
      </c>
      <c r="B105" s="278" t="inlineStr">
        <is>
          <t>Artificial Christmas Tree</t>
        </is>
      </c>
      <c r="C105" s="577" t="inlineStr">
        <is>
          <t>E112732</t>
        </is>
      </c>
      <c r="D105" s="575" t="n">
        <v>45806</v>
      </c>
      <c r="E105" s="578" t="n">
        <v>129614605</v>
      </c>
    </row>
    <row r="106" ht="24" customFormat="1" customHeight="1" s="2">
      <c r="A106" s="277">
        <f>A105+1</f>
        <v/>
      </c>
      <c r="B106" s="278" t="inlineStr">
        <is>
          <t>Artificial Christmas Tree</t>
        </is>
      </c>
      <c r="C106" s="577" t="inlineStr">
        <is>
          <t>E102674</t>
        </is>
      </c>
      <c r="D106" s="575" t="n">
        <v>45793</v>
      </c>
      <c r="E106" s="578" t="n">
        <v>23092500</v>
      </c>
    </row>
    <row r="107" ht="24" customFormat="1" customHeight="1" s="2">
      <c r="A107" s="277">
        <f>A106+1</f>
        <v/>
      </c>
      <c r="B107" s="278" t="inlineStr">
        <is>
          <t>Artificial Christmas Tree</t>
        </is>
      </c>
      <c r="C107" s="577" t="inlineStr">
        <is>
          <t>E102577</t>
        </is>
      </c>
      <c r="D107" s="575" t="n">
        <v>45793</v>
      </c>
      <c r="E107" s="578" t="n">
        <v>20828249</v>
      </c>
    </row>
    <row r="108" ht="24" customFormat="1" customHeight="1" s="2">
      <c r="A108" s="277">
        <f>A107+1</f>
        <v/>
      </c>
      <c r="B108" s="278" t="inlineStr">
        <is>
          <t>Artificial Christmas Tree</t>
        </is>
      </c>
      <c r="C108" s="577" t="inlineStr">
        <is>
          <t>E102574</t>
        </is>
      </c>
      <c r="D108" s="575" t="n">
        <v>45793</v>
      </c>
      <c r="E108" s="578" t="n">
        <v>89594615</v>
      </c>
    </row>
    <row r="109" ht="24" customFormat="1" customHeight="1" s="2">
      <c r="A109" s="277">
        <f>A108+1</f>
        <v/>
      </c>
      <c r="B109" s="278" t="inlineStr">
        <is>
          <t>Artificial Christmas Tree</t>
        </is>
      </c>
      <c r="C109" s="577" t="inlineStr">
        <is>
          <t>E102523</t>
        </is>
      </c>
      <c r="D109" s="575" t="n">
        <v>45793</v>
      </c>
      <c r="E109" s="578" t="n">
        <v>44174156</v>
      </c>
    </row>
    <row r="110" ht="24" customFormat="1" customHeight="1" s="2">
      <c r="A110" s="277">
        <f>A109+1</f>
        <v/>
      </c>
      <c r="B110" s="278" t="inlineStr">
        <is>
          <t>Artificial Christmas Tree</t>
        </is>
      </c>
      <c r="C110" s="577" t="inlineStr">
        <is>
          <t>E110420</t>
        </is>
      </c>
      <c r="D110" s="575" t="n">
        <v>45801</v>
      </c>
      <c r="E110" s="578" t="n">
        <v>51661517</v>
      </c>
    </row>
    <row r="111" ht="24" customFormat="1" customHeight="1" s="2">
      <c r="A111" s="277">
        <f>A110+1</f>
        <v/>
      </c>
      <c r="B111" s="278" t="inlineStr">
        <is>
          <t>Artificial Christmas Tree</t>
        </is>
      </c>
      <c r="C111" s="577" t="inlineStr">
        <is>
          <t>E110403</t>
        </is>
      </c>
      <c r="D111" s="575" t="n">
        <v>45801</v>
      </c>
      <c r="E111" s="578" t="n">
        <v>66819517</v>
      </c>
    </row>
    <row r="112" ht="24" customFormat="1" customHeight="1" s="2">
      <c r="A112" s="277">
        <f>A111+1</f>
        <v/>
      </c>
      <c r="B112" s="278" t="inlineStr">
        <is>
          <t>Artificial Christmas Tree</t>
        </is>
      </c>
      <c r="C112" s="577" t="inlineStr">
        <is>
          <t>E108485</t>
        </is>
      </c>
      <c r="D112" s="575" t="n">
        <v>45801</v>
      </c>
      <c r="E112" s="578" t="n">
        <v>100036731</v>
      </c>
    </row>
    <row r="113" ht="24" customFormat="1" customHeight="1" s="2">
      <c r="A113" s="277">
        <f>A112+1</f>
        <v/>
      </c>
      <c r="B113" s="278" t="inlineStr">
        <is>
          <t>Artificial Christmas Tree</t>
        </is>
      </c>
      <c r="C113" s="577" t="inlineStr">
        <is>
          <t>E110439</t>
        </is>
      </c>
      <c r="D113" s="575" t="n">
        <v>45801</v>
      </c>
      <c r="E113" s="578" t="n">
        <v>62217828</v>
      </c>
    </row>
    <row r="114" ht="24" customFormat="1" customHeight="1" s="2">
      <c r="A114" s="277">
        <f>A113+1</f>
        <v/>
      </c>
      <c r="B114" s="278" t="inlineStr">
        <is>
          <t>Artificial Christmas Tree</t>
        </is>
      </c>
      <c r="C114" s="577" t="inlineStr">
        <is>
          <t>E108588</t>
        </is>
      </c>
      <c r="D114" s="575" t="n">
        <v>45801</v>
      </c>
      <c r="E114" s="578" t="n">
        <v>124435657</v>
      </c>
    </row>
    <row r="115" ht="24" customFormat="1" customHeight="1" s="2">
      <c r="A115" s="277">
        <f>A114+1</f>
        <v/>
      </c>
      <c r="B115" s="278" t="inlineStr">
        <is>
          <t>Artificial Christmas Tree</t>
        </is>
      </c>
      <c r="C115" s="577" t="inlineStr">
        <is>
          <t>E108657</t>
        </is>
      </c>
      <c r="D115" s="575" t="n">
        <v>45801</v>
      </c>
      <c r="E115" s="578" t="n">
        <v>124435657</v>
      </c>
    </row>
    <row r="116" ht="24" customFormat="1" customHeight="1" s="2">
      <c r="A116" s="277">
        <f>A115+1</f>
        <v/>
      </c>
      <c r="B116" s="278" t="inlineStr">
        <is>
          <t>Artificial Christmas Tree</t>
        </is>
      </c>
      <c r="C116" s="577" t="inlineStr">
        <is>
          <t>E110082</t>
        </is>
      </c>
      <c r="D116" s="575" t="n">
        <v>45801</v>
      </c>
      <c r="E116" s="578" t="n">
        <v>62217828</v>
      </c>
    </row>
    <row r="117" ht="24" customFormat="1" customHeight="1" s="2">
      <c r="A117" s="277">
        <f>A116+1</f>
        <v/>
      </c>
      <c r="B117" s="278" t="inlineStr">
        <is>
          <t>Artificial Christmas Tree</t>
        </is>
      </c>
      <c r="C117" s="577" t="inlineStr">
        <is>
          <t>E110398</t>
        </is>
      </c>
      <c r="D117" s="575" t="n">
        <v>45801</v>
      </c>
      <c r="E117" s="578" t="n">
        <v>62217828</v>
      </c>
    </row>
    <row r="118" ht="24" customFormat="1" customHeight="1" s="2">
      <c r="A118" s="277">
        <f>A117+1</f>
        <v/>
      </c>
      <c r="B118" s="278" t="inlineStr">
        <is>
          <t>Artificial Christmas Tree</t>
        </is>
      </c>
      <c r="C118" s="577" t="inlineStr">
        <is>
          <t>E108742</t>
        </is>
      </c>
      <c r="D118" s="575" t="n">
        <v>45800</v>
      </c>
      <c r="E118" s="578" t="n">
        <v>124435657</v>
      </c>
    </row>
    <row r="119" ht="24" customFormat="1" customHeight="1" s="2">
      <c r="A119" s="277">
        <f>A118+1</f>
        <v/>
      </c>
      <c r="B119" s="278" t="inlineStr">
        <is>
          <t>Artificial Christmas Tree</t>
        </is>
      </c>
      <c r="C119" s="577" t="inlineStr">
        <is>
          <t>E108376</t>
        </is>
      </c>
      <c r="D119" s="575" t="n">
        <v>45800</v>
      </c>
      <c r="E119" s="578" t="n">
        <v>186653485</v>
      </c>
    </row>
    <row r="120" ht="24" customFormat="1" customHeight="1" s="2">
      <c r="A120" s="277">
        <f>A119+1</f>
        <v/>
      </c>
      <c r="B120" s="278" t="inlineStr">
        <is>
          <t>Artificial Christmas Tree</t>
        </is>
      </c>
      <c r="C120" s="577" t="inlineStr">
        <is>
          <t>E110038</t>
        </is>
      </c>
      <c r="D120" s="575" t="n">
        <v>45800</v>
      </c>
      <c r="E120" s="578" t="n">
        <v>62217828</v>
      </c>
    </row>
    <row r="121" ht="24" customFormat="1" customHeight="1" s="2">
      <c r="A121" s="277">
        <f>A120+1</f>
        <v/>
      </c>
      <c r="B121" s="278" t="inlineStr">
        <is>
          <t>Artificial Christmas Tree</t>
        </is>
      </c>
      <c r="C121" s="577" t="inlineStr">
        <is>
          <t>E109987</t>
        </is>
      </c>
      <c r="D121" s="575" t="n">
        <v>45800</v>
      </c>
      <c r="E121" s="578" t="n">
        <v>62567530</v>
      </c>
    </row>
    <row r="122" ht="24" customFormat="1" customHeight="1" s="2">
      <c r="A122" s="277">
        <f>A121+1</f>
        <v/>
      </c>
      <c r="B122" s="278" t="inlineStr">
        <is>
          <t>Artificial Christmas Tree</t>
        </is>
      </c>
      <c r="C122" s="577" t="inlineStr">
        <is>
          <t>E109950</t>
        </is>
      </c>
      <c r="D122" s="575" t="n">
        <v>45800</v>
      </c>
      <c r="E122" s="578" t="n">
        <v>75265687</v>
      </c>
    </row>
    <row r="123" ht="24" customFormat="1" customHeight="1" s="2">
      <c r="A123" s="277">
        <f>A122+1</f>
        <v/>
      </c>
      <c r="B123" s="278" t="inlineStr">
        <is>
          <t>Artificial Christmas Tree</t>
        </is>
      </c>
      <c r="C123" s="577" t="inlineStr">
        <is>
          <t>E112553</t>
        </is>
      </c>
      <c r="D123" s="575" t="n">
        <v>45806</v>
      </c>
      <c r="E123" s="578" t="n">
        <v>203474151</v>
      </c>
    </row>
    <row r="124" ht="24" customFormat="1" customHeight="1" s="2">
      <c r="A124" s="277">
        <f>A123+1</f>
        <v/>
      </c>
      <c r="B124" s="278" t="inlineStr">
        <is>
          <t>Artificial Christmas Tree</t>
        </is>
      </c>
      <c r="C124" s="577" t="inlineStr">
        <is>
          <t>E112617</t>
        </is>
      </c>
      <c r="D124" s="575" t="n">
        <v>45806</v>
      </c>
      <c r="E124" s="578" t="n">
        <v>186700114</v>
      </c>
    </row>
    <row r="125" ht="24" customFormat="1" customHeight="1" s="2">
      <c r="A125" s="277">
        <f>A124+1</f>
        <v/>
      </c>
      <c r="B125" s="278" t="inlineStr">
        <is>
          <t>Artificial Christmas Tree</t>
        </is>
      </c>
      <c r="C125" s="577" t="inlineStr">
        <is>
          <t>E112121</t>
        </is>
      </c>
      <c r="D125" s="575" t="n">
        <v>45806</v>
      </c>
      <c r="E125" s="578" t="n">
        <v>376536320</v>
      </c>
    </row>
    <row r="126" ht="24" customFormat="1" customHeight="1" s="2">
      <c r="A126" s="277">
        <f>A125+1</f>
        <v/>
      </c>
      <c r="B126" s="278" t="inlineStr">
        <is>
          <t>Artificial Christmas Tree</t>
        </is>
      </c>
      <c r="C126" s="577" t="inlineStr">
        <is>
          <t>E112087</t>
        </is>
      </c>
      <c r="D126" s="575" t="n">
        <v>45806</v>
      </c>
      <c r="E126" s="578" t="n">
        <v>652360068</v>
      </c>
    </row>
    <row r="127" ht="24" customFormat="1" customHeight="1" s="2">
      <c r="A127" s="277">
        <f>A126+1</f>
        <v/>
      </c>
      <c r="B127" s="278" t="inlineStr">
        <is>
          <t>Artificial Christmas Tree</t>
        </is>
      </c>
      <c r="C127" s="577" t="inlineStr">
        <is>
          <t>E112659</t>
        </is>
      </c>
      <c r="D127" s="575" t="n">
        <v>45806</v>
      </c>
      <c r="E127" s="578" t="n">
        <v>51545894</v>
      </c>
    </row>
    <row r="128" ht="24" customFormat="1" customHeight="1" s="2">
      <c r="A128" s="277">
        <f>A127+1</f>
        <v/>
      </c>
      <c r="B128" s="278" t="inlineStr">
        <is>
          <t>Artificial Christmas Tree</t>
        </is>
      </c>
      <c r="C128" s="577" t="inlineStr">
        <is>
          <t>E95352</t>
        </is>
      </c>
      <c r="D128" s="575" t="n">
        <v>45786</v>
      </c>
      <c r="E128" s="578" t="n">
        <v>240490233</v>
      </c>
    </row>
    <row r="129" ht="24" customFormat="1" customHeight="1" s="2">
      <c r="A129" s="277">
        <f>A128+1</f>
        <v/>
      </c>
      <c r="B129" s="278" t="inlineStr">
        <is>
          <t>Artificial Christmas Tree</t>
        </is>
      </c>
      <c r="C129" s="577" t="inlineStr">
        <is>
          <t>E101780</t>
        </is>
      </c>
      <c r="D129" s="575" t="n">
        <v>45793</v>
      </c>
      <c r="E129" s="578" t="n">
        <v>209214555</v>
      </c>
    </row>
    <row r="130" ht="24" customFormat="1" customHeight="1" s="2">
      <c r="A130" s="277">
        <f>A129+1</f>
        <v/>
      </c>
      <c r="B130" s="278" t="inlineStr">
        <is>
          <t>Artificial Christmas Tree</t>
        </is>
      </c>
      <c r="C130" s="577" t="inlineStr">
        <is>
          <t>E101797</t>
        </is>
      </c>
      <c r="D130" s="575" t="n">
        <v>45793</v>
      </c>
      <c r="E130" s="578" t="n">
        <v>76529566</v>
      </c>
    </row>
    <row r="131" ht="24" customFormat="1" customHeight="1" s="2">
      <c r="A131" s="277">
        <f>A130+1</f>
        <v/>
      </c>
      <c r="B131" s="278" t="inlineStr">
        <is>
          <t>Artificial Christmas Tree</t>
        </is>
      </c>
      <c r="C131" s="577" t="inlineStr">
        <is>
          <t>E101815</t>
        </is>
      </c>
      <c r="D131" s="575" t="n">
        <v>45793</v>
      </c>
      <c r="E131" s="578" t="n">
        <v>143894391</v>
      </c>
    </row>
    <row r="132" ht="24" customFormat="1" customHeight="1" s="2">
      <c r="A132" s="277">
        <f>A131+1</f>
        <v/>
      </c>
      <c r="B132" s="278" t="inlineStr">
        <is>
          <t>Artificial Christmas Tree</t>
        </is>
      </c>
      <c r="C132" s="577" t="inlineStr">
        <is>
          <t>E101829</t>
        </is>
      </c>
      <c r="D132" s="575" t="n">
        <v>45793</v>
      </c>
      <c r="E132" s="578" t="n">
        <v>114401092</v>
      </c>
    </row>
    <row r="133" ht="24" customFormat="1" customHeight="1" s="2">
      <c r="A133" s="277">
        <f>A132+1</f>
        <v/>
      </c>
      <c r="B133" s="278" t="inlineStr">
        <is>
          <t>Artificial Christmas Tree</t>
        </is>
      </c>
      <c r="C133" s="577" t="inlineStr">
        <is>
          <t>E101844</t>
        </is>
      </c>
      <c r="D133" s="575" t="n">
        <v>45793</v>
      </c>
      <c r="E133" s="578" t="n">
        <v>123329474</v>
      </c>
    </row>
    <row r="134" ht="24" customFormat="1" customHeight="1" s="2">
      <c r="A134" s="277">
        <f>A133+1</f>
        <v/>
      </c>
      <c r="B134" s="278" t="inlineStr">
        <is>
          <t>Artificial Christmas Tree</t>
        </is>
      </c>
      <c r="C134" s="577" t="inlineStr">
        <is>
          <t>E101894</t>
        </is>
      </c>
      <c r="D134" s="575" t="n">
        <v>45793</v>
      </c>
      <c r="E134" s="578" t="n">
        <v>61664737</v>
      </c>
    </row>
    <row r="135" ht="24" customFormat="1" customHeight="1" s="2">
      <c r="A135" s="277">
        <f>A134+1</f>
        <v/>
      </c>
      <c r="B135" s="278" t="inlineStr">
        <is>
          <t>Artificial Christmas Tree</t>
        </is>
      </c>
      <c r="C135" s="577" t="inlineStr">
        <is>
          <t>E101905</t>
        </is>
      </c>
      <c r="D135" s="575" t="n">
        <v>45793</v>
      </c>
      <c r="E135" s="578" t="n">
        <v>61664737</v>
      </c>
    </row>
    <row r="136" ht="24" customFormat="1" customHeight="1" s="2">
      <c r="A136" s="277">
        <f>A135+1</f>
        <v/>
      </c>
      <c r="B136" s="278" t="inlineStr">
        <is>
          <t>Artificial Christmas Tree</t>
        </is>
      </c>
      <c r="C136" s="577" t="inlineStr">
        <is>
          <t>E101927</t>
        </is>
      </c>
      <c r="D136" s="575" t="n">
        <v>45793</v>
      </c>
      <c r="E136" s="578" t="n">
        <v>62189799</v>
      </c>
    </row>
    <row r="137" ht="24" customFormat="1" customHeight="1" s="2">
      <c r="A137" s="277">
        <f>A136+1</f>
        <v/>
      </c>
      <c r="B137" s="278" t="inlineStr">
        <is>
          <t>Artificial Christmas Tree</t>
        </is>
      </c>
      <c r="C137" s="577" t="inlineStr">
        <is>
          <t>E99144</t>
        </is>
      </c>
      <c r="D137" s="575" t="n">
        <v>45790</v>
      </c>
      <c r="E137" s="578" t="n">
        <v>78785613</v>
      </c>
    </row>
    <row r="138" customFormat="1" s="200">
      <c r="A138" s="300" t="n"/>
      <c r="B138" s="301" t="n"/>
      <c r="C138" s="648" t="n"/>
      <c r="D138" s="300" t="n"/>
      <c r="E138" s="649" t="n"/>
    </row>
    <row r="139">
      <c r="A139" s="650" t="inlineStr">
        <is>
          <t>ទឹកប្រាក់សរុបចំនួន</t>
        </is>
      </c>
      <c r="B139" s="584" t="n"/>
      <c r="C139" s="584" t="n"/>
      <c r="D139" s="573" t="n"/>
      <c r="E139" s="651">
        <f>SUM(E10:E137)</f>
        <v/>
      </c>
      <c r="I139" s="652">
        <f>E139+'Annex V-Local Sale'!G12*10</f>
        <v/>
      </c>
    </row>
    <row r="141">
      <c r="D141" s="420" t="inlineStr">
        <is>
          <t>រាជធានីភ្នំពេញ.ថ្ងៃទី            ខែ          ឆ្នាំ២០២៥</t>
        </is>
      </c>
    </row>
    <row r="142">
      <c r="D142" s="420" t="inlineStr">
        <is>
          <t>មន្ត្រីសវនកម្ម</t>
        </is>
      </c>
    </row>
    <row r="143">
      <c r="E143" s="210" t="n"/>
    </row>
    <row r="144">
      <c r="E144" s="210" t="n"/>
    </row>
    <row r="145">
      <c r="D145" s="292">
        <f>'Company information'!C9</f>
        <v/>
      </c>
      <c r="E145" s="653">
        <f>'Company information'!D9</f>
        <v/>
      </c>
    </row>
    <row r="146">
      <c r="E146" s="293" t="n"/>
    </row>
  </sheetData>
  <autoFilter ref="A9:I137"/>
  <mergeCells count="10">
    <mergeCell ref="C7:D7"/>
    <mergeCell ref="A2:E2"/>
    <mergeCell ref="D142:E142"/>
    <mergeCell ref="A139:D139"/>
    <mergeCell ref="A7:A8"/>
    <mergeCell ref="B7:B8"/>
    <mergeCell ref="A1:E1"/>
    <mergeCell ref="E7:E8"/>
    <mergeCell ref="D141:E141"/>
    <mergeCell ref="A3:E3"/>
  </mergeCells>
  <printOptions horizontalCentered="1"/>
  <pageMargins left="0.1" right="0.1" top="0.25" bottom="0.5" header="0.47" footer="0.3"/>
  <pageSetup orientation="portrait" paperSize="9" scale="73" fitToHeight="0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M21"/>
  <sheetViews>
    <sheetView view="pageBreakPreview" topLeftCell="A2" zoomScaleNormal="100" zoomScaleSheetLayoutView="100" workbookViewId="0">
      <selection activeCell="G10" sqref="G10"/>
    </sheetView>
  </sheetViews>
  <sheetFormatPr baseColWidth="8" defaultColWidth="9.109375" defaultRowHeight="45.6"/>
  <cols>
    <col width="13.44140625" customWidth="1" style="308" min="1" max="1"/>
    <col width="39.33203125" customWidth="1" style="309" min="2" max="2"/>
    <col width="19.109375" customWidth="1" style="271" min="3" max="3"/>
    <col width="14.33203125" customWidth="1" style="271" min="4" max="4"/>
    <col width="19.6640625" customWidth="1" style="271" min="5" max="5"/>
    <col width="18.6640625" customWidth="1" style="271" min="6" max="7"/>
    <col width="22.109375" customWidth="1" style="271" min="8" max="8"/>
    <col width="9.109375" customWidth="1" style="1" min="9" max="12"/>
    <col width="29.88671875" customWidth="1" style="1" min="13" max="13"/>
    <col width="9.109375" customWidth="1" style="1" min="14" max="16384"/>
  </cols>
  <sheetData>
    <row r="1" ht="24.6" customFormat="1" customHeight="1" s="320">
      <c r="A1" s="480" t="inlineStr">
        <is>
          <t>តារាងឧបសម្ព័ន្ធ V</t>
        </is>
      </c>
      <c r="I1" s="318" t="n"/>
      <c r="J1" s="318" t="n"/>
    </row>
    <row r="2" ht="24.6" customFormat="1" customHeight="1" s="320">
      <c r="A2" s="480" t="inlineStr">
        <is>
          <t>បញ្ជាក់អំពីអាករលើធាតុចេញ</t>
        </is>
      </c>
      <c r="I2" s="318" t="n"/>
      <c r="J2" s="318" t="n"/>
    </row>
    <row r="3" ht="24.6" customFormat="1" customHeight="1" s="320">
      <c r="A3" s="480" t="inlineStr">
        <is>
          <t>( ការលក់ក្នុងស្រុក )</t>
        </is>
      </c>
      <c r="I3" s="318" t="n"/>
      <c r="J3" s="318" t="n"/>
    </row>
    <row r="4" ht="24.6" customFormat="1" customHeight="1" s="320">
      <c r="A4" s="321" t="inlineStr">
        <is>
          <t>ក្រុមហ៊ុន៖</t>
        </is>
      </c>
      <c r="B4" s="322">
        <f>'Company information'!C2</f>
        <v/>
      </c>
      <c r="C4" s="323" t="n"/>
      <c r="D4" s="323" t="n"/>
      <c r="E4" s="324" t="n"/>
      <c r="G4" s="654" t="inlineStr">
        <is>
          <t xml:space="preserve">សវនករពន្ធដារ៖ </t>
        </is>
      </c>
      <c r="H4" s="602">
        <f>'Company information'!C8</f>
        <v/>
      </c>
    </row>
    <row r="5" ht="24.6" customFormat="1" customHeight="1" s="320">
      <c r="A5" s="327" t="inlineStr">
        <is>
          <t>លេខ អតប ៖</t>
        </is>
      </c>
      <c r="B5" s="322">
        <f>'Company information'!C4</f>
        <v/>
      </c>
      <c r="C5" s="323" t="n"/>
      <c r="D5" s="323" t="n"/>
      <c r="E5" s="324" t="n"/>
      <c r="F5" s="323" t="n"/>
      <c r="G5" s="600" t="n"/>
      <c r="H5" s="602">
        <f>'Company information'!D8</f>
        <v/>
      </c>
    </row>
    <row r="6" ht="24.6" customFormat="1" customHeight="1" s="320">
      <c r="A6" s="607">
        <f>'Company information'!H8</f>
        <v/>
      </c>
      <c r="B6" s="322" t="n"/>
      <c r="D6" s="323" t="n"/>
      <c r="E6" s="324" t="n"/>
      <c r="F6" s="655" t="inlineStr">
        <is>
          <t>ទឹកប្រាក់ស្នើសុំបង្វិលសងចំនួន៖</t>
        </is>
      </c>
      <c r="H6" s="656">
        <f>'Company information'!H9</f>
        <v/>
      </c>
      <c r="J6" s="657" t="n"/>
    </row>
    <row r="7" ht="25.2" customFormat="1" customHeight="1" s="194">
      <c r="A7" s="427" t="inlineStr">
        <is>
          <t>ល.រ</t>
        </is>
      </c>
      <c r="B7" s="427" t="inlineStr">
        <is>
          <t>បរិយាយ</t>
        </is>
      </c>
      <c r="C7" s="427" t="inlineStr">
        <is>
          <t>វិក្កយបត្រ</t>
        </is>
      </c>
      <c r="D7" s="573" t="n"/>
      <c r="E7" s="427" t="inlineStr">
        <is>
          <t>អាករតម្លៃ (ដុល្លា)</t>
        </is>
      </c>
      <c r="F7" s="427" t="inlineStr">
        <is>
          <t>អត្រាប្តូរប្រាក់</t>
        </is>
      </c>
      <c r="G7" s="427" t="inlineStr">
        <is>
          <t>អាករតម្លៃ (រៀល)</t>
        </is>
      </c>
      <c r="H7" s="427" t="inlineStr">
        <is>
          <t>ផ្សេងៗ</t>
        </is>
      </c>
    </row>
    <row r="8" ht="25.2" customFormat="1" customHeight="1" s="194">
      <c r="A8" s="574" t="n"/>
      <c r="B8" s="574" t="n"/>
      <c r="C8" s="427" t="inlineStr">
        <is>
          <t>លេខ</t>
        </is>
      </c>
      <c r="D8" s="427" t="inlineStr">
        <is>
          <t>ថ្ងៃ ខែ ឆ្នាំ</t>
        </is>
      </c>
      <c r="E8" s="574" t="n"/>
      <c r="F8" s="574" t="n"/>
      <c r="G8" s="574" t="n"/>
      <c r="H8" s="574" t="n"/>
    </row>
    <row r="9" ht="25.2" customFormat="1" customHeight="1" s="194">
      <c r="A9" s="262" t="n"/>
      <c r="B9" s="262" t="n"/>
      <c r="C9" s="262" t="n"/>
      <c r="D9" s="262" t="n"/>
      <c r="E9" s="262" t="n"/>
      <c r="F9" s="262" t="n"/>
      <c r="G9" s="262" t="n"/>
      <c r="H9" s="262" t="n"/>
    </row>
    <row r="10" ht="25.2" customFormat="1" customHeight="1" s="194">
      <c r="A10" s="262" t="n">
        <v>1</v>
      </c>
      <c r="B10" s="262" t="inlineStr">
        <is>
          <t>Sale Car</t>
        </is>
      </c>
      <c r="C10" s="262" t="n">
        <v>2409002</v>
      </c>
      <c r="D10" s="354" t="n">
        <v>45632</v>
      </c>
      <c r="E10" s="262" t="n"/>
      <c r="F10" s="262" t="n"/>
      <c r="G10" s="658" t="n">
        <v>6042000</v>
      </c>
      <c r="H10" s="262" t="n"/>
    </row>
    <row r="11" ht="24" customFormat="1" customHeight="1" s="2">
      <c r="A11" s="262" t="n"/>
      <c r="B11" s="273" t="n"/>
      <c r="C11" s="659" t="n"/>
      <c r="D11" s="660" t="n"/>
      <c r="E11" s="275" t="n"/>
      <c r="F11" s="306" t="n"/>
      <c r="G11" s="275" t="n"/>
      <c r="H11" s="593" t="n"/>
    </row>
    <row r="12" ht="28.2" customFormat="1" customHeight="1" s="310">
      <c r="A12" s="479" t="inlineStr">
        <is>
          <t>សរុបអាករលើការលក់ក្នុងស្រុក</t>
        </is>
      </c>
      <c r="B12" s="584" t="n"/>
      <c r="C12" s="584" t="n"/>
      <c r="D12" s="584" t="n"/>
      <c r="E12" s="584" t="n"/>
      <c r="F12" s="573" t="n"/>
      <c r="G12" s="585">
        <f>SUM(G10:G10)</f>
        <v/>
      </c>
      <c r="H12" s="586" t="n"/>
    </row>
    <row r="13" ht="22.8" customFormat="1" customHeight="1" s="310">
      <c r="A13" s="292" t="n"/>
      <c r="B13" s="292" t="n"/>
      <c r="C13" s="292" t="n"/>
      <c r="D13" s="292" t="n"/>
      <c r="E13" s="292" t="n"/>
      <c r="F13" s="292" t="n"/>
      <c r="G13" s="292" t="n"/>
      <c r="H13" s="292" t="n"/>
    </row>
    <row r="14" ht="27.6" customFormat="1" customHeight="1" s="310">
      <c r="A14" s="292" t="n"/>
      <c r="B14" s="292" t="n"/>
      <c r="C14" s="292" t="n"/>
      <c r="D14" s="292" t="n"/>
      <c r="E14" s="292" t="n"/>
      <c r="F14" s="292" t="n"/>
      <c r="G14" s="419" t="inlineStr">
        <is>
          <t>រាជធានីភ្នំពេញ.ថ្ងៃទី            ខែ          ឆ្នាំ២០២៥</t>
        </is>
      </c>
      <c r="H14" s="292" t="n"/>
      <c r="I14" s="202" t="n"/>
      <c r="J14" s="202" t="n"/>
    </row>
    <row r="15" ht="28.2" customFormat="1" customHeight="1" s="310" thickBot="1">
      <c r="A15" s="292" t="n"/>
      <c r="B15" s="292" t="n"/>
      <c r="C15" s="292" t="n"/>
      <c r="D15" s="292" t="n"/>
      <c r="E15" s="292" t="n"/>
      <c r="F15" s="292" t="n"/>
      <c r="G15" s="419" t="inlineStr">
        <is>
          <t>មន្ត្រីសវនកម្ម</t>
        </is>
      </c>
      <c r="H15" s="292" t="n"/>
      <c r="I15" s="202" t="n"/>
      <c r="J15" s="202" t="n"/>
    </row>
    <row r="16" ht="28.2" customFormat="1" customHeight="1" s="310" thickBot="1">
      <c r="A16" s="292" t="n"/>
      <c r="B16" s="292" t="n"/>
      <c r="C16" s="292" t="n"/>
      <c r="D16" s="292" t="n"/>
      <c r="E16" s="292" t="n"/>
      <c r="F16" s="292" t="n"/>
      <c r="G16" s="210" t="n"/>
      <c r="H16" s="210" t="n"/>
      <c r="I16" s="661" t="n"/>
      <c r="J16" s="198" t="n"/>
      <c r="M16" s="348" t="n">
        <v>543815675772</v>
      </c>
    </row>
    <row r="17" ht="28.2" customFormat="1" customHeight="1" s="310" thickBot="1">
      <c r="A17" s="292" t="n"/>
      <c r="B17" s="292" t="n"/>
      <c r="C17" s="292" t="n"/>
      <c r="D17" s="292" t="n"/>
      <c r="E17" s="292" t="n"/>
      <c r="F17" s="292" t="n"/>
      <c r="G17" s="210" t="n"/>
      <c r="H17" s="210" t="n"/>
      <c r="I17" s="661" t="n"/>
      <c r="J17" s="198" t="n"/>
      <c r="M17" s="349" t="n">
        <v>26860899310</v>
      </c>
    </row>
    <row r="18" ht="28.2" customFormat="1" customHeight="1" s="310" thickBot="1">
      <c r="A18" s="292" t="n"/>
      <c r="B18" s="292" t="n"/>
      <c r="C18" s="292" t="n"/>
      <c r="D18" s="292" t="n"/>
      <c r="E18" s="292" t="n"/>
      <c r="F18" s="419">
        <f>'Company information'!C9</f>
        <v/>
      </c>
      <c r="G18" s="419" t="n"/>
      <c r="H18" s="419">
        <f>'Company information'!D9</f>
        <v/>
      </c>
      <c r="I18" s="202" t="n"/>
      <c r="J18" s="202" t="n"/>
      <c r="M18" s="348">
        <f>SUM(M16:M17)</f>
        <v/>
      </c>
    </row>
    <row r="19" ht="46.2" customHeight="1" s="408" thickBot="1">
      <c r="M19" s="348" t="n">
        <v>40586375597</v>
      </c>
    </row>
    <row r="20" ht="46.2" customHeight="1" s="408" thickBot="1">
      <c r="M20" s="349" t="n">
        <v>5769650</v>
      </c>
    </row>
    <row r="21" ht="46.2" customHeight="1" s="408" thickBot="1">
      <c r="M21" s="349">
        <f>SUM(M19:M20)</f>
        <v/>
      </c>
    </row>
  </sheetData>
  <mergeCells count="11">
    <mergeCell ref="A3:H3"/>
    <mergeCell ref="C7:D7"/>
    <mergeCell ref="A2:H2"/>
    <mergeCell ref="A7:A8"/>
    <mergeCell ref="G7:G8"/>
    <mergeCell ref="B7:B8"/>
    <mergeCell ref="E7:E8"/>
    <mergeCell ref="A12:F12"/>
    <mergeCell ref="F7:F8"/>
    <mergeCell ref="A1:H1"/>
    <mergeCell ref="H7:H8"/>
  </mergeCells>
  <printOptions horizontalCentered="1"/>
  <pageMargins left="0.2" right="0.2" top="0.25" bottom="0.45" header="0.3" footer="0.3"/>
  <pageSetup orientation="portrait" paperSize="9" scale="61" fitToHeight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X28"/>
  <sheetViews>
    <sheetView zoomScaleNormal="100" workbookViewId="0">
      <pane xSplit="3" ySplit="5" topLeftCell="D6" activePane="bottomRight" state="frozen"/>
      <selection pane="topRight" activeCell="D1" sqref="D1"/>
      <selection pane="bottomLeft" activeCell="A6" sqref="A6"/>
      <selection pane="bottomRight" activeCell="I12" sqref="I12"/>
    </sheetView>
  </sheetViews>
  <sheetFormatPr baseColWidth="8" defaultColWidth="8.88671875" defaultRowHeight="22.8"/>
  <cols>
    <col width="8.88671875" customWidth="1" style="313" min="1" max="2"/>
    <col width="48.33203125" bestFit="1" customWidth="1" style="314" min="3" max="3"/>
    <col width="22.109375" customWidth="1" style="314" min="4" max="4"/>
    <col width="11" bestFit="1" customWidth="1" style="314" min="5" max="10"/>
    <col width="12.44140625" bestFit="1" customWidth="1" style="314" min="11" max="11"/>
    <col width="10.6640625" bestFit="1" customWidth="1" style="314" min="12" max="12"/>
    <col width="10.44140625" bestFit="1" customWidth="1" style="314" min="13" max="13"/>
    <col width="10.88671875" bestFit="1" customWidth="1" style="314" min="14" max="15"/>
    <col width="11" bestFit="1" customWidth="1" style="314" min="16" max="16"/>
    <col width="10.6640625" bestFit="1" customWidth="1" style="314" min="17" max="17"/>
    <col width="11.88671875" bestFit="1" customWidth="1" style="314" min="18" max="18"/>
    <col width="10.88671875" bestFit="1" customWidth="1" style="314" min="19" max="20"/>
    <col width="10.6640625" bestFit="1" customWidth="1" style="314" min="21" max="24"/>
    <col width="10.88671875" bestFit="1" customWidth="1" style="314" min="25" max="25"/>
    <col width="10.44140625" bestFit="1" customWidth="1" style="314" min="26" max="26"/>
    <col width="13.5546875" bestFit="1" customWidth="1" style="313" min="27" max="27"/>
    <col width="10.5546875" bestFit="1" customWidth="1" style="313" min="28" max="28"/>
    <col width="10.88671875" bestFit="1" customWidth="1" style="313" min="29" max="29"/>
    <col width="10.6640625" bestFit="1" customWidth="1" style="313" min="30" max="31"/>
    <col width="11" bestFit="1" customWidth="1" style="313" min="32" max="32"/>
    <col width="10.5546875" bestFit="1" customWidth="1" style="313" min="33" max="33"/>
    <col width="10.6640625" bestFit="1" customWidth="1" style="313" min="34" max="34"/>
    <col width="11" bestFit="1" customWidth="1" style="313" min="35" max="35"/>
    <col width="10.6640625" bestFit="1" customWidth="1" style="313" min="36" max="36"/>
    <col width="11.88671875" bestFit="1" customWidth="1" style="313" min="37" max="37"/>
    <col width="10.6640625" bestFit="1" customWidth="1" style="313" min="38" max="38"/>
    <col width="10.5546875" bestFit="1" customWidth="1" style="313" min="39" max="39"/>
    <col width="10.6640625" bestFit="1" customWidth="1" style="313" min="40" max="40"/>
    <col width="11" bestFit="1" customWidth="1" style="313" min="41" max="41"/>
    <col width="10.6640625" bestFit="1" customWidth="1" style="313" min="42" max="42"/>
    <col width="10.88671875" bestFit="1" customWidth="1" style="313" min="43" max="43"/>
    <col width="9" bestFit="1" customWidth="1" style="313" min="44" max="44"/>
    <col width="8.88671875" customWidth="1" style="313" min="45" max="64"/>
    <col width="10.88671875" bestFit="1" customWidth="1" style="313" min="65" max="65"/>
    <col width="8.88671875" customWidth="1" style="313" min="66" max="16384"/>
  </cols>
  <sheetData>
    <row r="1">
      <c r="A1" s="311" t="n"/>
      <c r="B1" s="311" t="n"/>
      <c r="C1" s="312" t="n"/>
      <c r="D1" s="312" t="n"/>
      <c r="E1" s="312" t="n"/>
      <c r="F1" s="312" t="n"/>
      <c r="G1" s="312" t="n"/>
      <c r="H1" s="312" t="n"/>
      <c r="I1" s="312" t="n"/>
      <c r="J1" s="312" t="n"/>
      <c r="K1" s="312" t="n"/>
    </row>
    <row r="4">
      <c r="B4" s="365" t="n"/>
      <c r="C4" s="314">
        <f>'Company information'!C7</f>
        <v/>
      </c>
    </row>
    <row r="5" ht="23.4" customHeight="1" s="408" thickBot="1">
      <c r="B5" s="366" t="inlineStr">
        <is>
          <t>ល.រ</t>
        </is>
      </c>
      <c r="C5" s="367" t="inlineStr">
        <is>
          <t>ប្រភេទពន្ធ</t>
        </is>
      </c>
      <c r="D5" s="367" t="inlineStr">
        <is>
          <t>ចំនួនទឺកប្រាក់ពន្ធ</t>
        </is>
      </c>
      <c r="E5" s="368" t="n">
        <v>43221</v>
      </c>
      <c r="F5" s="368">
        <f>EDATE(E5,1)</f>
        <v/>
      </c>
      <c r="G5" s="368">
        <f>EDATE(F5,1)</f>
        <v/>
      </c>
      <c r="H5" s="368">
        <f>EDATE(G5,1)</f>
        <v/>
      </c>
      <c r="I5" s="368">
        <f>EDATE(H5,1)</f>
        <v/>
      </c>
      <c r="J5" s="368">
        <f>EDATE(I5,1)</f>
        <v/>
      </c>
      <c r="K5" s="368">
        <f>EDATE(J5,1)</f>
        <v/>
      </c>
      <c r="L5" s="368">
        <f>EDATE(K5,1)</f>
        <v/>
      </c>
      <c r="M5" s="368">
        <f>EDATE(L5,1)</f>
        <v/>
      </c>
      <c r="N5" s="368">
        <f>EDATE(M5,1)</f>
        <v/>
      </c>
      <c r="O5" s="368">
        <f>EDATE(N5,1)</f>
        <v/>
      </c>
      <c r="P5" s="368">
        <f>EDATE(O5,1)</f>
        <v/>
      </c>
      <c r="Q5" s="368">
        <f>EDATE(P5,1)</f>
        <v/>
      </c>
      <c r="R5" s="368">
        <f>EDATE(Q5,1)</f>
        <v/>
      </c>
      <c r="S5" s="368">
        <f>EDATE(R5,1)</f>
        <v/>
      </c>
      <c r="T5" s="368">
        <f>EDATE(S5,1)</f>
        <v/>
      </c>
      <c r="U5" s="368">
        <f>EDATE(T5,1)</f>
        <v/>
      </c>
      <c r="V5" s="368">
        <f>EDATE(U5,1)</f>
        <v/>
      </c>
      <c r="W5" s="368">
        <f>EDATE(V5,1)</f>
        <v/>
      </c>
      <c r="X5" s="368">
        <f>EDATE(W5,1)</f>
        <v/>
      </c>
      <c r="Y5" s="368">
        <f>EDATE(X5,1)</f>
        <v/>
      </c>
      <c r="Z5" s="368">
        <f>EDATE(Y5,1)</f>
        <v/>
      </c>
      <c r="AA5" s="368">
        <f>EDATE(Z5,1)</f>
        <v/>
      </c>
      <c r="AB5" s="368">
        <f>EDATE(AA5,1)</f>
        <v/>
      </c>
      <c r="AC5" s="368">
        <f>EDATE(AB5,1)</f>
        <v/>
      </c>
      <c r="AD5" s="368">
        <f>EDATE(AC5,1)</f>
        <v/>
      </c>
      <c r="AE5" s="368">
        <f>EDATE(AD5,1)</f>
        <v/>
      </c>
      <c r="AF5" s="368">
        <f>EDATE(AE5,1)</f>
        <v/>
      </c>
      <c r="AG5" s="368">
        <f>EDATE(AF5,1)</f>
        <v/>
      </c>
      <c r="AH5" s="368">
        <f>EDATE(AG5,1)</f>
        <v/>
      </c>
      <c r="AI5" s="368">
        <f>EDATE(AH5,1)</f>
        <v/>
      </c>
      <c r="AJ5" s="368">
        <f>EDATE(AI5,1)</f>
        <v/>
      </c>
      <c r="AK5" s="368">
        <f>EDATE(AJ5,1)</f>
        <v/>
      </c>
      <c r="AL5" s="368">
        <f>EDATE(AK5,1)</f>
        <v/>
      </c>
      <c r="AM5" s="368">
        <f>EDATE(AL5,1)</f>
        <v/>
      </c>
      <c r="AN5" s="368">
        <f>EDATE(AM5,1)</f>
        <v/>
      </c>
      <c r="AO5" s="368">
        <f>EDATE(AN5,1)</f>
        <v/>
      </c>
      <c r="AP5" s="368">
        <f>EDATE(AO5,1)</f>
        <v/>
      </c>
      <c r="AQ5" s="368">
        <f>EDATE(AP5,1)</f>
        <v/>
      </c>
      <c r="AR5" s="368">
        <f>EDATE(AQ5,1)</f>
        <v/>
      </c>
      <c r="AS5" s="368">
        <f>EDATE(AR5,1)</f>
        <v/>
      </c>
      <c r="AT5" s="368">
        <f>EDATE(AS5,1)</f>
        <v/>
      </c>
      <c r="AU5" s="368">
        <f>EDATE(AT5,1)</f>
        <v/>
      </c>
      <c r="AV5" s="368">
        <f>EDATE(AU5,1)</f>
        <v/>
      </c>
      <c r="AW5" s="368">
        <f>EDATE(AV5,1)</f>
        <v/>
      </c>
      <c r="AX5" s="368">
        <f>EDATE(AW5,1)</f>
        <v/>
      </c>
      <c r="AY5" s="368">
        <f>EDATE(AX5,1)</f>
        <v/>
      </c>
      <c r="AZ5" s="368">
        <f>EDATE(AY5,1)</f>
        <v/>
      </c>
      <c r="BA5" s="368">
        <f>EDATE(AZ5,1)</f>
        <v/>
      </c>
      <c r="BB5" s="368">
        <f>EDATE(BA5,1)</f>
        <v/>
      </c>
      <c r="BC5" s="368">
        <f>EDATE(BB5,1)</f>
        <v/>
      </c>
      <c r="BD5" s="368">
        <f>EDATE(BC5,1)</f>
        <v/>
      </c>
      <c r="BE5" s="368">
        <f>EDATE(BD5,1)</f>
        <v/>
      </c>
      <c r="BF5" s="368">
        <f>EDATE(BE5,1)</f>
        <v/>
      </c>
      <c r="BG5" s="368">
        <f>EDATE(BF5,1)</f>
        <v/>
      </c>
      <c r="BH5" s="368">
        <f>EDATE(BG5,1)</f>
        <v/>
      </c>
      <c r="BI5" s="368">
        <f>EDATE(BH5,1)</f>
        <v/>
      </c>
      <c r="BJ5" s="368">
        <f>EDATE(BI5,1)</f>
        <v/>
      </c>
      <c r="BK5" s="368">
        <f>EDATE(BJ5,1)</f>
        <v/>
      </c>
      <c r="BL5" s="368">
        <f>EDATE(BK5,1)</f>
        <v/>
      </c>
      <c r="BM5" s="368">
        <f>EDATE(BL5,1)</f>
        <v/>
      </c>
      <c r="BN5" s="368">
        <f>EDATE(BM5,1)</f>
        <v/>
      </c>
      <c r="BO5" s="368">
        <f>EDATE(BN5,1)</f>
        <v/>
      </c>
      <c r="BP5" s="368">
        <f>EDATE(BO5,1)</f>
        <v/>
      </c>
      <c r="BQ5" s="368">
        <f>EDATE(BP5,1)</f>
        <v/>
      </c>
      <c r="BR5" s="368">
        <f>EDATE(BQ5,1)</f>
        <v/>
      </c>
      <c r="BS5" s="368">
        <f>EDATE(BR5,1)</f>
        <v/>
      </c>
      <c r="BT5" s="368">
        <f>EDATE(BS5,1)</f>
        <v/>
      </c>
      <c r="BU5" s="368">
        <f>EDATE(BT5,1)</f>
        <v/>
      </c>
      <c r="BV5" s="368">
        <f>EDATE(BU5,1)</f>
        <v/>
      </c>
      <c r="BW5" s="368">
        <f>EDATE(BV5,1)</f>
        <v/>
      </c>
      <c r="BX5" s="368">
        <f>EDATE(BW5,1)</f>
        <v/>
      </c>
      <c r="BY5" s="368">
        <f>EDATE(BX5,1)</f>
        <v/>
      </c>
      <c r="BZ5" s="368">
        <f>EDATE(BY5,1)</f>
        <v/>
      </c>
      <c r="CA5" s="368">
        <f>EDATE(BZ5,1)</f>
        <v/>
      </c>
      <c r="CB5" s="368">
        <f>EDATE(CA5,1)</f>
        <v/>
      </c>
      <c r="CC5" s="368">
        <f>EDATE(CB5,1)</f>
        <v/>
      </c>
      <c r="CD5" s="368">
        <f>EDATE(CC5,1)</f>
        <v/>
      </c>
      <c r="CE5" s="368">
        <f>EDATE(CD5,1)</f>
        <v/>
      </c>
      <c r="CF5" s="368">
        <f>EDATE(CE5,1)</f>
        <v/>
      </c>
      <c r="CG5" s="368">
        <f>EDATE(CF5,1)</f>
        <v/>
      </c>
      <c r="CH5" s="368">
        <f>EDATE(CG5,1)</f>
        <v/>
      </c>
      <c r="CI5" s="368">
        <f>EDATE(CH5,1)</f>
        <v/>
      </c>
      <c r="CJ5" s="368">
        <f>EDATE(CI5,1)</f>
        <v/>
      </c>
      <c r="CK5" s="368">
        <f>EDATE(CJ5,1)</f>
        <v/>
      </c>
      <c r="CL5" s="368">
        <f>EDATE(CK5,1)</f>
        <v/>
      </c>
      <c r="CM5" s="368">
        <f>EDATE(CL5,1)</f>
        <v/>
      </c>
      <c r="CN5" s="368">
        <f>EDATE(CM5,1)</f>
        <v/>
      </c>
      <c r="CO5" s="368">
        <f>EDATE(CN5,1)</f>
        <v/>
      </c>
      <c r="CP5" s="368">
        <f>EDATE(CO5,1)</f>
        <v/>
      </c>
      <c r="CQ5" s="368">
        <f>EDATE(CP5,1)</f>
        <v/>
      </c>
      <c r="CR5" s="368">
        <f>EDATE(CQ5,1)</f>
        <v/>
      </c>
      <c r="CS5" s="368">
        <f>EDATE(CR5,1)</f>
        <v/>
      </c>
      <c r="CT5" s="368">
        <f>EDATE(CS5,1)</f>
        <v/>
      </c>
      <c r="CU5" s="368">
        <f>EDATE(CT5,1)</f>
        <v/>
      </c>
      <c r="CV5" s="368">
        <f>EDATE(CU5,1)</f>
        <v/>
      </c>
      <c r="CW5" s="368">
        <f>EDATE(CV5,1)</f>
        <v/>
      </c>
      <c r="CX5" s="368">
        <f>EDATE(CW5,1)</f>
        <v/>
      </c>
      <c r="CY5" s="368">
        <f>EDATE(CX5,1)</f>
        <v/>
      </c>
      <c r="CZ5" s="368">
        <f>EDATE(CY5,1)</f>
        <v/>
      </c>
      <c r="DA5" s="368">
        <f>EDATE(CZ5,1)</f>
        <v/>
      </c>
      <c r="DB5" s="368">
        <f>EDATE(DA5,1)</f>
        <v/>
      </c>
      <c r="DC5" s="368">
        <f>EDATE(DB5,1)</f>
        <v/>
      </c>
      <c r="DD5" s="368">
        <f>EDATE(DC5,1)</f>
        <v/>
      </c>
      <c r="DE5" s="368">
        <f>EDATE(DD5,1)</f>
        <v/>
      </c>
      <c r="DF5" s="368">
        <f>EDATE(DE5,1)</f>
        <v/>
      </c>
      <c r="DG5" s="368">
        <f>EDATE(DF5,1)</f>
        <v/>
      </c>
      <c r="DH5" s="368">
        <f>EDATE(DG5,1)</f>
        <v/>
      </c>
      <c r="DI5" s="368">
        <f>EDATE(DH5,1)</f>
        <v/>
      </c>
      <c r="DJ5" s="368">
        <f>EDATE(DI5,1)</f>
        <v/>
      </c>
      <c r="DK5" s="368">
        <f>EDATE(DJ5,1)</f>
        <v/>
      </c>
      <c r="DL5" s="368">
        <f>EDATE(DK5,1)</f>
        <v/>
      </c>
      <c r="DM5" s="368">
        <f>EDATE(DL5,1)</f>
        <v/>
      </c>
      <c r="DN5" s="368">
        <f>EDATE(DM5,1)</f>
        <v/>
      </c>
      <c r="DO5" s="368">
        <f>EDATE(DN5,1)</f>
        <v/>
      </c>
      <c r="DP5" s="368">
        <f>EDATE(DO5,1)</f>
        <v/>
      </c>
      <c r="DQ5" s="368">
        <f>EDATE(DP5,1)</f>
        <v/>
      </c>
      <c r="DR5" s="368">
        <f>EDATE(DQ5,1)</f>
        <v/>
      </c>
      <c r="DS5" s="368">
        <f>EDATE(DR5,1)</f>
        <v/>
      </c>
      <c r="DT5" s="368">
        <f>EDATE(DS5,1)</f>
        <v/>
      </c>
      <c r="DU5" s="368">
        <f>EDATE(DT5,1)</f>
        <v/>
      </c>
      <c r="DV5" s="368">
        <f>EDATE(DU5,1)</f>
        <v/>
      </c>
      <c r="DW5" s="368">
        <f>EDATE(DV5,1)</f>
        <v/>
      </c>
      <c r="DX5" s="368">
        <f>EDATE(DW5,1)</f>
        <v/>
      </c>
    </row>
    <row r="6" ht="23.4" customHeight="1" s="408" thickBot="1">
      <c r="B6" s="364" t="n">
        <v>1</v>
      </c>
      <c r="C6" s="314" t="inlineStr">
        <is>
          <t>ពន្ធលើប្រាក់បៀវត្ស</t>
        </is>
      </c>
      <c r="D6" s="312">
        <f>SUM(E6:DX6)</f>
        <v/>
      </c>
      <c r="E6" s="350" t="n">
        <v>138869440</v>
      </c>
      <c r="F6" s="350" t="n">
        <v>140885344</v>
      </c>
      <c r="G6" s="350" t="n">
        <v>132428533</v>
      </c>
      <c r="H6" s="350" t="n">
        <v>135869325</v>
      </c>
      <c r="I6" s="350" t="n">
        <v>135942085</v>
      </c>
      <c r="J6" s="350" t="n">
        <v>139853397</v>
      </c>
      <c r="K6" s="350" t="n">
        <v>136657782</v>
      </c>
      <c r="L6" s="350" t="n">
        <v>157030330</v>
      </c>
      <c r="M6" s="350" t="n">
        <v>516408757</v>
      </c>
      <c r="N6" s="350" t="n">
        <v>137808913</v>
      </c>
      <c r="O6" s="350" t="n">
        <v>138355061</v>
      </c>
      <c r="P6" s="350" t="n">
        <v>142234910</v>
      </c>
      <c r="Q6" s="350" t="n">
        <v>143916953</v>
      </c>
      <c r="R6" s="350" t="n">
        <v>188500663</v>
      </c>
      <c r="S6" s="350" t="n">
        <v>141498213</v>
      </c>
      <c r="T6" s="351" t="inlineStr">
        <is>
          <t>-</t>
        </is>
      </c>
      <c r="U6" s="350" t="n">
        <v>284584373</v>
      </c>
      <c r="V6" s="350" t="n">
        <v>149452871</v>
      </c>
      <c r="W6" s="350" t="n">
        <v>150360645</v>
      </c>
      <c r="X6" s="350" t="n">
        <v>184870824</v>
      </c>
      <c r="Y6" s="350" t="n">
        <v>491804348</v>
      </c>
      <c r="Z6" s="350" t="n">
        <v>155603306</v>
      </c>
      <c r="AA6" s="350" t="n">
        <v>153585511</v>
      </c>
      <c r="AB6" s="350" t="n">
        <v>132106384</v>
      </c>
      <c r="AC6" s="350" t="n">
        <v>127511678</v>
      </c>
      <c r="AD6" s="350" t="n">
        <v>122547019</v>
      </c>
      <c r="AE6" s="350" t="n">
        <v>124130964</v>
      </c>
      <c r="AF6" s="350" t="n">
        <v>123714960</v>
      </c>
      <c r="AG6" s="350" t="n">
        <v>128548213</v>
      </c>
      <c r="AH6" s="350" t="n">
        <v>130826841</v>
      </c>
      <c r="AI6" s="350" t="n">
        <v>129347721</v>
      </c>
      <c r="AJ6" s="350" t="n">
        <v>167051020</v>
      </c>
      <c r="AK6" s="350" t="n">
        <v>278896324</v>
      </c>
      <c r="AL6" s="350" t="n">
        <v>129672213</v>
      </c>
      <c r="AM6" s="350" t="n">
        <v>159943490</v>
      </c>
      <c r="AN6" s="350" t="n">
        <v>129052482</v>
      </c>
      <c r="AO6" s="350" t="n">
        <v>152256038</v>
      </c>
      <c r="AP6" s="350" t="n">
        <v>154206765</v>
      </c>
      <c r="AQ6" s="350" t="n">
        <v>128373786</v>
      </c>
      <c r="AR6" s="350" t="n">
        <v>127381802</v>
      </c>
      <c r="AS6" s="350" t="n">
        <v>119524398</v>
      </c>
      <c r="AT6" s="350" t="n">
        <v>118858587</v>
      </c>
      <c r="AU6" s="350" t="n">
        <v>128235314</v>
      </c>
      <c r="AV6" s="350" t="n">
        <v>155694726</v>
      </c>
      <c r="AW6" s="350" t="n">
        <v>294047128</v>
      </c>
      <c r="AX6" s="350" t="n">
        <v>126887841</v>
      </c>
      <c r="AY6" s="350" t="n">
        <v>123876900</v>
      </c>
      <c r="AZ6" s="350" t="n">
        <v>125169176</v>
      </c>
      <c r="BA6" s="350" t="n">
        <v>128487000</v>
      </c>
      <c r="BB6" s="350" t="n">
        <v>158458595</v>
      </c>
      <c r="BC6" s="350" t="n">
        <v>131266345</v>
      </c>
      <c r="BD6" s="350" t="n">
        <v>128134452</v>
      </c>
      <c r="BE6" s="350" t="n">
        <v>134453266</v>
      </c>
      <c r="BF6" s="350" t="n">
        <v>136391533</v>
      </c>
      <c r="BG6" s="350" t="n">
        <v>136460596</v>
      </c>
      <c r="BH6" s="350" t="n">
        <v>194974793</v>
      </c>
      <c r="BI6" s="350" t="n">
        <v>480560844</v>
      </c>
      <c r="BJ6" s="350" t="n">
        <v>141367312</v>
      </c>
      <c r="BK6" s="350" t="n">
        <v>125155905</v>
      </c>
      <c r="BL6" s="350" t="n">
        <v>138802989</v>
      </c>
      <c r="BM6" s="350" t="n">
        <v>144412556</v>
      </c>
      <c r="BN6" s="350" t="n">
        <v>178960560</v>
      </c>
      <c r="BO6" s="350" t="n">
        <v>150834592</v>
      </c>
      <c r="BP6" s="350" t="n">
        <v>152359006</v>
      </c>
    </row>
    <row r="7" ht="23.4" customHeight="1" s="408" thickBot="1">
      <c r="B7" s="364" t="n">
        <v>2</v>
      </c>
      <c r="C7" s="314" t="inlineStr">
        <is>
          <t>ពន្ធលើអត្ថប្រយោជន៍បន្ថែម</t>
        </is>
      </c>
      <c r="D7" s="312">
        <f>SUM(E7:DX7)</f>
        <v/>
      </c>
      <c r="E7" s="351" t="inlineStr">
        <is>
          <t>-</t>
        </is>
      </c>
      <c r="F7" s="351" t="inlineStr">
        <is>
          <t>-</t>
        </is>
      </c>
      <c r="G7" s="351" t="inlineStr">
        <is>
          <t>-</t>
        </is>
      </c>
      <c r="H7" s="350" t="n">
        <v>43866608</v>
      </c>
      <c r="I7" s="351" t="inlineStr">
        <is>
          <t>-</t>
        </is>
      </c>
      <c r="J7" s="351" t="inlineStr">
        <is>
          <t>-</t>
        </is>
      </c>
      <c r="K7" s="351" t="inlineStr">
        <is>
          <t>-</t>
        </is>
      </c>
      <c r="L7" s="351" t="inlineStr">
        <is>
          <t>-</t>
        </is>
      </c>
      <c r="M7" s="351" t="inlineStr">
        <is>
          <t>-</t>
        </is>
      </c>
      <c r="N7" s="351" t="inlineStr">
        <is>
          <t>-</t>
        </is>
      </c>
      <c r="O7" s="351" t="inlineStr">
        <is>
          <t>-</t>
        </is>
      </c>
      <c r="P7" s="351" t="inlineStr">
        <is>
          <t>-</t>
        </is>
      </c>
      <c r="Q7" s="351" t="inlineStr">
        <is>
          <t>-</t>
        </is>
      </c>
      <c r="R7" s="350" t="n">
        <v>4771113</v>
      </c>
      <c r="S7" s="351" t="inlineStr">
        <is>
          <t>-</t>
        </is>
      </c>
      <c r="T7" s="350" t="n">
        <v>78776901</v>
      </c>
      <c r="U7" s="351" t="inlineStr">
        <is>
          <t>-</t>
        </is>
      </c>
      <c r="V7" s="351" t="inlineStr">
        <is>
          <t>-</t>
        </is>
      </c>
      <c r="W7" s="351" t="inlineStr">
        <is>
          <t>-</t>
        </is>
      </c>
      <c r="X7" s="350" t="n">
        <v>2847600</v>
      </c>
      <c r="Y7" s="351" t="inlineStr">
        <is>
          <t>-</t>
        </is>
      </c>
      <c r="Z7" s="350" t="n">
        <v>29792018</v>
      </c>
      <c r="AA7" s="351" t="inlineStr">
        <is>
          <t>-</t>
        </is>
      </c>
      <c r="AB7" s="350" t="n">
        <v>35488063</v>
      </c>
      <c r="AC7" s="351" t="inlineStr">
        <is>
          <t>-</t>
        </is>
      </c>
      <c r="AD7" s="351" t="inlineStr">
        <is>
          <t>-</t>
        </is>
      </c>
      <c r="AE7" s="351" t="inlineStr">
        <is>
          <t>-</t>
        </is>
      </c>
      <c r="AF7" s="351" t="inlineStr">
        <is>
          <t>-</t>
        </is>
      </c>
      <c r="AG7" s="351" t="inlineStr">
        <is>
          <t>-</t>
        </is>
      </c>
      <c r="AH7" s="351" t="inlineStr">
        <is>
          <t>-</t>
        </is>
      </c>
      <c r="AI7" s="351" t="inlineStr">
        <is>
          <t>-</t>
        </is>
      </c>
      <c r="AJ7" s="350" t="n">
        <v>16908100</v>
      </c>
      <c r="AK7" s="351" t="n">
        <v>0</v>
      </c>
      <c r="AL7" s="351" t="n">
        <v>0</v>
      </c>
      <c r="AM7" s="351" t="n">
        <v>0</v>
      </c>
      <c r="AN7" s="351" t="n">
        <v>0</v>
      </c>
      <c r="AO7" s="351" t="n">
        <v>0</v>
      </c>
      <c r="AP7" s="351" t="n">
        <v>0</v>
      </c>
      <c r="AQ7" s="351" t="n">
        <v>0</v>
      </c>
      <c r="AR7" s="350" t="n">
        <v>1631600</v>
      </c>
      <c r="AS7" s="351" t="n">
        <v>0</v>
      </c>
      <c r="AT7" s="351" t="n">
        <v>0</v>
      </c>
      <c r="AU7" s="351" t="n">
        <v>0</v>
      </c>
      <c r="AV7" s="350" t="n">
        <v>3339040</v>
      </c>
      <c r="AW7" s="351" t="n">
        <v>0</v>
      </c>
      <c r="AX7" s="350" t="n">
        <v>5722269</v>
      </c>
      <c r="AY7" s="351" t="n">
        <v>0</v>
      </c>
      <c r="AZ7" s="350" t="n">
        <v>485400</v>
      </c>
      <c r="BA7" s="350" t="n">
        <v>487440</v>
      </c>
      <c r="BB7" s="350" t="n">
        <v>245760</v>
      </c>
      <c r="BC7" s="350" t="n">
        <v>492240</v>
      </c>
      <c r="BD7" s="351" t="n">
        <v>0</v>
      </c>
      <c r="BE7" s="350" t="n">
        <v>247140</v>
      </c>
      <c r="BF7" s="350" t="n">
        <v>2569280</v>
      </c>
      <c r="BG7" s="350" t="n">
        <v>745920</v>
      </c>
      <c r="BH7" s="350" t="n">
        <v>10853613</v>
      </c>
      <c r="BI7" s="350" t="n">
        <v>1754239</v>
      </c>
      <c r="BJ7" s="350" t="n">
        <v>490200</v>
      </c>
      <c r="BK7" s="350" t="n">
        <v>243120</v>
      </c>
      <c r="BL7" s="350" t="n">
        <v>243900</v>
      </c>
      <c r="BM7" s="350" t="n">
        <v>18626742</v>
      </c>
      <c r="BN7" s="350" t="n">
        <v>247080</v>
      </c>
      <c r="BO7" s="351" t="n">
        <v>0</v>
      </c>
      <c r="BP7" s="350" t="n">
        <v>248040</v>
      </c>
    </row>
    <row r="8" ht="23.4" customHeight="1" s="408" thickBot="1">
      <c r="B8" s="364" t="n">
        <v>3</v>
      </c>
      <c r="C8" s="314" t="inlineStr">
        <is>
          <t>ប្រាក់រំដោះពន្ធលើប្រាក់ចំណូល</t>
        </is>
      </c>
      <c r="D8" s="312">
        <f>SUM(E8:DX8)</f>
        <v/>
      </c>
      <c r="E8" s="350" t="n">
        <v>192817612</v>
      </c>
      <c r="F8" s="350" t="n">
        <v>199205236</v>
      </c>
      <c r="G8" s="350" t="n">
        <v>213459441</v>
      </c>
      <c r="H8" s="350" t="n">
        <v>214831696</v>
      </c>
      <c r="I8" s="350" t="n">
        <v>207199569</v>
      </c>
      <c r="J8" s="350" t="n">
        <v>203295976</v>
      </c>
      <c r="K8" s="350" t="n">
        <v>209104864</v>
      </c>
      <c r="L8" s="350" t="n">
        <v>212996842</v>
      </c>
      <c r="M8" s="350" t="n">
        <v>219946420</v>
      </c>
      <c r="N8" s="350" t="n">
        <v>203910493</v>
      </c>
      <c r="O8" s="350" t="n">
        <v>224554542</v>
      </c>
      <c r="P8" s="350" t="n">
        <v>211184630</v>
      </c>
      <c r="Q8" s="350" t="n">
        <v>220656751</v>
      </c>
      <c r="R8" s="350" t="n">
        <v>215684056</v>
      </c>
      <c r="S8" s="350" t="n">
        <v>231055168</v>
      </c>
      <c r="T8" s="351" t="inlineStr">
        <is>
          <t>-</t>
        </is>
      </c>
      <c r="U8" s="350" t="n">
        <v>445254999</v>
      </c>
      <c r="V8" s="350" t="n">
        <v>219590496</v>
      </c>
      <c r="W8" s="350" t="n">
        <v>222987537</v>
      </c>
      <c r="X8" s="350" t="n">
        <v>225931525</v>
      </c>
      <c r="Y8" s="350" t="n">
        <v>236337458</v>
      </c>
      <c r="Z8" s="350" t="n">
        <v>179294781</v>
      </c>
      <c r="AA8" s="350" t="n">
        <v>118401935</v>
      </c>
      <c r="AB8" s="350" t="n">
        <v>17701491</v>
      </c>
      <c r="AC8" s="350" t="n">
        <v>30317318</v>
      </c>
      <c r="AD8" s="350" t="n">
        <v>44993575</v>
      </c>
      <c r="AE8" s="350" t="n">
        <v>60845527</v>
      </c>
      <c r="AF8" s="350" t="n">
        <v>43606075</v>
      </c>
      <c r="AG8" s="350" t="n">
        <v>42833590</v>
      </c>
      <c r="AH8" s="350" t="n">
        <v>53266106</v>
      </c>
      <c r="AI8" s="350" t="n">
        <v>56200505</v>
      </c>
      <c r="AJ8" s="350" t="n">
        <v>55433490</v>
      </c>
      <c r="AK8" s="350" t="n">
        <v>52063788</v>
      </c>
      <c r="AL8" s="350" t="n">
        <v>41956654</v>
      </c>
      <c r="AM8" s="350" t="n">
        <v>54831011</v>
      </c>
      <c r="AN8" s="350" t="n">
        <v>57810716</v>
      </c>
      <c r="AO8" s="350" t="n">
        <v>45570594</v>
      </c>
      <c r="AP8" s="350" t="n">
        <v>40833356</v>
      </c>
      <c r="AQ8" s="350" t="n">
        <v>42566016</v>
      </c>
      <c r="AR8" s="350" t="n">
        <v>42652046</v>
      </c>
      <c r="AS8" s="350" t="n">
        <v>42329966</v>
      </c>
      <c r="AT8" s="350" t="n">
        <v>49668834</v>
      </c>
      <c r="AU8" s="350" t="n">
        <v>50888337</v>
      </c>
      <c r="AV8" s="350" t="n">
        <v>60797447</v>
      </c>
      <c r="AW8" s="350" t="n">
        <v>59746671</v>
      </c>
      <c r="AX8" s="350" t="n">
        <v>59496546</v>
      </c>
      <c r="AY8" s="350" t="n">
        <v>74800861</v>
      </c>
      <c r="AZ8" s="350" t="n">
        <v>82227934</v>
      </c>
      <c r="BA8" s="350" t="n">
        <v>96846840</v>
      </c>
      <c r="BB8" s="350" t="n">
        <v>113331098</v>
      </c>
      <c r="BC8" s="350" t="n">
        <v>129812629</v>
      </c>
      <c r="BD8" s="350" t="n">
        <v>126045267</v>
      </c>
      <c r="BE8" s="350" t="n">
        <v>118803691</v>
      </c>
      <c r="BF8" s="350" t="n">
        <v>128534047</v>
      </c>
      <c r="BG8" s="350" t="n">
        <v>132094582</v>
      </c>
      <c r="BH8" s="350" t="n">
        <v>138702860</v>
      </c>
      <c r="BI8" s="350" t="n">
        <v>137825101</v>
      </c>
      <c r="BJ8" s="350" t="n">
        <v>127339702</v>
      </c>
      <c r="BK8" s="350" t="n">
        <v>144876441</v>
      </c>
      <c r="BL8" s="350" t="n">
        <v>141937805</v>
      </c>
      <c r="BM8" s="350" t="n">
        <v>148917956</v>
      </c>
      <c r="BN8" s="350" t="n">
        <v>149243308</v>
      </c>
      <c r="BO8" s="350" t="n">
        <v>164417257</v>
      </c>
      <c r="BP8" s="350" t="n">
        <v>162543595</v>
      </c>
    </row>
    <row r="9" ht="23.4" customHeight="1" s="408" thickBot="1">
      <c r="B9" s="364" t="n">
        <v>4</v>
      </c>
      <c r="C9" s="314" t="inlineStr">
        <is>
          <t>ពន្ធលើប្រាក់ចំណូលប្រចាំឆ្នាំ</t>
        </is>
      </c>
      <c r="D9" s="312">
        <f>SUM(E9:DX9)</f>
        <v/>
      </c>
      <c r="E9" s="351" t="inlineStr">
        <is>
          <t>-</t>
        </is>
      </c>
      <c r="F9" s="350" t="n">
        <v>275642423</v>
      </c>
      <c r="G9" s="351" t="inlineStr">
        <is>
          <t>-</t>
        </is>
      </c>
      <c r="H9" s="351" t="inlineStr">
        <is>
          <t>-</t>
        </is>
      </c>
      <c r="I9" s="351" t="inlineStr">
        <is>
          <t>-</t>
        </is>
      </c>
      <c r="J9" s="351" t="inlineStr">
        <is>
          <t>-</t>
        </is>
      </c>
      <c r="K9" s="351" t="inlineStr">
        <is>
          <t>-</t>
        </is>
      </c>
      <c r="L9" s="351" t="inlineStr">
        <is>
          <t>-</t>
        </is>
      </c>
      <c r="M9" s="351" t="inlineStr">
        <is>
          <t>-</t>
        </is>
      </c>
      <c r="N9" s="351" t="inlineStr">
        <is>
          <t>-</t>
        </is>
      </c>
      <c r="O9" s="350" t="n">
        <v>16926483457</v>
      </c>
      <c r="P9" s="351" t="inlineStr">
        <is>
          <t>-</t>
        </is>
      </c>
      <c r="Q9" s="351" t="inlineStr">
        <is>
          <t>-</t>
        </is>
      </c>
      <c r="R9" s="350" t="n">
        <v>1797397128</v>
      </c>
      <c r="S9" s="351" t="inlineStr">
        <is>
          <t>-</t>
        </is>
      </c>
      <c r="T9" s="351" t="inlineStr">
        <is>
          <t>-</t>
        </is>
      </c>
      <c r="U9" s="351" t="inlineStr">
        <is>
          <t>-</t>
        </is>
      </c>
      <c r="V9" s="351" t="inlineStr">
        <is>
          <t>-</t>
        </is>
      </c>
      <c r="W9" s="351" t="inlineStr">
        <is>
          <t>-</t>
        </is>
      </c>
      <c r="X9" s="351" t="inlineStr">
        <is>
          <t>-</t>
        </is>
      </c>
      <c r="Y9" s="351" t="inlineStr">
        <is>
          <t>-</t>
        </is>
      </c>
      <c r="Z9" s="351" t="inlineStr">
        <is>
          <t>-</t>
        </is>
      </c>
      <c r="AA9" s="350" t="n">
        <v>122652470</v>
      </c>
      <c r="AB9" s="350" t="n">
        <v>1733033592</v>
      </c>
      <c r="AC9" s="351" t="inlineStr">
        <is>
          <t>-</t>
        </is>
      </c>
      <c r="AD9" s="351" t="inlineStr">
        <is>
          <t>-</t>
        </is>
      </c>
      <c r="AE9" s="351" t="inlineStr">
        <is>
          <t>-</t>
        </is>
      </c>
      <c r="AF9" s="351" t="inlineStr">
        <is>
          <t>-</t>
        </is>
      </c>
      <c r="AG9" s="351" t="inlineStr">
        <is>
          <t>-</t>
        </is>
      </c>
      <c r="AH9" s="351" t="inlineStr">
        <is>
          <t>-</t>
        </is>
      </c>
      <c r="AI9" s="351" t="inlineStr">
        <is>
          <t>-</t>
        </is>
      </c>
      <c r="AJ9" s="351" t="inlineStr">
        <is>
          <t>-</t>
        </is>
      </c>
      <c r="AL9" s="311" t="n"/>
      <c r="AW9" s="351" t="inlineStr">
        <is>
          <t>-</t>
        </is>
      </c>
      <c r="AX9" s="351" t="inlineStr">
        <is>
          <t>-</t>
        </is>
      </c>
      <c r="AY9" s="350" t="n">
        <v>3098369034</v>
      </c>
      <c r="AZ9" s="351" t="inlineStr">
        <is>
          <t>-</t>
        </is>
      </c>
      <c r="BA9" s="351" t="inlineStr">
        <is>
          <t>-</t>
        </is>
      </c>
      <c r="BB9" s="351" t="inlineStr">
        <is>
          <t>-</t>
        </is>
      </c>
      <c r="BC9" s="351" t="inlineStr">
        <is>
          <t>-</t>
        </is>
      </c>
      <c r="BD9" s="351" t="inlineStr">
        <is>
          <t>-</t>
        </is>
      </c>
      <c r="BE9" s="351" t="inlineStr">
        <is>
          <t>-</t>
        </is>
      </c>
      <c r="BF9" s="351" t="inlineStr">
        <is>
          <t>-</t>
        </is>
      </c>
      <c r="BG9" s="351" t="inlineStr">
        <is>
          <t>-</t>
        </is>
      </c>
      <c r="BH9" s="351" t="inlineStr">
        <is>
          <t>-</t>
        </is>
      </c>
      <c r="BI9" s="351" t="inlineStr">
        <is>
          <t>-</t>
        </is>
      </c>
      <c r="BJ9" s="351" t="inlineStr">
        <is>
          <t>-</t>
        </is>
      </c>
      <c r="BK9" s="350" t="n">
        <v>9753892963</v>
      </c>
      <c r="BL9" s="351" t="inlineStr">
        <is>
          <t>-</t>
        </is>
      </c>
      <c r="BM9" s="351" t="inlineStr">
        <is>
          <t>-</t>
        </is>
      </c>
      <c r="BN9" s="351" t="inlineStr">
        <is>
          <t>-</t>
        </is>
      </c>
      <c r="BO9" s="351" t="inlineStr">
        <is>
          <t>-</t>
        </is>
      </c>
      <c r="BP9" s="351" t="inlineStr">
        <is>
          <t>-</t>
        </is>
      </c>
    </row>
    <row r="10" ht="23.4" customHeight="1" s="408" thickBot="1">
      <c r="B10" s="364" t="n">
        <v>5</v>
      </c>
      <c r="C10" s="314" t="inlineStr">
        <is>
          <t>ពន្ធកាត់ទុកលើសេវាកម្ម ១៥%</t>
        </is>
      </c>
      <c r="D10" s="312">
        <f>SUM(E10:DX10)</f>
        <v/>
      </c>
      <c r="E10" s="350" t="n">
        <v>3222531</v>
      </c>
      <c r="F10" s="350" t="n">
        <v>3228884</v>
      </c>
      <c r="G10" s="350" t="n">
        <v>3793557</v>
      </c>
      <c r="H10" s="350" t="n">
        <v>66557412</v>
      </c>
      <c r="I10" s="350" t="n">
        <v>3466166</v>
      </c>
      <c r="J10" s="350" t="n">
        <v>3236031</v>
      </c>
      <c r="K10" s="350" t="n">
        <v>3209825</v>
      </c>
      <c r="L10" s="350" t="n">
        <v>3196325</v>
      </c>
      <c r="M10" s="350" t="n">
        <v>3079802</v>
      </c>
      <c r="N10" s="350" t="n">
        <v>2546256</v>
      </c>
      <c r="O10" s="350" t="n">
        <v>3828453</v>
      </c>
      <c r="P10" s="350" t="n">
        <v>2720925</v>
      </c>
      <c r="Q10" s="350" t="n">
        <v>2846610</v>
      </c>
      <c r="R10" s="350" t="n">
        <v>2748600</v>
      </c>
      <c r="S10" s="350" t="n">
        <v>2752650</v>
      </c>
      <c r="T10" s="351" t="inlineStr">
        <is>
          <t>-</t>
        </is>
      </c>
      <c r="U10" s="350" t="n">
        <v>5522175</v>
      </c>
      <c r="V10" s="350" t="n">
        <v>2806230</v>
      </c>
      <c r="W10" s="350" t="n">
        <v>2825086</v>
      </c>
      <c r="X10" s="350" t="n">
        <v>2829960</v>
      </c>
      <c r="Y10" s="350" t="n">
        <v>3645000</v>
      </c>
      <c r="Z10" s="350" t="n">
        <v>3878470</v>
      </c>
      <c r="AA10" s="350" t="n">
        <v>4708029</v>
      </c>
      <c r="AB10" s="350" t="n">
        <v>20581821</v>
      </c>
      <c r="AC10" s="350" t="n">
        <v>6173994</v>
      </c>
      <c r="AD10" s="350" t="n">
        <v>4156798</v>
      </c>
      <c r="AE10" s="350" t="n">
        <v>3978437</v>
      </c>
      <c r="AF10" s="350" t="n">
        <v>3984260</v>
      </c>
      <c r="AG10" s="350" t="n">
        <v>3979407</v>
      </c>
      <c r="AH10" s="350" t="n">
        <v>3940584</v>
      </c>
      <c r="AI10" s="350" t="n">
        <v>3928936</v>
      </c>
      <c r="AJ10" s="350" t="n">
        <v>3926024</v>
      </c>
      <c r="AK10" s="350" t="n">
        <v>4160641</v>
      </c>
      <c r="AL10" s="350" t="n">
        <v>3949318</v>
      </c>
      <c r="AM10" s="350" t="n">
        <v>3926024</v>
      </c>
      <c r="AN10" s="350" t="n">
        <v>3306969</v>
      </c>
      <c r="AO10" s="350" t="n">
        <v>2924327</v>
      </c>
      <c r="AP10" s="350" t="n">
        <v>2121392</v>
      </c>
      <c r="AQ10" s="350" t="n">
        <v>2119830</v>
      </c>
      <c r="AR10" s="350" t="n">
        <v>2123995</v>
      </c>
      <c r="AS10" s="350" t="n">
        <v>2123474</v>
      </c>
      <c r="AT10" s="350" t="n">
        <v>2406586</v>
      </c>
      <c r="AU10" s="350" t="n">
        <v>2408362</v>
      </c>
      <c r="AV10" s="350" t="n">
        <v>2411321</v>
      </c>
      <c r="AW10" s="350" t="n">
        <v>2334837</v>
      </c>
      <c r="AX10" s="350" t="n">
        <v>2119579</v>
      </c>
      <c r="AY10" s="350" t="n">
        <v>2111239</v>
      </c>
      <c r="AZ10" s="350" t="n">
        <v>2169843</v>
      </c>
      <c r="BA10" s="350" t="n">
        <v>2117494</v>
      </c>
      <c r="BB10" s="350" t="n">
        <v>2136782</v>
      </c>
      <c r="BC10" s="350" t="n">
        <v>2197864</v>
      </c>
      <c r="BD10" s="350" t="n">
        <v>3015799</v>
      </c>
      <c r="BE10" s="350" t="n">
        <v>2151378</v>
      </c>
      <c r="BF10" s="350" t="n">
        <v>3547127</v>
      </c>
      <c r="BG10" s="350" t="n">
        <v>2148772</v>
      </c>
      <c r="BH10" s="350" t="n">
        <v>6164701</v>
      </c>
      <c r="BI10" s="350" t="n">
        <v>3986189</v>
      </c>
      <c r="BJ10" s="350" t="n">
        <v>4704621</v>
      </c>
      <c r="BK10" s="350" t="n">
        <v>5869241</v>
      </c>
      <c r="BL10" s="350" t="n">
        <v>4105799</v>
      </c>
      <c r="BM10" s="350" t="n">
        <v>3997844</v>
      </c>
      <c r="BN10" s="350" t="n">
        <v>4215512</v>
      </c>
      <c r="BO10" s="350" t="n">
        <v>4063920</v>
      </c>
      <c r="BP10" s="350" t="n">
        <v>4038638</v>
      </c>
    </row>
    <row r="11" hidden="1" ht="23.4" customHeight="1" s="408" thickBot="1">
      <c r="B11" s="364" t="n">
        <v>6</v>
      </c>
      <c r="C11" s="314" t="inlineStr">
        <is>
          <t>ពន្ធកាត់ទុកលើអនិវាសនជន(ការប្រាក់)</t>
        </is>
      </c>
      <c r="D11" s="312">
        <f>SUM(E11:DX11)</f>
        <v/>
      </c>
      <c r="E11" s="311" t="n"/>
      <c r="F11" s="311" t="n"/>
      <c r="G11" s="311" t="n"/>
      <c r="H11" s="311" t="n"/>
      <c r="I11" s="312" t="n"/>
      <c r="J11" s="312" t="n"/>
      <c r="K11" s="312" t="n"/>
      <c r="L11" s="312" t="n"/>
      <c r="M11" s="312" t="n"/>
      <c r="N11" s="312" t="n"/>
      <c r="O11" s="312" t="n"/>
      <c r="P11" s="312" t="n"/>
      <c r="Q11" s="312" t="n"/>
      <c r="R11" s="312" t="n"/>
      <c r="S11" s="312" t="n"/>
      <c r="T11" s="312" t="n"/>
      <c r="U11" s="312" t="n"/>
      <c r="V11" s="312" t="n"/>
      <c r="W11" s="312" t="n"/>
      <c r="X11" s="312" t="n"/>
      <c r="Y11" s="312" t="n"/>
      <c r="Z11" s="312" t="n"/>
      <c r="AA11" s="312" t="n"/>
      <c r="AB11" s="311" t="n"/>
      <c r="AC11" s="311" t="n"/>
      <c r="AD11" s="311" t="n"/>
      <c r="AE11" s="311" t="n"/>
      <c r="AF11" s="311" t="n"/>
      <c r="AG11" s="311" t="n"/>
      <c r="AH11" s="311" t="n"/>
      <c r="AI11" s="311" t="n"/>
      <c r="AJ11" s="311" t="n"/>
      <c r="AK11" s="311" t="n"/>
      <c r="AL11" s="311" t="n"/>
      <c r="AM11" s="311" t="n"/>
      <c r="AN11" s="311" t="n"/>
      <c r="AO11" s="311" t="n"/>
      <c r="AP11" s="311" t="n"/>
    </row>
    <row r="12" ht="23.4" customHeight="1" s="408" thickBot="1">
      <c r="B12" s="364" t="n">
        <v>7</v>
      </c>
      <c r="C12" s="314" t="inlineStr">
        <is>
          <t>ពន្ធកាត់ទុកលើអនិវាសនជន(សេវាគ្រប់គ្រង បច្ចេកទេស)</t>
        </is>
      </c>
      <c r="D12" s="312">
        <f>SUM(E12:DX12)</f>
        <v/>
      </c>
      <c r="E12" s="350" t="n">
        <v>207619454</v>
      </c>
      <c r="F12" s="350" t="n">
        <v>231597516</v>
      </c>
      <c r="G12" s="350" t="n">
        <v>164328840</v>
      </c>
      <c r="H12" s="350" t="n">
        <v>156670200</v>
      </c>
      <c r="I12" s="350" t="n">
        <v>180754541</v>
      </c>
      <c r="J12" s="350" t="n">
        <v>195185980</v>
      </c>
      <c r="K12" s="350" t="n">
        <v>161418480</v>
      </c>
      <c r="L12" s="350" t="n">
        <v>202136820</v>
      </c>
      <c r="M12" s="350" t="n">
        <v>140587965</v>
      </c>
      <c r="N12" s="350" t="n">
        <v>137082553</v>
      </c>
      <c r="O12" s="350" t="n">
        <v>126668325</v>
      </c>
      <c r="P12" s="350" t="n">
        <v>161099177</v>
      </c>
      <c r="Q12" s="350" t="n">
        <v>128656437</v>
      </c>
      <c r="R12" s="350" t="n">
        <v>132602489</v>
      </c>
      <c r="S12" s="350" t="n">
        <v>130597950</v>
      </c>
      <c r="T12" s="350" t="n">
        <v>100014829</v>
      </c>
      <c r="U12" s="350" t="n">
        <v>641536432</v>
      </c>
      <c r="V12" s="350" t="n">
        <v>295198706</v>
      </c>
      <c r="W12" s="350" t="n">
        <v>168433377</v>
      </c>
      <c r="X12" s="350" t="n">
        <v>140806830</v>
      </c>
      <c r="Y12" s="350" t="n">
        <v>88582293</v>
      </c>
      <c r="Z12" s="350" t="n">
        <v>87810250</v>
      </c>
      <c r="AA12" s="350" t="n">
        <v>163811912</v>
      </c>
      <c r="AB12" s="350" t="n">
        <v>201210084</v>
      </c>
      <c r="AC12" s="350" t="n">
        <v>141891691</v>
      </c>
      <c r="AD12" s="350" t="n">
        <v>116179898</v>
      </c>
      <c r="AE12" s="350" t="n">
        <v>88435925</v>
      </c>
      <c r="AF12" s="350" t="n">
        <v>92427359</v>
      </c>
      <c r="AG12" s="350" t="n">
        <v>107646320</v>
      </c>
      <c r="AH12" s="350" t="n">
        <v>226923692</v>
      </c>
      <c r="AI12" s="350" t="n">
        <v>110640260</v>
      </c>
      <c r="AJ12" s="350" t="n">
        <v>133748826</v>
      </c>
      <c r="AK12" s="350" t="n">
        <v>87702375</v>
      </c>
      <c r="AL12" s="350" t="n">
        <v>101367779</v>
      </c>
      <c r="AM12" s="350" t="n">
        <v>87270875</v>
      </c>
      <c r="AN12" s="350" t="n">
        <v>87335600</v>
      </c>
      <c r="AO12" s="350" t="n">
        <v>115583812</v>
      </c>
      <c r="AP12" s="350" t="n">
        <v>87918125</v>
      </c>
      <c r="AQ12" s="350" t="n">
        <v>153154924</v>
      </c>
      <c r="AR12" s="350" t="n">
        <v>88194567</v>
      </c>
      <c r="AS12" s="350" t="n">
        <v>102553224</v>
      </c>
      <c r="AT12" s="350" t="n">
        <v>167148869</v>
      </c>
      <c r="AU12" s="350" t="n">
        <v>248493344</v>
      </c>
      <c r="AV12" s="350" t="n">
        <v>102564070</v>
      </c>
      <c r="AW12" s="350" t="n">
        <v>87723950</v>
      </c>
      <c r="AX12" s="350" t="n">
        <v>97615064</v>
      </c>
      <c r="AY12" s="350" t="n">
        <v>87378750</v>
      </c>
      <c r="AZ12" s="350" t="n">
        <v>140679420</v>
      </c>
      <c r="BA12" s="350" t="n">
        <v>118421089</v>
      </c>
      <c r="BB12" s="350" t="n">
        <v>88435925</v>
      </c>
      <c r="BC12" s="350" t="n">
        <v>88565375</v>
      </c>
      <c r="BD12" s="350" t="n">
        <v>88759550</v>
      </c>
      <c r="BE12" s="350" t="n">
        <v>89040025</v>
      </c>
      <c r="BF12" s="350" t="n">
        <v>185963897</v>
      </c>
      <c r="BG12" s="350" t="n">
        <v>158352202</v>
      </c>
      <c r="BH12" s="350" t="n">
        <v>107414077</v>
      </c>
      <c r="BI12" s="350" t="n">
        <v>91755533</v>
      </c>
      <c r="BJ12" s="350" t="n">
        <v>105714193</v>
      </c>
      <c r="BK12" s="350" t="n">
        <v>99001059</v>
      </c>
      <c r="BL12" s="350" t="n">
        <v>89686829</v>
      </c>
      <c r="BM12" s="350" t="n">
        <v>116811370</v>
      </c>
      <c r="BN12" s="350" t="n">
        <v>98702870</v>
      </c>
      <c r="BO12" s="350" t="n">
        <v>89104750</v>
      </c>
      <c r="BP12" s="350" t="n">
        <v>91355371</v>
      </c>
    </row>
    <row r="13" ht="23.4" customHeight="1" s="408" thickBot="1">
      <c r="B13" s="364" t="n">
        <v>8</v>
      </c>
      <c r="C13" s="314" t="inlineStr">
        <is>
          <t>ពន្ធកាត់ទុកលើអនិវាសនជន (ភាគលាភ)</t>
        </is>
      </c>
      <c r="D13" s="312">
        <f>SUM(E13:DX13)</f>
        <v/>
      </c>
      <c r="E13" s="351" t="inlineStr">
        <is>
          <t>-</t>
        </is>
      </c>
      <c r="F13" s="351" t="inlineStr">
        <is>
          <t>-</t>
        </is>
      </c>
      <c r="G13" s="351" t="inlineStr">
        <is>
          <t>-</t>
        </is>
      </c>
      <c r="H13" s="350" t="n">
        <v>814400000</v>
      </c>
      <c r="I13" s="350" t="n">
        <v>4910400000</v>
      </c>
      <c r="J13" s="351" t="inlineStr">
        <is>
          <t>-</t>
        </is>
      </c>
      <c r="K13" s="350" t="n">
        <v>8084000000</v>
      </c>
      <c r="L13" s="351" t="inlineStr">
        <is>
          <t>-</t>
        </is>
      </c>
      <c r="M13" s="351" t="inlineStr">
        <is>
          <t>-</t>
        </is>
      </c>
      <c r="N13" s="351" t="inlineStr">
        <is>
          <t>-</t>
        </is>
      </c>
      <c r="O13" s="351" t="inlineStr">
        <is>
          <t>-</t>
        </is>
      </c>
      <c r="P13" s="351" t="inlineStr">
        <is>
          <t>-</t>
        </is>
      </c>
      <c r="Q13" s="351" t="inlineStr">
        <is>
          <t>-</t>
        </is>
      </c>
      <c r="R13" s="350" t="n">
        <v>3257600000</v>
      </c>
      <c r="S13" s="351" t="inlineStr">
        <is>
          <t>-</t>
        </is>
      </c>
      <c r="T13" s="351" t="inlineStr">
        <is>
          <t>-</t>
        </is>
      </c>
      <c r="U13" s="351" t="inlineStr">
        <is>
          <t>-</t>
        </is>
      </c>
      <c r="V13" s="351" t="inlineStr">
        <is>
          <t>-</t>
        </is>
      </c>
      <c r="W13" s="351" t="inlineStr">
        <is>
          <t>-</t>
        </is>
      </c>
      <c r="X13" s="351" t="inlineStr">
        <is>
          <t>-</t>
        </is>
      </c>
      <c r="Y13" s="351" t="inlineStr">
        <is>
          <t>-</t>
        </is>
      </c>
      <c r="Z13" s="351" t="inlineStr">
        <is>
          <t>-</t>
        </is>
      </c>
      <c r="AA13" s="351" t="inlineStr">
        <is>
          <t>-</t>
        </is>
      </c>
      <c r="AB13" s="350" t="n">
        <v>2049500000</v>
      </c>
      <c r="AC13" s="351" t="inlineStr">
        <is>
          <t>-</t>
        </is>
      </c>
      <c r="AD13" s="351" t="inlineStr">
        <is>
          <t>-</t>
        </is>
      </c>
      <c r="AE13" s="351" t="inlineStr">
        <is>
          <t>-</t>
        </is>
      </c>
      <c r="AF13" s="351" t="inlineStr">
        <is>
          <t>-</t>
        </is>
      </c>
      <c r="AG13" s="351" t="inlineStr">
        <is>
          <t>-</t>
        </is>
      </c>
      <c r="AH13" s="351" t="inlineStr">
        <is>
          <t>-</t>
        </is>
      </c>
      <c r="AI13" s="351" t="inlineStr">
        <is>
          <t>-</t>
        </is>
      </c>
      <c r="AJ13" s="351" t="inlineStr">
        <is>
          <t>-</t>
        </is>
      </c>
      <c r="AL13" s="311" t="n"/>
      <c r="BI13" s="351" t="inlineStr">
        <is>
          <t>-</t>
        </is>
      </c>
      <c r="BJ13" s="350" t="n">
        <v>5660200000</v>
      </c>
      <c r="BK13" s="351" t="inlineStr">
        <is>
          <t>-</t>
        </is>
      </c>
      <c r="BL13" s="351" t="inlineStr">
        <is>
          <t>-</t>
        </is>
      </c>
      <c r="BM13" s="351" t="inlineStr">
        <is>
          <t>-</t>
        </is>
      </c>
      <c r="BN13" s="351" t="inlineStr">
        <is>
          <t>-</t>
        </is>
      </c>
      <c r="BO13" s="351" t="inlineStr">
        <is>
          <t>-</t>
        </is>
      </c>
      <c r="BP13" s="351" t="inlineStr">
        <is>
          <t>-</t>
        </is>
      </c>
    </row>
    <row r="14" ht="23.4" customHeight="1" s="408" thickBot="1">
      <c r="B14" s="364" t="n">
        <v>9</v>
      </c>
      <c r="C14" s="314" t="inlineStr">
        <is>
          <t>ពន្ធកាត់ទុកលើថ្លៃឈ្នួល (រូបវន្តបុគ្គល)</t>
        </is>
      </c>
      <c r="D14" s="312">
        <f>SUM(E14:DX14)</f>
        <v/>
      </c>
      <c r="E14" s="350" t="n">
        <v>662809</v>
      </c>
      <c r="F14" s="350" t="n">
        <v>799652</v>
      </c>
      <c r="G14" s="350" t="n">
        <v>797686</v>
      </c>
      <c r="H14" s="350" t="n">
        <v>665096</v>
      </c>
      <c r="I14" s="350" t="n">
        <v>804766</v>
      </c>
      <c r="J14" s="350" t="n">
        <v>665586</v>
      </c>
      <c r="K14" s="350" t="n">
        <v>727564</v>
      </c>
      <c r="L14" s="350" t="n">
        <v>724504</v>
      </c>
      <c r="M14" s="350" t="n">
        <v>722164</v>
      </c>
      <c r="N14" s="350" t="n">
        <v>610109</v>
      </c>
      <c r="O14" s="350" t="n">
        <v>608739</v>
      </c>
      <c r="P14" s="350" t="n">
        <v>492838</v>
      </c>
      <c r="Q14" s="350" t="n">
        <v>1067824</v>
      </c>
      <c r="R14" s="350" t="n">
        <v>2465804</v>
      </c>
      <c r="S14" s="350" t="n">
        <v>838253</v>
      </c>
      <c r="T14" s="351" t="inlineStr">
        <is>
          <t>-</t>
        </is>
      </c>
      <c r="U14" s="350" t="n">
        <v>1681645</v>
      </c>
      <c r="V14" s="350" t="n">
        <v>835992</v>
      </c>
      <c r="W14" s="350" t="n">
        <v>834142</v>
      </c>
      <c r="X14" s="350" t="n">
        <v>835581</v>
      </c>
      <c r="Y14" s="350" t="n">
        <v>12338997</v>
      </c>
      <c r="Z14" s="350" t="n">
        <v>610496</v>
      </c>
      <c r="AA14" s="350" t="n">
        <v>610496</v>
      </c>
      <c r="AB14" s="350" t="n">
        <v>614846</v>
      </c>
      <c r="AC14" s="350" t="n">
        <v>617396</v>
      </c>
      <c r="AD14" s="350" t="n">
        <v>613946</v>
      </c>
      <c r="AE14" s="350" t="n">
        <v>560198</v>
      </c>
      <c r="AF14" s="350" t="n">
        <v>561018</v>
      </c>
      <c r="AG14" s="350" t="n">
        <v>560335</v>
      </c>
      <c r="AH14" s="350" t="n">
        <v>554868</v>
      </c>
      <c r="AI14" s="350" t="n">
        <v>553228</v>
      </c>
      <c r="AJ14" s="350" t="n">
        <v>552818</v>
      </c>
      <c r="AK14" s="350" t="n">
        <v>555551</v>
      </c>
      <c r="AL14" s="350" t="n">
        <v>556098</v>
      </c>
      <c r="AM14" s="350" t="n">
        <v>552818</v>
      </c>
      <c r="AN14" s="350" t="n">
        <v>553228</v>
      </c>
      <c r="AO14" s="350" t="n">
        <v>556508</v>
      </c>
      <c r="AP14" s="350" t="n">
        <v>556918</v>
      </c>
      <c r="AQ14" s="350" t="n">
        <v>556508</v>
      </c>
      <c r="AR14" s="350" t="n">
        <v>68001</v>
      </c>
      <c r="AS14" s="350" t="n">
        <v>67985</v>
      </c>
      <c r="AT14" s="350" t="n">
        <v>176135</v>
      </c>
      <c r="AU14" s="350" t="n">
        <v>357157</v>
      </c>
      <c r="AV14" s="350" t="n">
        <v>357595</v>
      </c>
      <c r="AW14" s="350" t="n">
        <v>356893</v>
      </c>
      <c r="AX14" s="350" t="n">
        <v>356893</v>
      </c>
      <c r="AY14" s="350" t="n">
        <v>355489</v>
      </c>
      <c r="AZ14" s="350" t="n">
        <v>355138</v>
      </c>
      <c r="BA14" s="350" t="n">
        <v>356542</v>
      </c>
      <c r="BB14" s="350" t="n">
        <v>359790</v>
      </c>
      <c r="BC14" s="350" t="n">
        <v>360316</v>
      </c>
      <c r="BD14" s="350" t="n">
        <v>361106</v>
      </c>
      <c r="BE14" s="350" t="n">
        <v>362247</v>
      </c>
      <c r="BF14" s="350" t="n">
        <v>363476</v>
      </c>
      <c r="BG14" s="350" t="n">
        <v>361809</v>
      </c>
      <c r="BH14" s="350" t="n">
        <v>327059</v>
      </c>
      <c r="BI14" s="350" t="n">
        <v>360229</v>
      </c>
      <c r="BJ14" s="350" t="n">
        <v>354874</v>
      </c>
      <c r="BK14" s="350" t="n">
        <v>355840</v>
      </c>
      <c r="BL14" s="350" t="n">
        <v>361194</v>
      </c>
      <c r="BM14" s="350" t="n">
        <v>361282</v>
      </c>
      <c r="BN14" s="350" t="n">
        <v>362511</v>
      </c>
      <c r="BO14" s="350" t="n">
        <v>362511</v>
      </c>
      <c r="BP14" s="350" t="n">
        <v>364969</v>
      </c>
    </row>
    <row r="15" ht="23.4" customHeight="1" s="408" thickBot="1">
      <c r="B15" s="364" t="n">
        <v>10</v>
      </c>
      <c r="C15" s="314" t="inlineStr">
        <is>
          <t>ពន្ធកាត់ទុកលើថ្លៃឈ្នួល (នីតិបុគ្គល)</t>
        </is>
      </c>
      <c r="D15" s="312">
        <f>SUM(E15:DX15)</f>
        <v/>
      </c>
      <c r="E15" s="311" t="n"/>
      <c r="F15" s="311" t="n"/>
      <c r="G15" s="311" t="n"/>
      <c r="H15" s="311" t="n"/>
      <c r="I15" s="311" t="n"/>
      <c r="J15" s="312" t="n"/>
      <c r="K15" s="312" t="n"/>
      <c r="L15" s="312" t="n"/>
      <c r="M15" s="350" t="n">
        <v>962880</v>
      </c>
      <c r="N15" s="350" t="n">
        <v>10701204</v>
      </c>
      <c r="O15" s="351" t="inlineStr">
        <is>
          <t>-</t>
        </is>
      </c>
      <c r="P15" s="351" t="inlineStr">
        <is>
          <t>-</t>
        </is>
      </c>
      <c r="Q15" s="351" t="inlineStr">
        <is>
          <t>-</t>
        </is>
      </c>
      <c r="R15" s="351" t="inlineStr">
        <is>
          <t>-</t>
        </is>
      </c>
      <c r="S15" s="351" t="inlineStr">
        <is>
          <t>-</t>
        </is>
      </c>
      <c r="T15" s="351" t="inlineStr">
        <is>
          <t>-</t>
        </is>
      </c>
      <c r="U15" s="351" t="inlineStr">
        <is>
          <t>-</t>
        </is>
      </c>
      <c r="V15" s="351" t="inlineStr">
        <is>
          <t>-</t>
        </is>
      </c>
      <c r="W15" s="351" t="inlineStr">
        <is>
          <t>-</t>
        </is>
      </c>
      <c r="X15" s="351" t="inlineStr">
        <is>
          <t>-</t>
        </is>
      </c>
      <c r="Y15" s="312" t="n"/>
      <c r="Z15" s="311" t="n"/>
      <c r="AA15" s="311" t="n"/>
      <c r="AB15" s="311" t="n"/>
      <c r="AC15" s="311" t="n"/>
      <c r="AD15" s="311" t="n"/>
      <c r="AE15" s="311" t="n"/>
      <c r="AF15" s="311" t="n"/>
      <c r="AG15" s="311" t="n"/>
      <c r="AH15" s="311" t="n"/>
      <c r="AI15" s="311" t="n"/>
      <c r="AJ15" s="311" t="n"/>
      <c r="AK15" s="311" t="n"/>
      <c r="AL15" s="311" t="n"/>
      <c r="AM15" s="311" t="n"/>
      <c r="AN15" s="311" t="n"/>
      <c r="AO15" s="311" t="n"/>
      <c r="AP15" s="311" t="n"/>
      <c r="AQ15" s="311" t="n"/>
      <c r="AW15" s="351" t="n">
        <v>0</v>
      </c>
      <c r="AX15" s="351" t="n">
        <v>0</v>
      </c>
      <c r="AY15" s="351" t="n">
        <v>0</v>
      </c>
      <c r="AZ15" s="351" t="n">
        <v>0</v>
      </c>
      <c r="BA15" s="351" t="n">
        <v>0</v>
      </c>
      <c r="BB15" s="351" t="n">
        <v>0</v>
      </c>
      <c r="BC15" s="350" t="n">
        <v>113363680</v>
      </c>
      <c r="BD15" s="350" t="n">
        <v>99632595</v>
      </c>
      <c r="BE15" s="350" t="n">
        <v>99279628</v>
      </c>
      <c r="BF15" s="350" t="n">
        <v>162936085</v>
      </c>
      <c r="BG15" s="350" t="n">
        <v>101020644</v>
      </c>
      <c r="BH15" s="350" t="n">
        <v>89882776</v>
      </c>
    </row>
    <row r="16" ht="23.4" customHeight="1" s="408" thickBot="1">
      <c r="B16" s="364" t="n">
        <v>11</v>
      </c>
      <c r="C16" s="314" t="inlineStr">
        <is>
          <t>ពន្ធលើផ្ទាំងផ្សព្វផ្សាយ - ផ្ទាំងផ្សាយពាណិជ្ជកម្ម</t>
        </is>
      </c>
      <c r="D16" s="312">
        <f>SUM(E16:DX16)</f>
        <v/>
      </c>
      <c r="E16" s="351" t="inlineStr">
        <is>
          <t>-</t>
        </is>
      </c>
      <c r="F16" s="351" t="inlineStr">
        <is>
          <t>-</t>
        </is>
      </c>
      <c r="G16" s="351" t="inlineStr">
        <is>
          <t>-</t>
        </is>
      </c>
      <c r="H16" s="351" t="inlineStr">
        <is>
          <t>-</t>
        </is>
      </c>
      <c r="I16" s="350" t="n">
        <v>1610000</v>
      </c>
      <c r="J16" s="351" t="inlineStr">
        <is>
          <t>-</t>
        </is>
      </c>
      <c r="K16" s="351" t="inlineStr">
        <is>
          <t>-</t>
        </is>
      </c>
      <c r="L16" s="351" t="inlineStr">
        <is>
          <t>-</t>
        </is>
      </c>
      <c r="M16" s="351" t="inlineStr">
        <is>
          <t>-</t>
        </is>
      </c>
      <c r="N16" s="351" t="inlineStr">
        <is>
          <t>-</t>
        </is>
      </c>
      <c r="O16" s="351" t="inlineStr">
        <is>
          <t>-</t>
        </is>
      </c>
      <c r="P16" s="351" t="inlineStr">
        <is>
          <t>-</t>
        </is>
      </c>
      <c r="Q16" s="351" t="inlineStr">
        <is>
          <t>-</t>
        </is>
      </c>
      <c r="R16" s="351" t="inlineStr">
        <is>
          <t>-</t>
        </is>
      </c>
      <c r="S16" s="350" t="n">
        <v>1867600</v>
      </c>
      <c r="T16" s="351" t="inlineStr">
        <is>
          <t>-</t>
        </is>
      </c>
      <c r="U16" s="351" t="inlineStr">
        <is>
          <t>-</t>
        </is>
      </c>
      <c r="V16" s="351" t="inlineStr">
        <is>
          <t>-</t>
        </is>
      </c>
      <c r="W16" s="351" t="inlineStr">
        <is>
          <t>-</t>
        </is>
      </c>
      <c r="X16" s="351" t="inlineStr">
        <is>
          <t>-</t>
        </is>
      </c>
      <c r="Y16" s="351" t="inlineStr">
        <is>
          <t>-</t>
        </is>
      </c>
      <c r="Z16" s="351" t="inlineStr">
        <is>
          <t>-</t>
        </is>
      </c>
      <c r="AA16" s="350" t="n">
        <v>1610000</v>
      </c>
      <c r="AB16" s="351" t="inlineStr">
        <is>
          <t>-</t>
        </is>
      </c>
      <c r="AC16" s="351" t="inlineStr">
        <is>
          <t>-</t>
        </is>
      </c>
      <c r="AD16" s="351" t="inlineStr">
        <is>
          <t>-</t>
        </is>
      </c>
      <c r="AE16" s="351" t="inlineStr">
        <is>
          <t>-</t>
        </is>
      </c>
      <c r="AF16" s="351" t="inlineStr">
        <is>
          <t>-</t>
        </is>
      </c>
      <c r="AG16" s="351" t="inlineStr">
        <is>
          <t>-</t>
        </is>
      </c>
      <c r="AH16" s="351" t="inlineStr">
        <is>
          <t>-</t>
        </is>
      </c>
      <c r="AI16" s="351" t="inlineStr">
        <is>
          <t>-</t>
        </is>
      </c>
      <c r="AJ16" s="351" t="inlineStr">
        <is>
          <t>-</t>
        </is>
      </c>
      <c r="AK16" s="351" t="inlineStr">
        <is>
          <t>-</t>
        </is>
      </c>
      <c r="AL16" s="351" t="inlineStr">
        <is>
          <t>-</t>
        </is>
      </c>
      <c r="AM16" s="350" t="n">
        <v>1610000</v>
      </c>
      <c r="AN16" s="351" t="inlineStr">
        <is>
          <t>-</t>
        </is>
      </c>
      <c r="AO16" s="351" t="inlineStr">
        <is>
          <t>-</t>
        </is>
      </c>
      <c r="AP16" s="351" t="inlineStr">
        <is>
          <t>-</t>
        </is>
      </c>
      <c r="AQ16" s="351" t="inlineStr">
        <is>
          <t>-</t>
        </is>
      </c>
      <c r="AR16" s="351" t="inlineStr">
        <is>
          <t>-</t>
        </is>
      </c>
      <c r="AS16" s="351" t="inlineStr">
        <is>
          <t>-</t>
        </is>
      </c>
      <c r="AT16" s="351" t="inlineStr">
        <is>
          <t>-</t>
        </is>
      </c>
      <c r="AU16" s="351" t="inlineStr">
        <is>
          <t>-</t>
        </is>
      </c>
      <c r="AV16" s="351" t="inlineStr">
        <is>
          <t>-</t>
        </is>
      </c>
      <c r="AW16" s="351" t="inlineStr">
        <is>
          <t>-</t>
        </is>
      </c>
      <c r="AX16" s="351" t="inlineStr">
        <is>
          <t>-</t>
        </is>
      </c>
      <c r="AY16" s="350" t="n">
        <v>1610000</v>
      </c>
      <c r="AZ16" s="351" t="inlineStr">
        <is>
          <t>-</t>
        </is>
      </c>
      <c r="BA16" s="351" t="inlineStr">
        <is>
          <t>-</t>
        </is>
      </c>
      <c r="BB16" s="351" t="inlineStr">
        <is>
          <t>-</t>
        </is>
      </c>
      <c r="BC16" s="351" t="inlineStr">
        <is>
          <t>-</t>
        </is>
      </c>
      <c r="BD16" s="351" t="inlineStr">
        <is>
          <t>-</t>
        </is>
      </c>
      <c r="BE16" s="351" t="inlineStr">
        <is>
          <t>-</t>
        </is>
      </c>
      <c r="BF16" s="351" t="inlineStr">
        <is>
          <t>-</t>
        </is>
      </c>
      <c r="BG16" s="351" t="inlineStr">
        <is>
          <t>-</t>
        </is>
      </c>
      <c r="BH16" s="351" t="inlineStr">
        <is>
          <t>-</t>
        </is>
      </c>
      <c r="BI16" s="351" t="inlineStr">
        <is>
          <t>-</t>
        </is>
      </c>
      <c r="BJ16" s="350" t="n">
        <v>1610000</v>
      </c>
      <c r="BK16" s="351" t="inlineStr">
        <is>
          <t>-</t>
        </is>
      </c>
      <c r="BL16" s="351" t="inlineStr">
        <is>
          <t>-</t>
        </is>
      </c>
      <c r="BM16" s="351" t="inlineStr">
        <is>
          <t>-</t>
        </is>
      </c>
    </row>
    <row r="17" ht="23.4" customHeight="1" s="408" thickBot="1">
      <c r="B17" s="364" t="n">
        <v>12</v>
      </c>
      <c r="C17" s="314" t="inlineStr">
        <is>
          <t>អាករលើតម្លៃបន្ថែម</t>
        </is>
      </c>
      <c r="D17" s="312">
        <f>SUM(E17:DX17)</f>
        <v/>
      </c>
      <c r="E17" s="311" t="n"/>
      <c r="F17" s="311" t="n"/>
      <c r="G17" s="311" t="n"/>
      <c r="H17" s="311" t="n"/>
      <c r="I17" s="311" t="n"/>
      <c r="J17" s="312" t="n"/>
      <c r="K17" s="312" t="n"/>
      <c r="L17" s="312" t="n"/>
      <c r="M17" s="312" t="n"/>
      <c r="N17" s="312" t="n"/>
      <c r="O17" s="312" t="n"/>
      <c r="P17" s="312" t="n"/>
      <c r="Q17" s="312" t="n"/>
      <c r="R17" s="312" t="n"/>
      <c r="S17" s="312" t="n"/>
      <c r="T17" s="312" t="n"/>
      <c r="U17" s="312" t="n"/>
      <c r="V17" s="312" t="n"/>
      <c r="W17" s="312" t="n"/>
      <c r="X17" s="312" t="n"/>
      <c r="Y17" s="312" t="n"/>
      <c r="Z17" s="351" t="n"/>
      <c r="AA17" s="351" t="n"/>
      <c r="AB17" s="351" t="n"/>
      <c r="AC17" s="351" t="n"/>
      <c r="AD17" s="351" t="n"/>
      <c r="AE17" s="351" t="n"/>
      <c r="AF17" s="351" t="n"/>
      <c r="AG17" s="351" t="n"/>
      <c r="AH17" s="351" t="n"/>
      <c r="AI17" s="351" t="n"/>
      <c r="AJ17" s="350" t="n"/>
      <c r="BI17" s="350" t="n">
        <v>88543800</v>
      </c>
      <c r="BJ17" s="350" t="n">
        <v>96274341</v>
      </c>
      <c r="BK17" s="350" t="n">
        <v>87465050</v>
      </c>
      <c r="BL17" s="350" t="n">
        <v>89428055</v>
      </c>
      <c r="BM17" s="350" t="n">
        <v>425958232</v>
      </c>
      <c r="BN17" s="350" t="n">
        <v>95960550</v>
      </c>
      <c r="BO17" s="350" t="n">
        <v>89104750</v>
      </c>
      <c r="BP17" s="350" t="n">
        <v>89851145</v>
      </c>
    </row>
    <row r="18" ht="23.4" customHeight="1" s="408" thickBot="1">
      <c r="B18" s="364" t="n">
        <v>12</v>
      </c>
      <c r="C18" s="314" t="inlineStr">
        <is>
          <t>ពន្ធពិន័យលើការយឺតយ៉ាវ</t>
        </is>
      </c>
      <c r="D18" s="312">
        <f>SUM(E18:DX18)</f>
        <v/>
      </c>
      <c r="E18" s="311" t="n"/>
      <c r="F18" s="311" t="n"/>
      <c r="G18" s="311" t="n"/>
      <c r="H18" s="311" t="n"/>
      <c r="I18" s="311" t="n"/>
      <c r="J18" s="312" t="n"/>
      <c r="K18" s="312" t="n"/>
      <c r="L18" s="312" t="n"/>
      <c r="M18" s="312" t="n"/>
      <c r="N18" s="312" t="n"/>
      <c r="O18" s="312" t="n"/>
      <c r="P18" s="312" t="n"/>
      <c r="Q18" s="312" t="n"/>
      <c r="R18" s="312" t="n"/>
      <c r="S18" s="312" t="n"/>
      <c r="T18" s="312" t="n"/>
      <c r="U18" s="312" t="n"/>
      <c r="V18" s="312" t="n"/>
      <c r="W18" s="312" t="n"/>
      <c r="X18" s="312" t="n"/>
      <c r="Y18" s="312" t="n"/>
      <c r="Z18" s="312" t="n"/>
      <c r="AA18" s="312" t="n"/>
      <c r="AB18" s="311" t="n"/>
      <c r="AD18" s="311" t="n"/>
      <c r="AE18" s="311" t="n"/>
      <c r="AJ18" s="311" t="n"/>
      <c r="AO18" s="311" t="n"/>
      <c r="BI18" s="351" t="inlineStr">
        <is>
          <t>-</t>
        </is>
      </c>
      <c r="BJ18" s="351" t="inlineStr">
        <is>
          <t>-</t>
        </is>
      </c>
      <c r="BK18" s="351" t="inlineStr">
        <is>
          <t>-</t>
        </is>
      </c>
      <c r="BL18" s="351" t="inlineStr">
        <is>
          <t>-</t>
        </is>
      </c>
      <c r="BM18" s="350" t="n">
        <v>11766607</v>
      </c>
      <c r="BN18" s="351" t="inlineStr">
        <is>
          <t>-</t>
        </is>
      </c>
      <c r="BO18" s="351" t="inlineStr">
        <is>
          <t>-</t>
        </is>
      </c>
    </row>
    <row r="19" hidden="1" ht="23.4" customHeight="1" s="408" thickBot="1">
      <c r="B19" s="364" t="n">
        <v>13</v>
      </c>
      <c r="C19" s="314" t="inlineStr">
        <is>
          <t>កម្រៃសេវាចុះបញ្ជី ឬបច្ចុប្បន្នភាព</t>
        </is>
      </c>
      <c r="D19" s="312">
        <f>SUM(E19:DX19)</f>
        <v/>
      </c>
      <c r="E19" s="351" t="n"/>
      <c r="F19" s="351" t="n"/>
      <c r="G19" s="351" t="n"/>
      <c r="H19" s="351" t="n"/>
      <c r="I19" s="350" t="n"/>
      <c r="J19" s="351" t="n"/>
      <c r="K19" s="351" t="n"/>
      <c r="L19" s="351" t="n"/>
      <c r="M19" s="351" t="n"/>
      <c r="N19" s="312" t="n"/>
      <c r="O19" s="312" t="n"/>
      <c r="P19" s="312" t="n"/>
      <c r="Q19" s="312" t="n"/>
      <c r="R19" s="312" t="n"/>
      <c r="S19" s="312" t="n"/>
      <c r="T19" s="312" t="n"/>
      <c r="U19" s="312" t="n"/>
      <c r="V19" s="312" t="n"/>
      <c r="W19" s="312" t="n"/>
      <c r="X19" s="312" t="n"/>
      <c r="Y19" s="312" t="n"/>
      <c r="Z19" s="312" t="n"/>
      <c r="AA19" s="312" t="n"/>
      <c r="AB19" s="311" t="n"/>
      <c r="AE19" s="311" t="n"/>
      <c r="AO19" s="311" t="n"/>
    </row>
    <row r="20" ht="23.4" customHeight="1" s="408" thickBot="1">
      <c r="B20" s="364" t="n">
        <v>14</v>
      </c>
      <c r="C20" s="314" t="inlineStr">
        <is>
          <t>ពន្ធប៉ាតង់</t>
        </is>
      </c>
      <c r="D20" s="312">
        <f>SUM(E20:DX20)</f>
        <v/>
      </c>
      <c r="E20" s="350" t="n"/>
      <c r="F20" s="351" t="n"/>
      <c r="G20" s="351" t="n"/>
      <c r="H20" s="351" t="n"/>
      <c r="I20" s="351" t="n"/>
      <c r="J20" s="351" t="n"/>
      <c r="K20" s="351" t="n"/>
      <c r="L20" s="351" t="n"/>
      <c r="M20" s="351" t="inlineStr">
        <is>
          <t>-</t>
        </is>
      </c>
      <c r="N20" s="350" t="n">
        <v>5000000</v>
      </c>
      <c r="O20" s="351" t="inlineStr">
        <is>
          <t>-</t>
        </is>
      </c>
      <c r="P20" s="351" t="inlineStr">
        <is>
          <t>-</t>
        </is>
      </c>
      <c r="Q20" s="351" t="inlineStr">
        <is>
          <t>-</t>
        </is>
      </c>
      <c r="R20" s="351" t="inlineStr">
        <is>
          <t>-</t>
        </is>
      </c>
      <c r="S20" s="351" t="inlineStr">
        <is>
          <t>-</t>
        </is>
      </c>
      <c r="T20" s="351" t="inlineStr">
        <is>
          <t>-</t>
        </is>
      </c>
      <c r="U20" s="351" t="inlineStr">
        <is>
          <t>-</t>
        </is>
      </c>
      <c r="V20" s="351" t="inlineStr">
        <is>
          <t>-</t>
        </is>
      </c>
      <c r="W20" s="351" t="inlineStr">
        <is>
          <t>-</t>
        </is>
      </c>
      <c r="X20" s="351" t="inlineStr">
        <is>
          <t>-</t>
        </is>
      </c>
      <c r="Y20" s="351" t="inlineStr">
        <is>
          <t>-</t>
        </is>
      </c>
      <c r="Z20" s="350" t="n">
        <v>5000000</v>
      </c>
      <c r="AA20" s="351" t="inlineStr">
        <is>
          <t>-</t>
        </is>
      </c>
      <c r="AB20" s="351" t="inlineStr">
        <is>
          <t>-</t>
        </is>
      </c>
      <c r="AC20" s="351" t="inlineStr">
        <is>
          <t>-</t>
        </is>
      </c>
      <c r="AD20" s="351" t="inlineStr">
        <is>
          <t>-</t>
        </is>
      </c>
      <c r="AE20" s="351" t="inlineStr">
        <is>
          <t>-</t>
        </is>
      </c>
      <c r="AF20" s="351" t="inlineStr">
        <is>
          <t>-</t>
        </is>
      </c>
      <c r="AG20" s="351" t="inlineStr">
        <is>
          <t>-</t>
        </is>
      </c>
      <c r="AH20" s="351" t="inlineStr">
        <is>
          <t>-</t>
        </is>
      </c>
      <c r="AI20" s="351" t="inlineStr">
        <is>
          <t>-</t>
        </is>
      </c>
      <c r="AJ20" s="351" t="inlineStr">
        <is>
          <t>-</t>
        </is>
      </c>
      <c r="AK20" s="350" t="n">
        <v>5000000</v>
      </c>
      <c r="AL20" s="351" t="inlineStr">
        <is>
          <t>-</t>
        </is>
      </c>
      <c r="AM20" s="351" t="inlineStr">
        <is>
          <t>-</t>
        </is>
      </c>
      <c r="AN20" s="351" t="inlineStr">
        <is>
          <t>-</t>
        </is>
      </c>
      <c r="AO20" s="351" t="inlineStr">
        <is>
          <t>-</t>
        </is>
      </c>
      <c r="AP20" s="351" t="inlineStr">
        <is>
          <t>-</t>
        </is>
      </c>
      <c r="AQ20" s="351" t="inlineStr">
        <is>
          <t>-</t>
        </is>
      </c>
      <c r="AR20" s="351" t="inlineStr">
        <is>
          <t>-</t>
        </is>
      </c>
      <c r="AS20" s="351" t="inlineStr">
        <is>
          <t>-</t>
        </is>
      </c>
      <c r="AT20" s="351" t="inlineStr">
        <is>
          <t>-</t>
        </is>
      </c>
      <c r="AU20" s="351" t="inlineStr">
        <is>
          <t>-</t>
        </is>
      </c>
      <c r="AV20" s="351" t="inlineStr">
        <is>
          <t>-</t>
        </is>
      </c>
      <c r="AW20" s="350" t="n">
        <v>5000000</v>
      </c>
      <c r="AX20" s="351" t="inlineStr">
        <is>
          <t>-</t>
        </is>
      </c>
      <c r="AY20" s="351" t="inlineStr">
        <is>
          <t>-</t>
        </is>
      </c>
      <c r="AZ20" s="351" t="inlineStr">
        <is>
          <t>-</t>
        </is>
      </c>
      <c r="BA20" s="351" t="inlineStr">
        <is>
          <t>-</t>
        </is>
      </c>
      <c r="BB20" s="351" t="inlineStr">
        <is>
          <t>-</t>
        </is>
      </c>
      <c r="BC20" s="351" t="inlineStr">
        <is>
          <t>-</t>
        </is>
      </c>
      <c r="BD20" s="351" t="inlineStr">
        <is>
          <t>-</t>
        </is>
      </c>
      <c r="BE20" s="351" t="inlineStr">
        <is>
          <t>-</t>
        </is>
      </c>
      <c r="BF20" s="351" t="inlineStr">
        <is>
          <t>-</t>
        </is>
      </c>
      <c r="BG20" s="351" t="inlineStr">
        <is>
          <t>-</t>
        </is>
      </c>
      <c r="BH20" s="351" t="inlineStr">
        <is>
          <t>-</t>
        </is>
      </c>
      <c r="BI20" s="350" t="n">
        <v>5000000</v>
      </c>
      <c r="BJ20" s="351" t="inlineStr">
        <is>
          <t>-</t>
        </is>
      </c>
      <c r="BK20" s="351" t="inlineStr">
        <is>
          <t>-</t>
        </is>
      </c>
      <c r="BL20" s="351" t="inlineStr">
        <is>
          <t>-</t>
        </is>
      </c>
      <c r="BM20" s="351" t="inlineStr">
        <is>
          <t>-</t>
        </is>
      </c>
      <c r="BN20" s="351" t="inlineStr">
        <is>
          <t>-</t>
        </is>
      </c>
      <c r="BO20" s="351" t="inlineStr">
        <is>
          <t>-</t>
        </is>
      </c>
      <c r="BP20" s="351" t="inlineStr">
        <is>
          <t>-</t>
        </is>
      </c>
    </row>
    <row r="21">
      <c r="C21" s="314" t="inlineStr">
        <is>
          <t>សរុបទឹកប្រាក់ពន្ធបានបង់ចូលរដ្ឋ</t>
        </is>
      </c>
      <c r="D21" s="312">
        <f>SUM(D6:D20)</f>
        <v/>
      </c>
      <c r="E21" s="311" t="n"/>
      <c r="F21" s="311" t="n"/>
      <c r="G21" s="311" t="n"/>
      <c r="H21" s="311" t="n"/>
      <c r="I21" s="311" t="n"/>
      <c r="J21" s="312" t="n"/>
      <c r="K21" s="312" t="n"/>
      <c r="L21" s="312" t="n"/>
      <c r="M21" s="312" t="n"/>
      <c r="N21" s="312" t="n"/>
      <c r="O21" s="312" t="n"/>
      <c r="P21" s="312" t="n"/>
      <c r="Q21" s="312" t="n"/>
      <c r="R21" s="312" t="n"/>
      <c r="S21" s="312" t="n"/>
      <c r="T21" s="312" t="n"/>
      <c r="U21" s="312" t="n"/>
      <c r="V21" s="312" t="n"/>
      <c r="W21" s="312" t="n"/>
      <c r="X21" s="312" t="n"/>
      <c r="Y21" s="312" t="n"/>
      <c r="Z21" s="312" t="n"/>
      <c r="AA21" s="311" t="n"/>
      <c r="AB21" s="311" t="n"/>
      <c r="AO21" s="311" t="n"/>
    </row>
    <row r="22">
      <c r="E22" s="311" t="n"/>
      <c r="F22" s="311" t="n"/>
      <c r="G22" s="311" t="n"/>
      <c r="H22" s="311" t="n"/>
      <c r="I22" s="311" t="n"/>
      <c r="J22" s="312" t="n"/>
      <c r="K22" s="312" t="n"/>
      <c r="L22" s="312" t="n"/>
      <c r="M22" s="312" t="n"/>
      <c r="N22" s="312" t="n"/>
      <c r="O22" s="312" t="n"/>
      <c r="P22" s="312" t="n"/>
      <c r="Q22" s="312" t="n"/>
      <c r="R22" s="312" t="n"/>
      <c r="S22" s="312" t="n"/>
      <c r="T22" s="312" t="n"/>
      <c r="U22" s="312" t="n"/>
      <c r="V22" s="312" t="n"/>
      <c r="W22" s="312" t="n"/>
      <c r="X22" s="312" t="n"/>
      <c r="Y22" s="312" t="n"/>
      <c r="Z22" s="312" t="n"/>
      <c r="AA22" s="311" t="n"/>
      <c r="AB22" s="311" t="n"/>
      <c r="AO22" s="311" t="n"/>
    </row>
    <row r="23">
      <c r="E23" s="311" t="n"/>
      <c r="F23" s="311" t="n"/>
      <c r="G23" s="311" t="n"/>
      <c r="H23" s="311" t="n"/>
      <c r="I23" s="311" t="n"/>
      <c r="J23" s="312" t="n"/>
      <c r="K23" s="312" t="n"/>
      <c r="L23" s="312" t="n"/>
      <c r="M23" s="312" t="n"/>
      <c r="N23" s="312" t="n"/>
      <c r="O23" s="312" t="n"/>
      <c r="P23" s="312" t="n"/>
      <c r="Q23" s="312" t="n"/>
      <c r="R23" s="312" t="n"/>
      <c r="S23" s="312" t="n"/>
      <c r="T23" s="312" t="n"/>
      <c r="U23" s="312" t="n"/>
      <c r="V23" s="312" t="n"/>
      <c r="W23" s="312" t="n"/>
      <c r="X23" s="312" t="n"/>
      <c r="Y23" s="312" t="n"/>
      <c r="Z23" s="312" t="n"/>
      <c r="AA23" s="311" t="n"/>
      <c r="AB23" s="311" t="n"/>
      <c r="AO23" s="311" t="n"/>
    </row>
    <row r="24">
      <c r="E24" s="311" t="n"/>
      <c r="F24" s="311" t="n"/>
      <c r="G24" s="311" t="n"/>
      <c r="H24" s="311" t="n"/>
      <c r="I24" s="311" t="n"/>
      <c r="J24" s="312" t="n"/>
      <c r="K24" s="312" t="n"/>
      <c r="L24" s="312" t="n"/>
      <c r="M24" s="312" t="n"/>
      <c r="N24" s="312" t="n"/>
      <c r="O24" s="312" t="n"/>
      <c r="P24" s="312" t="n"/>
      <c r="Q24" s="312" t="n"/>
      <c r="R24" s="312" t="n"/>
      <c r="S24" s="312" t="n"/>
      <c r="T24" s="312" t="n"/>
      <c r="U24" s="312" t="n"/>
      <c r="V24" s="312" t="n"/>
      <c r="W24" s="312" t="n"/>
      <c r="X24" s="312" t="n"/>
      <c r="Y24" s="312" t="n"/>
      <c r="Z24" s="312" t="n"/>
      <c r="AA24" s="311" t="n"/>
      <c r="AB24" s="311" t="n"/>
      <c r="AO24" s="311" t="n"/>
    </row>
    <row r="25">
      <c r="E25" s="311" t="n"/>
      <c r="J25" s="311" t="n"/>
      <c r="K25" s="312" t="n"/>
      <c r="O25" s="312" t="n"/>
      <c r="Q25" s="312" t="n"/>
      <c r="AA25" s="311" t="n"/>
      <c r="AB25" s="311" t="n"/>
      <c r="AO25" s="311" t="n"/>
    </row>
    <row r="26">
      <c r="K26" s="312" t="n"/>
      <c r="Q26" s="312" t="n"/>
      <c r="AB26" s="311" t="n"/>
    </row>
    <row r="27">
      <c r="Q27" s="312" t="n"/>
      <c r="AA27" s="311" t="n"/>
      <c r="AB27" s="311" t="n"/>
    </row>
    <row r="28">
      <c r="Q28" s="312" t="n"/>
      <c r="AB28" s="311" t="n"/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86"/>
  <sheetViews>
    <sheetView zoomScale="90" zoomScaleNormal="90" workbookViewId="0">
      <selection activeCell="E11" sqref="E11"/>
    </sheetView>
  </sheetViews>
  <sheetFormatPr baseColWidth="8" defaultColWidth="9.109375" defaultRowHeight="13.2"/>
  <cols>
    <col width="5.88671875" customWidth="1" style="3" min="1" max="1"/>
    <col width="15.6640625" customWidth="1" style="3" min="2" max="2"/>
    <col width="11.6640625" bestFit="1" customWidth="1" style="3" min="3" max="3"/>
    <col width="11.33203125" bestFit="1" customWidth="1" style="3" min="4" max="4"/>
    <col width="33.109375" customWidth="1" style="3" min="5" max="5"/>
    <col width="10.5546875" bestFit="1" customWidth="1" style="3" min="6" max="6"/>
    <col width="15.44140625" customWidth="1" style="3" min="7" max="7"/>
    <col width="11.6640625" bestFit="1" customWidth="1" style="3" min="8" max="8"/>
    <col width="16.109375" bestFit="1" customWidth="1" style="3" min="9" max="9"/>
    <col width="14.44140625" customWidth="1" style="3" min="10" max="10"/>
    <col width="9.109375" customWidth="1" style="3" min="11" max="16384"/>
  </cols>
  <sheetData>
    <row r="1" ht="27.75" customHeight="1" s="408">
      <c r="A1" s="484" t="inlineStr">
        <is>
          <t>តារាងឧបសម្ព័ន្ឋ</t>
        </is>
      </c>
    </row>
    <row r="2" ht="32.25" customHeight="1" s="408">
      <c r="A2" s="484" t="inlineStr">
        <is>
          <t>តារាងប្រៀធៀបវិក្ក័យប័ត្រស្នើសុំបង្វិលសងអាករលើតំលៃបន្ថែម  ( Cross checking )</t>
        </is>
      </c>
    </row>
    <row r="3" ht="22.5" customHeight="1" s="408">
      <c r="A3" s="485">
        <f>'Annex I-IM State Charge'!#REF!</f>
        <v/>
      </c>
      <c r="F3" s="4" t="n"/>
      <c r="G3" s="4" t="n"/>
      <c r="H3" s="4" t="n"/>
      <c r="I3" s="4" t="n"/>
      <c r="J3" s="4" t="n"/>
    </row>
    <row r="4" ht="21" customHeight="1" s="408">
      <c r="A4" s="486">
        <f>'Annex I-IM State Charge'!#REF!</f>
        <v/>
      </c>
      <c r="B4" s="590" t="n"/>
      <c r="C4" s="590" t="n"/>
      <c r="D4" s="590" t="n"/>
      <c r="E4" s="5" t="n"/>
      <c r="F4" s="4" t="n"/>
      <c r="G4" s="4" t="n"/>
      <c r="H4" s="4" t="n"/>
      <c r="I4" s="4" t="n"/>
      <c r="J4" s="4" t="n"/>
    </row>
    <row r="5" ht="24" customHeight="1" s="408">
      <c r="A5" s="79" t="inlineStr">
        <is>
          <t>ល.រ</t>
        </is>
      </c>
      <c r="B5" s="495" t="inlineStr">
        <is>
          <t>ក្រុមហ៊ុនស្នើសុំបង្វិលសង</t>
        </is>
      </c>
      <c r="C5" s="604" t="n"/>
      <c r="D5" s="605" t="n"/>
      <c r="E5" s="493" t="inlineStr">
        <is>
          <t>អ្នកផ្គត់ផ្គង់</t>
        </is>
      </c>
      <c r="F5" s="584" t="n"/>
      <c r="G5" s="584" t="n"/>
      <c r="H5" s="584" t="n"/>
      <c r="I5" s="573" t="n"/>
      <c r="J5" s="483" t="inlineStr">
        <is>
          <t>ផ្សេងៗ</t>
        </is>
      </c>
    </row>
    <row r="6" ht="24" customHeight="1" s="408">
      <c r="A6" s="618" t="n"/>
      <c r="B6" s="497" t="inlineStr">
        <is>
          <t>វិក្កយបត្រ</t>
        </is>
      </c>
      <c r="C6" s="590" t="n"/>
      <c r="D6" s="611" t="n"/>
      <c r="E6" s="482" t="inlineStr">
        <is>
          <t>សហគ្រាស</t>
        </is>
      </c>
      <c r="F6" s="483" t="inlineStr">
        <is>
          <t>លេខអតប</t>
        </is>
      </c>
      <c r="G6" s="497" t="inlineStr">
        <is>
          <t>វិក្កយបត្រ</t>
        </is>
      </c>
      <c r="H6" s="590" t="n"/>
      <c r="I6" s="611" t="n"/>
      <c r="J6" s="618" t="n"/>
    </row>
    <row r="7" ht="21" customHeight="1" s="408">
      <c r="A7" s="574" t="n"/>
      <c r="B7" s="497" t="inlineStr">
        <is>
          <t>លេខ</t>
        </is>
      </c>
      <c r="C7" s="497" t="inlineStr">
        <is>
          <t>ថ្ងៃទី ខែ ឆ្នាំ</t>
        </is>
      </c>
      <c r="D7" s="497" t="inlineStr">
        <is>
          <t>ប្រាក់អាករ</t>
        </is>
      </c>
      <c r="E7" s="611" t="n"/>
      <c r="F7" s="574" t="n"/>
      <c r="G7" s="497" t="inlineStr">
        <is>
          <t>លេខ</t>
        </is>
      </c>
      <c r="H7" s="497" t="inlineStr">
        <is>
          <t>ថ្ងៃទី ខែ ឆ្នាំ</t>
        </is>
      </c>
      <c r="I7" s="497" t="inlineStr">
        <is>
          <t>ប្រាក់អាករ</t>
        </is>
      </c>
      <c r="J7" s="574" t="n"/>
    </row>
    <row r="8" ht="24" customHeight="1" s="408">
      <c r="A8" s="488" t="n">
        <v>1</v>
      </c>
      <c r="B8" s="12" t="inlineStr">
        <is>
          <t>030209</t>
        </is>
      </c>
      <c r="C8" s="13" t="n">
        <v>41246</v>
      </c>
      <c r="D8" s="662" t="n">
        <v>58.25</v>
      </c>
      <c r="E8" s="11" t="inlineStr">
        <is>
          <t>A P L Logistics</t>
        </is>
      </c>
      <c r="F8" s="10" t="inlineStr">
        <is>
          <t>100046460</t>
        </is>
      </c>
      <c r="G8" s="12" t="inlineStr">
        <is>
          <t>030209</t>
        </is>
      </c>
      <c r="H8" s="13" t="n">
        <v>41246</v>
      </c>
      <c r="I8" s="662" t="n">
        <v>58.25</v>
      </c>
      <c r="J8" s="76" t="inlineStr">
        <is>
          <t>បានបង់</t>
        </is>
      </c>
    </row>
    <row r="9" ht="24" customHeight="1" s="408">
      <c r="A9" s="488" t="n">
        <v>2</v>
      </c>
      <c r="B9" s="12" t="inlineStr">
        <is>
          <t>030231</t>
        </is>
      </c>
      <c r="C9" s="13" t="n">
        <v>41248</v>
      </c>
      <c r="D9" s="662" t="n">
        <v>4</v>
      </c>
      <c r="E9" s="11" t="inlineStr">
        <is>
          <t>A P L Logistics</t>
        </is>
      </c>
      <c r="F9" s="10" t="inlineStr">
        <is>
          <t>100046460</t>
        </is>
      </c>
      <c r="G9" s="12" t="inlineStr">
        <is>
          <t>030231</t>
        </is>
      </c>
      <c r="H9" s="13" t="n">
        <v>41248</v>
      </c>
      <c r="I9" s="662" t="n">
        <v>4</v>
      </c>
      <c r="J9" s="76" t="inlineStr">
        <is>
          <t>បានបង់</t>
        </is>
      </c>
    </row>
    <row r="10" ht="24" customHeight="1" s="408">
      <c r="A10" s="488" t="n">
        <v>3</v>
      </c>
      <c r="B10" s="12" t="inlineStr">
        <is>
          <t>030241</t>
        </is>
      </c>
      <c r="C10" s="13" t="n">
        <v>41254</v>
      </c>
      <c r="D10" s="662" t="n">
        <v>49.75</v>
      </c>
      <c r="E10" s="11" t="inlineStr">
        <is>
          <t>A P L Logistics</t>
        </is>
      </c>
      <c r="F10" s="10" t="inlineStr">
        <is>
          <t>100046460</t>
        </is>
      </c>
      <c r="G10" s="12" t="inlineStr">
        <is>
          <t>030241</t>
        </is>
      </c>
      <c r="H10" s="13" t="n">
        <v>41254</v>
      </c>
      <c r="I10" s="662" t="n">
        <v>49.75</v>
      </c>
      <c r="J10" s="76" t="inlineStr">
        <is>
          <t>បានបង់</t>
        </is>
      </c>
    </row>
    <row r="11" ht="18" customHeight="1" s="408">
      <c r="A11" s="488" t="n">
        <v>4</v>
      </c>
      <c r="B11" s="12" t="inlineStr">
        <is>
          <t>030262</t>
        </is>
      </c>
      <c r="C11" s="13" t="n">
        <v>41254</v>
      </c>
      <c r="D11" s="662" t="n">
        <v>181.79</v>
      </c>
      <c r="E11" s="11" t="inlineStr">
        <is>
          <t>A P L Logistics</t>
        </is>
      </c>
      <c r="F11" s="10" t="inlineStr">
        <is>
          <t>100046460</t>
        </is>
      </c>
      <c r="G11" s="12" t="inlineStr">
        <is>
          <t>030262</t>
        </is>
      </c>
      <c r="H11" s="13" t="n">
        <v>41254</v>
      </c>
      <c r="I11" s="662" t="n">
        <v>181.79</v>
      </c>
      <c r="J11" s="76" t="inlineStr">
        <is>
          <t>បានបង់</t>
        </is>
      </c>
    </row>
    <row r="12" ht="18" customHeight="1" s="408">
      <c r="A12" s="488" t="n">
        <v>5</v>
      </c>
      <c r="B12" s="12" t="inlineStr">
        <is>
          <t>030302</t>
        </is>
      </c>
      <c r="C12" s="13" t="n">
        <v>41260</v>
      </c>
      <c r="D12" s="662" t="n">
        <v>46.69</v>
      </c>
      <c r="E12" s="11" t="inlineStr">
        <is>
          <t>A P L Logistics</t>
        </is>
      </c>
      <c r="F12" s="10" t="inlineStr">
        <is>
          <t>100046460</t>
        </is>
      </c>
      <c r="G12" s="12" t="inlineStr">
        <is>
          <t>030302</t>
        </is>
      </c>
      <c r="H12" s="13" t="n">
        <v>41260</v>
      </c>
      <c r="I12" s="662" t="n">
        <v>46.69</v>
      </c>
      <c r="J12" s="76" t="inlineStr">
        <is>
          <t>បានបង់</t>
        </is>
      </c>
    </row>
    <row r="13" ht="18" customHeight="1" s="408">
      <c r="A13" s="488" t="n">
        <v>6</v>
      </c>
      <c r="B13" s="12" t="inlineStr">
        <is>
          <t>030328</t>
        </is>
      </c>
      <c r="C13" s="13" t="n">
        <v>41260</v>
      </c>
      <c r="D13" s="662" t="n">
        <v>236.64</v>
      </c>
      <c r="E13" s="11" t="inlineStr">
        <is>
          <t>A P L Logistics</t>
        </is>
      </c>
      <c r="F13" s="10" t="inlineStr">
        <is>
          <t>100046460</t>
        </is>
      </c>
      <c r="G13" s="12" t="inlineStr">
        <is>
          <t>030328</t>
        </is>
      </c>
      <c r="H13" s="13" t="n">
        <v>41260</v>
      </c>
      <c r="I13" s="662" t="n">
        <v>236.64</v>
      </c>
      <c r="J13" s="76" t="inlineStr">
        <is>
          <t>បានបង់</t>
        </is>
      </c>
    </row>
    <row r="14" ht="18" customHeight="1" s="408">
      <c r="A14" s="488" t="n">
        <v>7</v>
      </c>
      <c r="B14" s="12" t="inlineStr">
        <is>
          <t>030343</t>
        </is>
      </c>
      <c r="C14" s="13" t="n">
        <v>41261</v>
      </c>
      <c r="D14" s="662" t="n">
        <v>4</v>
      </c>
      <c r="E14" s="11" t="inlineStr">
        <is>
          <t>A P L Logistics</t>
        </is>
      </c>
      <c r="F14" s="10" t="inlineStr">
        <is>
          <t>100046460</t>
        </is>
      </c>
      <c r="G14" s="12" t="inlineStr">
        <is>
          <t>030343</t>
        </is>
      </c>
      <c r="H14" s="13" t="n">
        <v>41261</v>
      </c>
      <c r="I14" s="662" t="n">
        <v>4</v>
      </c>
      <c r="J14" s="76" t="inlineStr">
        <is>
          <t>បានបង់</t>
        </is>
      </c>
    </row>
    <row r="15" ht="18" customHeight="1" s="408">
      <c r="A15" s="488" t="n">
        <v>8</v>
      </c>
      <c r="B15" s="12" t="inlineStr">
        <is>
          <t>030353</t>
        </is>
      </c>
      <c r="C15" s="13" t="n">
        <v>41261</v>
      </c>
      <c r="D15" s="662" t="n">
        <v>10</v>
      </c>
      <c r="E15" s="11" t="inlineStr">
        <is>
          <t>A P L Logistics</t>
        </is>
      </c>
      <c r="F15" s="10" t="inlineStr">
        <is>
          <t>100046460</t>
        </is>
      </c>
      <c r="G15" s="12" t="inlineStr">
        <is>
          <t>030353</t>
        </is>
      </c>
      <c r="H15" s="13" t="n">
        <v>41261</v>
      </c>
      <c r="I15" s="662" t="n">
        <v>10</v>
      </c>
      <c r="J15" s="76" t="inlineStr">
        <is>
          <t>បានបង់</t>
        </is>
      </c>
    </row>
    <row r="16" ht="18" customHeight="1" s="408">
      <c r="A16" s="488" t="n">
        <v>9</v>
      </c>
      <c r="B16" s="12" t="inlineStr">
        <is>
          <t>030450</t>
        </is>
      </c>
      <c r="C16" s="13" t="n">
        <v>41274</v>
      </c>
      <c r="D16" s="662" t="n">
        <v>87.52</v>
      </c>
      <c r="E16" s="11" t="inlineStr">
        <is>
          <t>A P L Logistics</t>
        </is>
      </c>
      <c r="F16" s="10" t="inlineStr">
        <is>
          <t>100046460</t>
        </is>
      </c>
      <c r="G16" s="12" t="inlineStr">
        <is>
          <t>030450</t>
        </is>
      </c>
      <c r="H16" s="13" t="n">
        <v>41274</v>
      </c>
      <c r="I16" s="662" t="n">
        <v>87.52</v>
      </c>
      <c r="J16" s="76" t="inlineStr">
        <is>
          <t>បានបង់</t>
        </is>
      </c>
    </row>
    <row r="17" ht="18" customHeight="1" s="408">
      <c r="A17" s="488" t="n">
        <v>10</v>
      </c>
      <c r="B17" s="12" t="inlineStr">
        <is>
          <t>030469</t>
        </is>
      </c>
      <c r="C17" s="13" t="n">
        <v>41274</v>
      </c>
      <c r="D17" s="662" t="n">
        <v>39.29</v>
      </c>
      <c r="E17" s="11" t="inlineStr">
        <is>
          <t>A P L Logistics</t>
        </is>
      </c>
      <c r="F17" s="10" t="inlineStr">
        <is>
          <t>100046460</t>
        </is>
      </c>
      <c r="G17" s="12" t="inlineStr">
        <is>
          <t>030469</t>
        </is>
      </c>
      <c r="H17" s="13" t="n">
        <v>41274</v>
      </c>
      <c r="I17" s="662" t="n">
        <v>39.29</v>
      </c>
      <c r="J17" s="76" t="inlineStr">
        <is>
          <t>បានបង់</t>
        </is>
      </c>
    </row>
    <row r="18" ht="18" customHeight="1" s="408">
      <c r="A18" s="481" t="inlineStr">
        <is>
          <t>Total 12/2012</t>
        </is>
      </c>
      <c r="B18" s="584" t="n"/>
      <c r="C18" s="573" t="n"/>
      <c r="D18" s="663">
        <f>SUM(D8:D17)</f>
        <v/>
      </c>
      <c r="E18" s="53" t="n"/>
      <c r="F18" s="54" t="n"/>
      <c r="G18" s="54" t="n"/>
      <c r="H18" s="664" t="inlineStr">
        <is>
          <t>USD</t>
        </is>
      </c>
      <c r="I18" s="663">
        <f>SUM(I8:I17)</f>
        <v/>
      </c>
      <c r="J18" s="7" t="n"/>
    </row>
    <row r="19" ht="21.9" customHeight="1" s="408">
      <c r="A19" s="481" t="inlineStr">
        <is>
          <t>Total 12/2012</t>
        </is>
      </c>
      <c r="B19" s="584" t="n"/>
      <c r="C19" s="573" t="n"/>
      <c r="D19" s="663" t="n"/>
      <c r="E19" s="53" t="n"/>
      <c r="F19" s="54" t="n"/>
      <c r="G19" s="665" t="n">
        <v>3995</v>
      </c>
      <c r="H19" s="664" t="inlineStr">
        <is>
          <t>RIEL</t>
        </is>
      </c>
      <c r="I19" s="666">
        <f>I18*G19</f>
        <v/>
      </c>
      <c r="J19" s="7" t="n"/>
    </row>
    <row r="20" ht="18" customHeight="1" s="408">
      <c r="A20" s="33" t="n">
        <v>1</v>
      </c>
      <c r="B20" s="12" t="inlineStr">
        <is>
          <t>029920</t>
        </is>
      </c>
      <c r="C20" s="13" t="n">
        <v>41218</v>
      </c>
      <c r="D20" s="662" t="n">
        <v>77</v>
      </c>
      <c r="E20" s="11" t="inlineStr">
        <is>
          <t>A P L Logistics</t>
        </is>
      </c>
      <c r="F20" s="10" t="inlineStr">
        <is>
          <t>100046460</t>
        </is>
      </c>
      <c r="G20" s="12" t="inlineStr">
        <is>
          <t>029920</t>
        </is>
      </c>
      <c r="H20" s="13" t="n">
        <v>41218</v>
      </c>
      <c r="I20" s="662" t="n">
        <v>77</v>
      </c>
      <c r="J20" s="76" t="inlineStr">
        <is>
          <t>បានបង់</t>
        </is>
      </c>
    </row>
    <row r="21" ht="18" customHeight="1" s="408">
      <c r="A21" s="33" t="n">
        <v>2</v>
      </c>
      <c r="B21" s="12" t="inlineStr">
        <is>
          <t>029981</t>
        </is>
      </c>
      <c r="C21" s="13" t="n">
        <v>41225</v>
      </c>
      <c r="D21" s="662" t="n">
        <v>115.89</v>
      </c>
      <c r="E21" s="11" t="inlineStr">
        <is>
          <t>A P L Logistics</t>
        </is>
      </c>
      <c r="F21" s="10" t="inlineStr">
        <is>
          <t>100046460</t>
        </is>
      </c>
      <c r="G21" s="12" t="inlineStr">
        <is>
          <t>029981</t>
        </is>
      </c>
      <c r="H21" s="13" t="n">
        <v>41225</v>
      </c>
      <c r="I21" s="662" t="n">
        <v>115.89</v>
      </c>
      <c r="J21" s="76" t="inlineStr">
        <is>
          <t>បានបង់</t>
        </is>
      </c>
    </row>
    <row r="22" ht="18" customHeight="1" s="408">
      <c r="A22" s="33" t="n">
        <v>3</v>
      </c>
      <c r="B22" s="12" t="inlineStr">
        <is>
          <t>030003</t>
        </is>
      </c>
      <c r="C22" s="13" t="n">
        <v>41225</v>
      </c>
      <c r="D22" s="662" t="n">
        <v>82.91</v>
      </c>
      <c r="E22" s="11" t="inlineStr">
        <is>
          <t>A P L Logistics</t>
        </is>
      </c>
      <c r="F22" s="10" t="inlineStr">
        <is>
          <t>100046460</t>
        </is>
      </c>
      <c r="G22" s="12" t="inlineStr">
        <is>
          <t>030003</t>
        </is>
      </c>
      <c r="H22" s="13" t="n">
        <v>41225</v>
      </c>
      <c r="I22" s="662" t="n">
        <v>82.91</v>
      </c>
      <c r="J22" s="76" t="inlineStr">
        <is>
          <t>បានបង់</t>
        </is>
      </c>
    </row>
    <row r="23" ht="18" customHeight="1" s="408">
      <c r="A23" s="33" t="n">
        <v>4</v>
      </c>
      <c r="B23" s="12" t="inlineStr">
        <is>
          <t>030044</t>
        </is>
      </c>
      <c r="C23" s="13" t="n">
        <v>41232</v>
      </c>
      <c r="D23" s="662" t="n">
        <v>55.32</v>
      </c>
      <c r="E23" s="11" t="inlineStr">
        <is>
          <t>A P L Logistics</t>
        </is>
      </c>
      <c r="F23" s="10" t="inlineStr">
        <is>
          <t>100046460</t>
        </is>
      </c>
      <c r="G23" s="12" t="inlineStr">
        <is>
          <t>030044</t>
        </is>
      </c>
      <c r="H23" s="13" t="n">
        <v>41232</v>
      </c>
      <c r="I23" s="662" t="n">
        <v>55.32</v>
      </c>
      <c r="J23" s="76" t="inlineStr">
        <is>
          <t>បានបង់</t>
        </is>
      </c>
    </row>
    <row r="24" ht="18" customHeight="1" s="408">
      <c r="A24" s="33" t="n">
        <v>5</v>
      </c>
      <c r="B24" s="12" t="inlineStr">
        <is>
          <t>030062</t>
        </is>
      </c>
      <c r="C24" s="13" t="n">
        <v>41232</v>
      </c>
      <c r="D24" s="662" t="n">
        <v>32.03</v>
      </c>
      <c r="E24" s="11" t="inlineStr">
        <is>
          <t>A P L Logistics</t>
        </is>
      </c>
      <c r="F24" s="10" t="inlineStr">
        <is>
          <t>100046460</t>
        </is>
      </c>
      <c r="G24" s="12" t="inlineStr">
        <is>
          <t>030062</t>
        </is>
      </c>
      <c r="H24" s="13" t="n">
        <v>41232</v>
      </c>
      <c r="I24" s="662" t="n">
        <v>32.03</v>
      </c>
      <c r="J24" s="76" t="inlineStr">
        <is>
          <t>បានបង់</t>
        </is>
      </c>
    </row>
    <row r="25" ht="18" customHeight="1" s="408">
      <c r="A25" s="481" t="inlineStr">
        <is>
          <t>Total 11/2012</t>
        </is>
      </c>
      <c r="B25" s="584" t="n"/>
      <c r="C25" s="573" t="n"/>
      <c r="D25" s="663">
        <f>SUM(D20:D24)</f>
        <v/>
      </c>
      <c r="E25" s="53" t="n"/>
      <c r="F25" s="54" t="n"/>
      <c r="G25" s="54" t="n"/>
      <c r="H25" s="664" t="inlineStr">
        <is>
          <t>USD</t>
        </is>
      </c>
      <c r="I25" s="663">
        <f>SUM(I20:I24)</f>
        <v/>
      </c>
      <c r="J25" s="7" t="n"/>
    </row>
    <row r="26" ht="21.9" customHeight="1" s="408">
      <c r="A26" s="481" t="inlineStr">
        <is>
          <t>Total 11/2012</t>
        </is>
      </c>
      <c r="B26" s="584" t="n"/>
      <c r="C26" s="573" t="n"/>
      <c r="D26" s="663" t="n"/>
      <c r="E26" s="53" t="n"/>
      <c r="F26" s="54" t="n"/>
      <c r="G26" s="665" t="n">
        <v>3999</v>
      </c>
      <c r="H26" s="664" t="inlineStr">
        <is>
          <t>RIEL</t>
        </is>
      </c>
      <c r="I26" s="666">
        <f>I25*G26</f>
        <v/>
      </c>
      <c r="J26" s="7" t="n"/>
    </row>
    <row r="27" ht="18" customHeight="1" s="408">
      <c r="A27" s="33" t="n">
        <v>1</v>
      </c>
      <c r="B27" s="12" t="inlineStr">
        <is>
          <t>029638</t>
        </is>
      </c>
      <c r="C27" s="13" t="n">
        <v>41183</v>
      </c>
      <c r="D27" s="662" t="n">
        <v>89.93000000000001</v>
      </c>
      <c r="E27" s="11" t="inlineStr">
        <is>
          <t>A P L Logistics</t>
        </is>
      </c>
      <c r="F27" s="10" t="inlineStr">
        <is>
          <t>100046460</t>
        </is>
      </c>
      <c r="G27" s="12" t="inlineStr">
        <is>
          <t>029638</t>
        </is>
      </c>
      <c r="H27" s="13" t="n">
        <v>41183</v>
      </c>
      <c r="I27" s="662" t="n">
        <v>89.93000000000001</v>
      </c>
      <c r="J27" s="76" t="inlineStr">
        <is>
          <t>បានបង់</t>
        </is>
      </c>
    </row>
    <row r="28" ht="18" customHeight="1" s="408">
      <c r="A28" s="33" t="n">
        <v>2</v>
      </c>
      <c r="B28" s="12" t="inlineStr">
        <is>
          <t>029716</t>
        </is>
      </c>
      <c r="C28" s="13" t="n">
        <v>41190</v>
      </c>
      <c r="D28" s="662" t="n">
        <v>49.63</v>
      </c>
      <c r="E28" s="11" t="inlineStr">
        <is>
          <t>A P L Logistics</t>
        </is>
      </c>
      <c r="F28" s="10" t="inlineStr">
        <is>
          <t>100046460</t>
        </is>
      </c>
      <c r="G28" s="12" t="inlineStr">
        <is>
          <t>029716</t>
        </is>
      </c>
      <c r="H28" s="13" t="n">
        <v>41190</v>
      </c>
      <c r="I28" s="662" t="n">
        <v>49.63</v>
      </c>
      <c r="J28" s="76" t="inlineStr">
        <is>
          <t>បានបង់</t>
        </is>
      </c>
    </row>
    <row r="29" ht="18" customHeight="1" s="408">
      <c r="A29" s="33" t="n">
        <v>3</v>
      </c>
      <c r="B29" s="12" t="inlineStr">
        <is>
          <t>029766</t>
        </is>
      </c>
      <c r="C29" s="13" t="n">
        <v>41197</v>
      </c>
      <c r="D29" s="662" t="n">
        <v>115.81</v>
      </c>
      <c r="E29" s="11" t="inlineStr">
        <is>
          <t>A P L Logistics</t>
        </is>
      </c>
      <c r="F29" s="10" t="inlineStr">
        <is>
          <t>100046460</t>
        </is>
      </c>
      <c r="G29" s="12" t="inlineStr">
        <is>
          <t>029766</t>
        </is>
      </c>
      <c r="H29" s="13" t="n">
        <v>41197</v>
      </c>
      <c r="I29" s="662" t="n">
        <v>115.81</v>
      </c>
      <c r="J29" s="76" t="inlineStr">
        <is>
          <t>បានបង់</t>
        </is>
      </c>
    </row>
    <row r="30" ht="18" customHeight="1" s="408">
      <c r="A30" s="33" t="n">
        <v>4</v>
      </c>
      <c r="B30" s="12" t="inlineStr">
        <is>
          <t>029816</t>
        </is>
      </c>
      <c r="C30" s="13" t="n">
        <v>41204</v>
      </c>
      <c r="D30" s="662" t="n">
        <v>101.98</v>
      </c>
      <c r="E30" s="11" t="inlineStr">
        <is>
          <t>A P L Logistics</t>
        </is>
      </c>
      <c r="F30" s="10" t="inlineStr">
        <is>
          <t>100046460</t>
        </is>
      </c>
      <c r="G30" s="12" t="inlineStr">
        <is>
          <t>029816</t>
        </is>
      </c>
      <c r="H30" s="13" t="n">
        <v>41204</v>
      </c>
      <c r="I30" s="662" t="n">
        <v>101.98</v>
      </c>
      <c r="J30" s="76" t="inlineStr">
        <is>
          <t>បានបង់</t>
        </is>
      </c>
    </row>
    <row r="31" ht="18" customHeight="1" s="408">
      <c r="A31" s="33" t="n">
        <v>5</v>
      </c>
      <c r="B31" s="12" t="inlineStr">
        <is>
          <t>029869</t>
        </is>
      </c>
      <c r="C31" s="46" t="n">
        <v>41211</v>
      </c>
      <c r="D31" s="662" t="n">
        <v>67.28</v>
      </c>
      <c r="E31" s="11" t="inlineStr">
        <is>
          <t>A P L Logistics</t>
        </is>
      </c>
      <c r="F31" s="10" t="inlineStr">
        <is>
          <t>100046460</t>
        </is>
      </c>
      <c r="G31" s="12" t="inlineStr">
        <is>
          <t>029869</t>
        </is>
      </c>
      <c r="H31" s="46" t="n">
        <v>41211</v>
      </c>
      <c r="I31" s="662" t="n">
        <v>67.28</v>
      </c>
      <c r="J31" s="76" t="inlineStr">
        <is>
          <t>បានបង់</t>
        </is>
      </c>
    </row>
    <row r="32" ht="18" customHeight="1" s="408">
      <c r="A32" s="481" t="inlineStr">
        <is>
          <t>Total 10/2012</t>
        </is>
      </c>
      <c r="B32" s="584" t="n"/>
      <c r="C32" s="573" t="n"/>
      <c r="D32" s="663">
        <f>SUM(D27:D31)</f>
        <v/>
      </c>
      <c r="E32" s="53" t="n"/>
      <c r="F32" s="54" t="n"/>
      <c r="G32" s="54" t="n"/>
      <c r="H32" s="664" t="inlineStr">
        <is>
          <t>USD</t>
        </is>
      </c>
      <c r="I32" s="663">
        <f>SUM(I27:I31)</f>
        <v/>
      </c>
      <c r="J32" s="7" t="n"/>
    </row>
    <row r="33" ht="21.9" customHeight="1" s="408">
      <c r="A33" s="481" t="inlineStr">
        <is>
          <t>Total 10/2012</t>
        </is>
      </c>
      <c r="B33" s="584" t="n"/>
      <c r="C33" s="573" t="n"/>
      <c r="D33" s="663" t="n"/>
      <c r="E33" s="53" t="n"/>
      <c r="F33" s="54" t="n"/>
      <c r="G33" s="665" t="n">
        <v>4028</v>
      </c>
      <c r="H33" s="664" t="inlineStr">
        <is>
          <t>RIEL</t>
        </is>
      </c>
      <c r="I33" s="666">
        <f>I32*G33</f>
        <v/>
      </c>
      <c r="J33" s="7" t="n"/>
    </row>
    <row r="34" ht="18" customHeight="1" s="408">
      <c r="A34" s="33" t="n">
        <v>1</v>
      </c>
      <c r="B34" s="12" t="inlineStr">
        <is>
          <t>029426</t>
        </is>
      </c>
      <c r="C34" s="13" t="n">
        <v>41162</v>
      </c>
      <c r="D34" s="662" t="n">
        <v>206.96</v>
      </c>
      <c r="E34" s="11" t="inlineStr">
        <is>
          <t>A P L Logistics</t>
        </is>
      </c>
      <c r="F34" s="10" t="inlineStr">
        <is>
          <t>100046460</t>
        </is>
      </c>
      <c r="G34" s="12" t="inlineStr">
        <is>
          <t>029426</t>
        </is>
      </c>
      <c r="H34" s="13" t="n">
        <v>41162</v>
      </c>
      <c r="I34" s="662" t="n">
        <v>206.96</v>
      </c>
      <c r="J34" s="76" t="inlineStr">
        <is>
          <t>បានបង់</t>
        </is>
      </c>
    </row>
    <row r="35" ht="18" customHeight="1" s="408">
      <c r="A35" s="33" t="n">
        <v>2</v>
      </c>
      <c r="B35" s="12" t="inlineStr">
        <is>
          <t>029501</t>
        </is>
      </c>
      <c r="C35" s="13" t="n">
        <v>41169</v>
      </c>
      <c r="D35" s="662" t="n">
        <v>69.7</v>
      </c>
      <c r="E35" s="11" t="inlineStr">
        <is>
          <t>A P L Logistics</t>
        </is>
      </c>
      <c r="F35" s="10" t="inlineStr">
        <is>
          <t>100046460</t>
        </is>
      </c>
      <c r="G35" s="12" t="inlineStr">
        <is>
          <t>029501</t>
        </is>
      </c>
      <c r="H35" s="13" t="n">
        <v>41169</v>
      </c>
      <c r="I35" s="662" t="n">
        <v>69.7</v>
      </c>
      <c r="J35" s="76" t="inlineStr">
        <is>
          <t>បានបង់</t>
        </is>
      </c>
    </row>
    <row r="36" ht="18" customHeight="1" s="408">
      <c r="A36" s="33" t="n">
        <v>3</v>
      </c>
      <c r="B36" s="12" t="inlineStr">
        <is>
          <t>029565</t>
        </is>
      </c>
      <c r="C36" s="13" t="n">
        <v>41176</v>
      </c>
      <c r="D36" s="662" t="n">
        <v>46.66</v>
      </c>
      <c r="E36" s="11" t="inlineStr">
        <is>
          <t>A P L Logistics</t>
        </is>
      </c>
      <c r="F36" s="10" t="inlineStr">
        <is>
          <t>100046460</t>
        </is>
      </c>
      <c r="G36" s="12" t="inlineStr">
        <is>
          <t>029565</t>
        </is>
      </c>
      <c r="H36" s="13" t="n">
        <v>41176</v>
      </c>
      <c r="I36" s="662" t="n">
        <v>46.66</v>
      </c>
      <c r="J36" s="76" t="inlineStr">
        <is>
          <t>បានបង់</t>
        </is>
      </c>
    </row>
    <row r="37" ht="18" customHeight="1" s="408">
      <c r="A37" s="481" t="inlineStr">
        <is>
          <t>Total 09/2012</t>
        </is>
      </c>
      <c r="B37" s="584" t="n"/>
      <c r="C37" s="573" t="n"/>
      <c r="D37" s="663">
        <f>SUM(D34:D36)</f>
        <v/>
      </c>
      <c r="E37" s="53" t="n"/>
      <c r="F37" s="54" t="n"/>
      <c r="G37" s="54" t="n"/>
      <c r="H37" s="664" t="inlineStr">
        <is>
          <t>USD</t>
        </is>
      </c>
      <c r="I37" s="663">
        <f>SUM(I34:I36)</f>
        <v/>
      </c>
      <c r="J37" s="7" t="n"/>
    </row>
    <row r="38" ht="21.9" customHeight="1" s="408">
      <c r="A38" s="481" t="inlineStr">
        <is>
          <t>Total 09/2012</t>
        </is>
      </c>
      <c r="B38" s="584" t="n"/>
      <c r="C38" s="573" t="n"/>
      <c r="D38" s="663" t="n"/>
      <c r="E38" s="53" t="n"/>
      <c r="F38" s="54" t="n"/>
      <c r="G38" s="665" t="n">
        <v>4044</v>
      </c>
      <c r="H38" s="664" t="inlineStr">
        <is>
          <t>RIEL</t>
        </is>
      </c>
      <c r="I38" s="666">
        <f>I37*G38</f>
        <v/>
      </c>
      <c r="J38" s="7" t="n"/>
    </row>
    <row r="39" ht="18" customHeight="1" s="408">
      <c r="A39" s="60" t="n">
        <v>1</v>
      </c>
      <c r="B39" s="12" t="inlineStr">
        <is>
          <t>029026</t>
        </is>
      </c>
      <c r="C39" s="46" t="n">
        <v>41127</v>
      </c>
      <c r="D39" s="662" t="n">
        <v>37.84</v>
      </c>
      <c r="E39" s="11" t="inlineStr">
        <is>
          <t>A P L Logistics</t>
        </is>
      </c>
      <c r="F39" s="10" t="inlineStr">
        <is>
          <t>100046460</t>
        </is>
      </c>
      <c r="G39" s="12" t="inlineStr">
        <is>
          <t>029026</t>
        </is>
      </c>
      <c r="H39" s="46" t="n">
        <v>41127</v>
      </c>
      <c r="I39" s="662" t="n">
        <v>37.84</v>
      </c>
      <c r="J39" s="76" t="inlineStr">
        <is>
          <t>បានបង់</t>
        </is>
      </c>
    </row>
    <row r="40" ht="18" customHeight="1" s="408">
      <c r="A40" s="33" t="n">
        <v>2</v>
      </c>
      <c r="B40" s="12" t="inlineStr">
        <is>
          <t>029107</t>
        </is>
      </c>
      <c r="C40" s="13" t="n">
        <v>41134</v>
      </c>
      <c r="D40" s="662" t="n">
        <v>95.45999999999999</v>
      </c>
      <c r="E40" s="11" t="inlineStr">
        <is>
          <t>A P L Logistics</t>
        </is>
      </c>
      <c r="F40" s="10" t="inlineStr">
        <is>
          <t>100046460</t>
        </is>
      </c>
      <c r="G40" s="12" t="inlineStr">
        <is>
          <t>029107</t>
        </is>
      </c>
      <c r="H40" s="13" t="n">
        <v>41134</v>
      </c>
      <c r="I40" s="662" t="n">
        <v>95.45999999999999</v>
      </c>
      <c r="J40" s="76" t="inlineStr">
        <is>
          <t>បានបង់</t>
        </is>
      </c>
    </row>
    <row r="41" ht="18" customHeight="1" s="408">
      <c r="A41" s="33" t="n">
        <v>3</v>
      </c>
      <c r="B41" s="12" t="inlineStr">
        <is>
          <t>029223</t>
        </is>
      </c>
      <c r="C41" s="13" t="n">
        <v>41141</v>
      </c>
      <c r="D41" s="662" t="n">
        <v>106.66</v>
      </c>
      <c r="E41" s="11" t="inlineStr">
        <is>
          <t>A P L Logistics</t>
        </is>
      </c>
      <c r="F41" s="10" t="inlineStr">
        <is>
          <t>100046460</t>
        </is>
      </c>
      <c r="G41" s="12" t="inlineStr">
        <is>
          <t>029223</t>
        </is>
      </c>
      <c r="H41" s="13" t="n">
        <v>41141</v>
      </c>
      <c r="I41" s="662" t="n">
        <v>106.66</v>
      </c>
      <c r="J41" s="76" t="inlineStr">
        <is>
          <t>បានបង់</t>
        </is>
      </c>
    </row>
    <row r="42" ht="18" customHeight="1" s="408">
      <c r="A42" s="33" t="n">
        <v>4</v>
      </c>
      <c r="B42" s="12" t="inlineStr">
        <is>
          <t>029278</t>
        </is>
      </c>
      <c r="C42" s="13" t="n">
        <v>41148</v>
      </c>
      <c r="D42" s="662" t="n">
        <v>32.8</v>
      </c>
      <c r="E42" s="11" t="inlineStr">
        <is>
          <t>A P L Logistics</t>
        </is>
      </c>
      <c r="F42" s="10" t="inlineStr">
        <is>
          <t>100046460</t>
        </is>
      </c>
      <c r="G42" s="12" t="inlineStr">
        <is>
          <t>029278</t>
        </is>
      </c>
      <c r="H42" s="13" t="n">
        <v>41148</v>
      </c>
      <c r="I42" s="662" t="n">
        <v>32.8</v>
      </c>
      <c r="J42" s="76" t="inlineStr">
        <is>
          <t>បានបង់</t>
        </is>
      </c>
    </row>
    <row r="43" ht="18" customHeight="1" s="408">
      <c r="A43" s="481" t="inlineStr">
        <is>
          <t>Total 08/2012</t>
        </is>
      </c>
      <c r="B43" s="584" t="n"/>
      <c r="C43" s="573" t="n"/>
      <c r="D43" s="663">
        <f>SUM(D39:D42)</f>
        <v/>
      </c>
      <c r="E43" s="53" t="n"/>
      <c r="F43" s="54" t="n"/>
      <c r="G43" s="54" t="n"/>
      <c r="H43" s="664" t="inlineStr">
        <is>
          <t>USD</t>
        </is>
      </c>
      <c r="I43" s="663">
        <f>SUM(I39:I42)</f>
        <v/>
      </c>
      <c r="J43" s="7" t="n"/>
    </row>
    <row r="44" ht="21.9" customHeight="1" s="408">
      <c r="A44" s="481" t="inlineStr">
        <is>
          <t>Total 08/2012</t>
        </is>
      </c>
      <c r="B44" s="584" t="n"/>
      <c r="C44" s="573" t="n"/>
      <c r="D44" s="663" t="n"/>
      <c r="E44" s="53" t="n"/>
      <c r="F44" s="54" t="n"/>
      <c r="G44" s="665" t="n">
        <v>4053</v>
      </c>
      <c r="H44" s="664" t="inlineStr">
        <is>
          <t>RIEL</t>
        </is>
      </c>
      <c r="I44" s="666">
        <f>I43*G44</f>
        <v/>
      </c>
      <c r="J44" s="7" t="n"/>
    </row>
    <row r="45" ht="18" customHeight="1" s="408">
      <c r="A45" s="60" t="n">
        <v>1</v>
      </c>
      <c r="B45" s="12" t="inlineStr">
        <is>
          <t>028640</t>
        </is>
      </c>
      <c r="C45" s="13" t="n">
        <v>41092</v>
      </c>
      <c r="D45" s="662" t="n">
        <v>29.26</v>
      </c>
      <c r="E45" s="11" t="inlineStr">
        <is>
          <t>A P L Logistics</t>
        </is>
      </c>
      <c r="F45" s="10" t="inlineStr">
        <is>
          <t>100046460</t>
        </is>
      </c>
      <c r="G45" s="12" t="inlineStr">
        <is>
          <t>028640</t>
        </is>
      </c>
      <c r="H45" s="13" t="n">
        <v>41092</v>
      </c>
      <c r="I45" s="662" t="n">
        <v>29.26</v>
      </c>
      <c r="J45" s="76" t="inlineStr">
        <is>
          <t>បានបង់</t>
        </is>
      </c>
    </row>
    <row r="46" ht="18" customHeight="1" s="408">
      <c r="A46" s="60" t="n">
        <v>2</v>
      </c>
      <c r="B46" s="12" t="inlineStr">
        <is>
          <t>028709</t>
        </is>
      </c>
      <c r="C46" s="13" t="n">
        <v>41099</v>
      </c>
      <c r="D46" s="662" t="n">
        <v>24.66</v>
      </c>
      <c r="E46" s="11" t="inlineStr">
        <is>
          <t>A P L Logistics</t>
        </is>
      </c>
      <c r="F46" s="10" t="inlineStr">
        <is>
          <t>100046460</t>
        </is>
      </c>
      <c r="G46" s="12" t="inlineStr">
        <is>
          <t>028709</t>
        </is>
      </c>
      <c r="H46" s="13" t="n">
        <v>41099</v>
      </c>
      <c r="I46" s="662" t="n">
        <v>24.66</v>
      </c>
      <c r="J46" s="76" t="inlineStr">
        <is>
          <t>បានបង់</t>
        </is>
      </c>
    </row>
    <row r="47" ht="18" customHeight="1" s="408">
      <c r="A47" s="60" t="n">
        <v>3</v>
      </c>
      <c r="B47" s="12" t="inlineStr">
        <is>
          <t>028809</t>
        </is>
      </c>
      <c r="C47" s="13" t="n">
        <v>41106</v>
      </c>
      <c r="D47" s="662" t="n">
        <v>31.02</v>
      </c>
      <c r="E47" s="11" t="inlineStr">
        <is>
          <t>A P L Logistics</t>
        </is>
      </c>
      <c r="F47" s="10" t="inlineStr">
        <is>
          <t>100046460</t>
        </is>
      </c>
      <c r="G47" s="12" t="inlineStr">
        <is>
          <t>028809</t>
        </is>
      </c>
      <c r="H47" s="13" t="n">
        <v>41106</v>
      </c>
      <c r="I47" s="662" t="n">
        <v>31.02</v>
      </c>
      <c r="J47" s="76" t="inlineStr">
        <is>
          <t>បានបង់</t>
        </is>
      </c>
    </row>
    <row r="48" ht="18" customHeight="1" s="408">
      <c r="A48" s="60" t="n">
        <v>4</v>
      </c>
      <c r="B48" s="12" t="inlineStr">
        <is>
          <t>028874</t>
        </is>
      </c>
      <c r="C48" s="13" t="n">
        <v>41113</v>
      </c>
      <c r="D48" s="662" t="n">
        <v>209.58</v>
      </c>
      <c r="E48" s="11" t="inlineStr">
        <is>
          <t>A P L Logistics</t>
        </is>
      </c>
      <c r="F48" s="10" t="inlineStr">
        <is>
          <t>100046460</t>
        </is>
      </c>
      <c r="G48" s="12" t="inlineStr">
        <is>
          <t>028874</t>
        </is>
      </c>
      <c r="H48" s="13" t="n">
        <v>41113</v>
      </c>
      <c r="I48" s="662" t="n">
        <v>209.58</v>
      </c>
      <c r="J48" s="76" t="inlineStr">
        <is>
          <t>បានបង់</t>
        </is>
      </c>
    </row>
    <row r="49" ht="18" customHeight="1" s="408">
      <c r="A49" s="60" t="n">
        <v>5</v>
      </c>
      <c r="B49" s="12" t="inlineStr">
        <is>
          <t>028550</t>
        </is>
      </c>
      <c r="C49" s="13" t="n">
        <v>41115</v>
      </c>
      <c r="D49" s="662" t="n">
        <v>66.92</v>
      </c>
      <c r="E49" s="11" t="inlineStr">
        <is>
          <t>A P L Logistics</t>
        </is>
      </c>
      <c r="F49" s="10" t="inlineStr">
        <is>
          <t>100046460</t>
        </is>
      </c>
      <c r="G49" s="12" t="inlineStr">
        <is>
          <t>028550</t>
        </is>
      </c>
      <c r="H49" s="13" t="n">
        <v>41115</v>
      </c>
      <c r="I49" s="662" t="n">
        <v>66.92</v>
      </c>
      <c r="J49" s="76" t="inlineStr">
        <is>
          <t>បានបង់</t>
        </is>
      </c>
    </row>
    <row r="50" ht="18" customHeight="1" s="408">
      <c r="A50" s="60" t="n">
        <v>6</v>
      </c>
      <c r="B50" s="12" t="inlineStr">
        <is>
          <t>028948</t>
        </is>
      </c>
      <c r="C50" s="13" t="n">
        <v>41120</v>
      </c>
      <c r="D50" s="662" t="n">
        <v>73.23</v>
      </c>
      <c r="E50" s="11" t="inlineStr">
        <is>
          <t>A P L Logistics</t>
        </is>
      </c>
      <c r="F50" s="10" t="inlineStr">
        <is>
          <t>100046460</t>
        </is>
      </c>
      <c r="G50" s="12" t="inlineStr">
        <is>
          <t>028948</t>
        </is>
      </c>
      <c r="H50" s="13" t="n">
        <v>41120</v>
      </c>
      <c r="I50" s="662" t="n">
        <v>73.23</v>
      </c>
      <c r="J50" s="76" t="inlineStr">
        <is>
          <t>បានបង់</t>
        </is>
      </c>
    </row>
    <row r="51" ht="18" customHeight="1" s="408">
      <c r="A51" s="60" t="n">
        <v>7</v>
      </c>
      <c r="B51" s="12" t="inlineStr">
        <is>
          <t>028961</t>
        </is>
      </c>
      <c r="C51" s="13" t="n">
        <v>41120</v>
      </c>
      <c r="D51" s="662" t="n">
        <v>27.84</v>
      </c>
      <c r="E51" s="11" t="inlineStr">
        <is>
          <t>A P L Logistics</t>
        </is>
      </c>
      <c r="F51" s="10" t="inlineStr">
        <is>
          <t>100046460</t>
        </is>
      </c>
      <c r="G51" s="12" t="inlineStr">
        <is>
          <t>028961</t>
        </is>
      </c>
      <c r="H51" s="13" t="n">
        <v>41120</v>
      </c>
      <c r="I51" s="662" t="n">
        <v>27.84</v>
      </c>
      <c r="J51" s="76" t="inlineStr">
        <is>
          <t>បានបង់</t>
        </is>
      </c>
    </row>
    <row r="52" ht="18" customHeight="1" s="408">
      <c r="A52" s="481" t="inlineStr">
        <is>
          <t>Total 07/2012</t>
        </is>
      </c>
      <c r="B52" s="584" t="n"/>
      <c r="C52" s="573" t="n"/>
      <c r="D52" s="663">
        <f>SUM(D45:D51)</f>
        <v/>
      </c>
      <c r="E52" s="53" t="n"/>
      <c r="F52" s="54" t="n"/>
      <c r="G52" s="54" t="n"/>
      <c r="H52" s="664" t="inlineStr">
        <is>
          <t>USD</t>
        </is>
      </c>
      <c r="I52" s="663">
        <f>SUM(I45:I51)</f>
        <v/>
      </c>
      <c r="J52" s="7" t="n"/>
    </row>
    <row r="53" ht="21.9" customHeight="1" s="408">
      <c r="A53" s="481" t="inlineStr">
        <is>
          <t>Total 07/2012</t>
        </is>
      </c>
      <c r="B53" s="584" t="n"/>
      <c r="C53" s="573" t="n"/>
      <c r="D53" s="663" t="n"/>
      <c r="E53" s="53" t="n"/>
      <c r="F53" s="54" t="n"/>
      <c r="G53" s="665" t="n">
        <v>4073</v>
      </c>
      <c r="H53" s="664" t="inlineStr">
        <is>
          <t>RIEL</t>
        </is>
      </c>
      <c r="I53" s="666">
        <f>I52*G53</f>
        <v/>
      </c>
      <c r="J53" s="7" t="n"/>
    </row>
    <row r="54" ht="18" customHeight="1" s="408">
      <c r="A54" s="60" t="n">
        <v>1</v>
      </c>
      <c r="B54" s="39" t="inlineStr">
        <is>
          <t>030377</t>
        </is>
      </c>
      <c r="C54" s="18" t="n">
        <v>41267</v>
      </c>
      <c r="D54" s="667" t="n">
        <v>53.34</v>
      </c>
      <c r="E54" s="11" t="inlineStr">
        <is>
          <t>A P L Logistics</t>
        </is>
      </c>
      <c r="F54" s="16" t="inlineStr">
        <is>
          <t>100046460</t>
        </is>
      </c>
      <c r="G54" s="39" t="inlineStr">
        <is>
          <t>030377</t>
        </is>
      </c>
      <c r="H54" s="48" t="n">
        <v>41267</v>
      </c>
      <c r="I54" s="667" t="n">
        <v>53.34</v>
      </c>
      <c r="J54" s="74" t="inlineStr">
        <is>
          <t>បានបង់</t>
        </is>
      </c>
    </row>
    <row r="55" ht="18" customHeight="1" s="408">
      <c r="A55" s="60" t="n">
        <v>2</v>
      </c>
      <c r="B55" s="39" t="inlineStr">
        <is>
          <t>030407</t>
        </is>
      </c>
      <c r="C55" s="18" t="n">
        <v>41267</v>
      </c>
      <c r="D55" s="667" t="n">
        <v>63.05</v>
      </c>
      <c r="E55" s="11" t="inlineStr">
        <is>
          <t>A P L Logistics</t>
        </is>
      </c>
      <c r="F55" s="16" t="inlineStr">
        <is>
          <t>100046460</t>
        </is>
      </c>
      <c r="G55" s="39" t="inlineStr">
        <is>
          <t>030407</t>
        </is>
      </c>
      <c r="H55" s="48" t="n">
        <v>41267</v>
      </c>
      <c r="I55" s="667" t="n">
        <v>63.05</v>
      </c>
      <c r="J55" s="74" t="inlineStr">
        <is>
          <t>បានបង់</t>
        </is>
      </c>
    </row>
    <row r="56" ht="18" customHeight="1" s="408">
      <c r="A56" s="60" t="n">
        <v>3</v>
      </c>
      <c r="B56" s="39" t="inlineStr">
        <is>
          <t>030516</t>
        </is>
      </c>
      <c r="C56" s="18" t="n">
        <v>41281</v>
      </c>
      <c r="D56" s="667" t="n">
        <v>81</v>
      </c>
      <c r="E56" s="11" t="inlineStr">
        <is>
          <t>A P L Logistics</t>
        </is>
      </c>
      <c r="F56" s="16" t="inlineStr">
        <is>
          <t>100046460</t>
        </is>
      </c>
      <c r="G56" s="39" t="inlineStr">
        <is>
          <t>030516</t>
        </is>
      </c>
      <c r="H56" s="48" t="n">
        <v>41281</v>
      </c>
      <c r="I56" s="667" t="n">
        <v>81</v>
      </c>
      <c r="J56" s="74" t="inlineStr">
        <is>
          <t>បានបង់</t>
        </is>
      </c>
    </row>
    <row r="57" ht="18" customHeight="1" s="408">
      <c r="A57" s="60" t="n">
        <v>4</v>
      </c>
      <c r="B57" s="39" t="inlineStr">
        <is>
          <t>030532</t>
        </is>
      </c>
      <c r="C57" s="18" t="n">
        <v>41281</v>
      </c>
      <c r="D57" s="667" t="n">
        <v>335.98</v>
      </c>
      <c r="E57" s="11" t="inlineStr">
        <is>
          <t>A P L Logistics</t>
        </is>
      </c>
      <c r="F57" s="10" t="inlineStr">
        <is>
          <t>100046460</t>
        </is>
      </c>
      <c r="G57" s="39" t="inlineStr">
        <is>
          <t>030532</t>
        </is>
      </c>
      <c r="H57" s="48" t="n">
        <v>41281</v>
      </c>
      <c r="I57" s="667" t="n">
        <v>335.98</v>
      </c>
      <c r="J57" s="74" t="inlineStr">
        <is>
          <t>បានបង់</t>
        </is>
      </c>
    </row>
    <row r="58" ht="18" customHeight="1" s="408">
      <c r="A58" s="60" t="n">
        <v>5</v>
      </c>
      <c r="B58" s="39" t="inlineStr">
        <is>
          <t>030562</t>
        </is>
      </c>
      <c r="C58" s="48" t="n">
        <v>41282</v>
      </c>
      <c r="D58" s="667" t="n">
        <v>10</v>
      </c>
      <c r="E58" s="11" t="inlineStr">
        <is>
          <t>A P L Logistics</t>
        </is>
      </c>
      <c r="F58" s="16" t="inlineStr">
        <is>
          <t>100046460</t>
        </is>
      </c>
      <c r="G58" s="39" t="inlineStr">
        <is>
          <t>030562</t>
        </is>
      </c>
      <c r="H58" s="48" t="n">
        <v>41282</v>
      </c>
      <c r="I58" s="667" t="n">
        <v>10</v>
      </c>
      <c r="J58" s="74" t="inlineStr">
        <is>
          <t>បានបង់</t>
        </is>
      </c>
    </row>
    <row r="59" ht="18" customHeight="1" s="408">
      <c r="A59" s="60" t="n">
        <v>6</v>
      </c>
      <c r="B59" s="39" t="inlineStr">
        <is>
          <t>030586</t>
        </is>
      </c>
      <c r="C59" s="48" t="n">
        <v>41285</v>
      </c>
      <c r="D59" s="667" t="n">
        <v>7.2</v>
      </c>
      <c r="E59" s="11" t="inlineStr">
        <is>
          <t>A P L Logistics</t>
        </is>
      </c>
      <c r="F59" s="16" t="inlineStr">
        <is>
          <t>100046460</t>
        </is>
      </c>
      <c r="G59" s="39" t="inlineStr">
        <is>
          <t>030586</t>
        </is>
      </c>
      <c r="H59" s="48" t="n">
        <v>41285</v>
      </c>
      <c r="I59" s="667" t="n">
        <v>7.2</v>
      </c>
      <c r="J59" s="74" t="inlineStr">
        <is>
          <t>បានបង់</t>
        </is>
      </c>
    </row>
    <row r="60" ht="18" customHeight="1" s="408">
      <c r="A60" s="60" t="n">
        <v>7</v>
      </c>
      <c r="B60" s="39" t="inlineStr">
        <is>
          <t>030614</t>
        </is>
      </c>
      <c r="C60" s="48" t="n">
        <v>41286</v>
      </c>
      <c r="D60" s="667" t="n">
        <v>217.03</v>
      </c>
      <c r="E60" s="11" t="inlineStr">
        <is>
          <t>A P L Logistics</t>
        </is>
      </c>
      <c r="F60" s="10" t="inlineStr">
        <is>
          <t>100046460</t>
        </is>
      </c>
      <c r="G60" s="39" t="inlineStr">
        <is>
          <t>030614</t>
        </is>
      </c>
      <c r="H60" s="48" t="n">
        <v>41288</v>
      </c>
      <c r="I60" s="667" t="n">
        <v>217.03</v>
      </c>
      <c r="J60" s="74" t="inlineStr">
        <is>
          <t>បានបង់</t>
        </is>
      </c>
    </row>
    <row r="61" ht="18" customHeight="1" s="408">
      <c r="A61" s="60" t="n">
        <v>8</v>
      </c>
      <c r="B61" s="39" t="inlineStr">
        <is>
          <t>030638</t>
        </is>
      </c>
      <c r="C61" s="48" t="n">
        <v>41289</v>
      </c>
      <c r="D61" s="667" t="n">
        <v>10</v>
      </c>
      <c r="E61" s="11" t="inlineStr">
        <is>
          <t>A P L Logistics</t>
        </is>
      </c>
      <c r="F61" s="16" t="inlineStr">
        <is>
          <t>100046460</t>
        </is>
      </c>
      <c r="G61" s="39" t="inlineStr">
        <is>
          <t>030638</t>
        </is>
      </c>
      <c r="H61" s="48" t="n">
        <v>41289</v>
      </c>
      <c r="I61" s="667" t="n">
        <v>10</v>
      </c>
      <c r="J61" s="74" t="inlineStr">
        <is>
          <t>បានបង់</t>
        </is>
      </c>
    </row>
    <row r="62" ht="18" customHeight="1" s="408">
      <c r="A62" s="60" t="n">
        <v>9</v>
      </c>
      <c r="B62" s="39" t="inlineStr">
        <is>
          <t>030758</t>
        </is>
      </c>
      <c r="C62" s="48" t="n">
        <v>41296</v>
      </c>
      <c r="D62" s="667" t="n">
        <v>25.25</v>
      </c>
      <c r="E62" s="11" t="inlineStr">
        <is>
          <t>A P L Logistics</t>
        </is>
      </c>
      <c r="F62" s="16" t="inlineStr">
        <is>
          <t>100046460</t>
        </is>
      </c>
      <c r="G62" s="39" t="inlineStr">
        <is>
          <t>030758</t>
        </is>
      </c>
      <c r="H62" s="48" t="n">
        <v>41296</v>
      </c>
      <c r="I62" s="667" t="n">
        <v>25.25</v>
      </c>
      <c r="J62" s="74" t="inlineStr">
        <is>
          <t>បានបង់</t>
        </is>
      </c>
    </row>
    <row r="63" ht="18" customHeight="1" s="408">
      <c r="A63" s="60" t="n">
        <v>10</v>
      </c>
      <c r="B63" s="39" t="inlineStr">
        <is>
          <t>030848</t>
        </is>
      </c>
      <c r="C63" s="48" t="n">
        <v>41302</v>
      </c>
      <c r="D63" s="667" t="n">
        <v>357.23</v>
      </c>
      <c r="E63" s="11" t="inlineStr">
        <is>
          <t>A P L Logistics</t>
        </is>
      </c>
      <c r="F63" s="10" t="inlineStr">
        <is>
          <t>100046460</t>
        </is>
      </c>
      <c r="G63" s="39" t="inlineStr">
        <is>
          <t>030848</t>
        </is>
      </c>
      <c r="H63" s="48" t="n">
        <v>41302</v>
      </c>
      <c r="I63" s="667" t="n">
        <v>357.23</v>
      </c>
      <c r="J63" s="74" t="inlineStr">
        <is>
          <t>បានបង់</t>
        </is>
      </c>
    </row>
    <row r="64" ht="18" customHeight="1" s="408">
      <c r="A64" s="481" t="inlineStr">
        <is>
          <t>Total 01/2013</t>
        </is>
      </c>
      <c r="B64" s="584" t="n"/>
      <c r="C64" s="573" t="n"/>
      <c r="D64" s="668">
        <f>SUM(D54:D63)</f>
        <v/>
      </c>
      <c r="E64" s="53" t="n"/>
      <c r="F64" s="54" t="n"/>
      <c r="G64" s="59" t="n"/>
      <c r="H64" s="664" t="inlineStr">
        <is>
          <t>USD</t>
        </is>
      </c>
      <c r="I64" s="668">
        <f>SUM(I54:I63)</f>
        <v/>
      </c>
      <c r="J64" s="7" t="n"/>
    </row>
    <row r="65" ht="21.9" customHeight="1" s="408">
      <c r="A65" s="481" t="inlineStr">
        <is>
          <t>Total 01/2013</t>
        </is>
      </c>
      <c r="B65" s="584" t="n"/>
      <c r="C65" s="573" t="n"/>
      <c r="D65" s="668" t="n"/>
      <c r="E65" s="53" t="n"/>
      <c r="F65" s="54" t="n"/>
      <c r="G65" s="665" t="n">
        <v>3995</v>
      </c>
      <c r="H65" s="664" t="inlineStr">
        <is>
          <t>RIEL</t>
        </is>
      </c>
      <c r="I65" s="666">
        <f>I64*G65</f>
        <v/>
      </c>
      <c r="J65" s="7" t="n"/>
    </row>
    <row r="66" ht="18" customHeight="1" s="408">
      <c r="A66" s="60" t="n">
        <v>1</v>
      </c>
      <c r="B66" s="39" t="inlineStr">
        <is>
          <t>030891</t>
        </is>
      </c>
      <c r="C66" s="48" t="n">
        <v>41310</v>
      </c>
      <c r="D66" s="667" t="n">
        <v>28.52</v>
      </c>
      <c r="E66" s="11" t="inlineStr">
        <is>
          <t>A P L Logistics</t>
        </is>
      </c>
      <c r="F66" s="16" t="inlineStr">
        <is>
          <t>100046460</t>
        </is>
      </c>
      <c r="G66" s="39" t="inlineStr">
        <is>
          <t>030891</t>
        </is>
      </c>
      <c r="H66" s="48" t="n">
        <v>41310</v>
      </c>
      <c r="I66" s="667" t="n">
        <v>28.52</v>
      </c>
      <c r="J66" s="74" t="inlineStr">
        <is>
          <t>បានបង់</t>
        </is>
      </c>
    </row>
    <row r="67" ht="18" customHeight="1" s="408">
      <c r="A67" s="33" t="n">
        <v>2</v>
      </c>
      <c r="B67" s="39" t="inlineStr">
        <is>
          <t>030911</t>
        </is>
      </c>
      <c r="C67" s="48" t="n">
        <v>41310</v>
      </c>
      <c r="D67" s="667" t="n">
        <v>374.87</v>
      </c>
      <c r="E67" s="11" t="inlineStr">
        <is>
          <t>A P L Logistics</t>
        </is>
      </c>
      <c r="F67" s="10" t="inlineStr">
        <is>
          <t>100046460</t>
        </is>
      </c>
      <c r="G67" s="39" t="inlineStr">
        <is>
          <t>030911</t>
        </is>
      </c>
      <c r="H67" s="48" t="n">
        <v>41310</v>
      </c>
      <c r="I67" s="667" t="n">
        <v>374.87</v>
      </c>
      <c r="J67" s="74" t="inlineStr">
        <is>
          <t>បានបង់</t>
        </is>
      </c>
    </row>
    <row r="68" ht="18" customHeight="1" s="408">
      <c r="A68" s="60" t="n">
        <v>3</v>
      </c>
      <c r="B68" s="39" t="inlineStr">
        <is>
          <t>030965</t>
        </is>
      </c>
      <c r="C68" s="48" t="n">
        <v>41312</v>
      </c>
      <c r="D68" s="667" t="n">
        <v>10</v>
      </c>
      <c r="E68" s="11" t="inlineStr">
        <is>
          <t>A P L Logistics</t>
        </is>
      </c>
      <c r="F68" s="16" t="inlineStr">
        <is>
          <t>100046460</t>
        </is>
      </c>
      <c r="G68" s="39" t="inlineStr">
        <is>
          <t>030965</t>
        </is>
      </c>
      <c r="H68" s="48" t="n">
        <v>41312</v>
      </c>
      <c r="I68" s="667" t="n">
        <v>10</v>
      </c>
      <c r="J68" s="74" t="inlineStr">
        <is>
          <t>បានបង់</t>
        </is>
      </c>
    </row>
    <row r="69" ht="18" customHeight="1" s="408">
      <c r="A69" s="33" t="n">
        <v>4</v>
      </c>
      <c r="B69" s="39" t="inlineStr">
        <is>
          <t>030999</t>
        </is>
      </c>
      <c r="C69" s="48" t="n">
        <v>41316</v>
      </c>
      <c r="D69" s="667" t="n">
        <v>115</v>
      </c>
      <c r="E69" s="11" t="inlineStr">
        <is>
          <t>A P L Logistics</t>
        </is>
      </c>
      <c r="F69" s="10" t="inlineStr">
        <is>
          <t>100046460</t>
        </is>
      </c>
      <c r="G69" s="39" t="inlineStr">
        <is>
          <t>030999</t>
        </is>
      </c>
      <c r="H69" s="48" t="n">
        <v>41316</v>
      </c>
      <c r="I69" s="667" t="n">
        <v>115</v>
      </c>
      <c r="J69" s="74" t="inlineStr">
        <is>
          <t>បានបង់</t>
        </is>
      </c>
    </row>
    <row r="70" ht="18" customHeight="1" s="408">
      <c r="A70" s="60" t="n">
        <v>5</v>
      </c>
      <c r="B70" s="39" t="inlineStr">
        <is>
          <t>031026</t>
        </is>
      </c>
      <c r="C70" s="48" t="n">
        <v>41317</v>
      </c>
      <c r="D70" s="667" t="n">
        <v>4</v>
      </c>
      <c r="E70" s="11" t="inlineStr">
        <is>
          <t>A P L Logistics</t>
        </is>
      </c>
      <c r="F70" s="16" t="inlineStr">
        <is>
          <t>100046460</t>
        </is>
      </c>
      <c r="G70" s="39" t="inlineStr">
        <is>
          <t>031026</t>
        </is>
      </c>
      <c r="H70" s="48" t="n">
        <v>41317</v>
      </c>
      <c r="I70" s="667" t="n">
        <v>4</v>
      </c>
      <c r="J70" s="74" t="inlineStr">
        <is>
          <t>បានបង់</t>
        </is>
      </c>
    </row>
    <row r="71" ht="18" customHeight="1" s="408">
      <c r="A71" s="33" t="n">
        <v>6</v>
      </c>
      <c r="B71" s="39" t="inlineStr">
        <is>
          <t>031069</t>
        </is>
      </c>
      <c r="C71" s="48" t="n">
        <v>41323</v>
      </c>
      <c r="D71" s="667" t="n">
        <v>266.83</v>
      </c>
      <c r="E71" s="11" t="inlineStr">
        <is>
          <t>A P L Logistics</t>
        </is>
      </c>
      <c r="F71" s="10" t="inlineStr">
        <is>
          <t>100046460</t>
        </is>
      </c>
      <c r="G71" s="39" t="inlineStr">
        <is>
          <t>031069</t>
        </is>
      </c>
      <c r="H71" s="48" t="n">
        <v>41323</v>
      </c>
      <c r="I71" s="667" t="n">
        <v>266.83</v>
      </c>
      <c r="J71" s="74" t="inlineStr">
        <is>
          <t>បានបង់</t>
        </is>
      </c>
    </row>
    <row r="72" ht="18" customHeight="1" s="408">
      <c r="A72" s="60" t="n">
        <v>7</v>
      </c>
      <c r="B72" s="39" t="inlineStr">
        <is>
          <t>031108</t>
        </is>
      </c>
      <c r="C72" s="48" t="n">
        <v>41326</v>
      </c>
      <c r="D72" s="667" t="n">
        <v>20</v>
      </c>
      <c r="E72" s="11" t="inlineStr">
        <is>
          <t>A P L Logistics</t>
        </is>
      </c>
      <c r="F72" s="16" t="inlineStr">
        <is>
          <t>100046460</t>
        </is>
      </c>
      <c r="G72" s="39" t="inlineStr">
        <is>
          <t>031108</t>
        </is>
      </c>
      <c r="H72" s="48" t="n">
        <v>41326</v>
      </c>
      <c r="I72" s="667" t="n">
        <v>20</v>
      </c>
      <c r="J72" s="74" t="inlineStr">
        <is>
          <t>បានបង់</t>
        </is>
      </c>
    </row>
    <row r="73" ht="18" customHeight="1" s="408">
      <c r="A73" s="33" t="n">
        <v>8</v>
      </c>
      <c r="B73" s="39" t="inlineStr">
        <is>
          <t>031138</t>
        </is>
      </c>
      <c r="C73" s="48" t="n">
        <v>41331</v>
      </c>
      <c r="D73" s="667" t="n">
        <v>142.19</v>
      </c>
      <c r="E73" s="11" t="inlineStr">
        <is>
          <t>A P L Logistics</t>
        </is>
      </c>
      <c r="F73" s="10" t="inlineStr">
        <is>
          <t>100046460</t>
        </is>
      </c>
      <c r="G73" s="39" t="inlineStr">
        <is>
          <t>031138</t>
        </is>
      </c>
      <c r="H73" s="48" t="n">
        <v>41331</v>
      </c>
      <c r="I73" s="667" t="n">
        <v>142.19</v>
      </c>
      <c r="J73" s="74" t="inlineStr">
        <is>
          <t>បានបង់</t>
        </is>
      </c>
    </row>
    <row r="74" ht="18" customHeight="1" s="408">
      <c r="A74" s="481" t="inlineStr">
        <is>
          <t>Total 02/2013</t>
        </is>
      </c>
      <c r="B74" s="584" t="n"/>
      <c r="C74" s="573" t="n"/>
      <c r="D74" s="668">
        <f>SUM(D66:D73)</f>
        <v/>
      </c>
      <c r="E74" s="53" t="n"/>
      <c r="F74" s="54" t="n"/>
      <c r="G74" s="59" t="n"/>
      <c r="H74" s="664" t="inlineStr">
        <is>
          <t>USD</t>
        </is>
      </c>
      <c r="I74" s="668">
        <f>SUM(I66:I73)</f>
        <v/>
      </c>
      <c r="J74" s="7" t="n"/>
    </row>
    <row r="75" ht="21.9" customHeight="1" s="408">
      <c r="A75" s="481" t="inlineStr">
        <is>
          <t>Total 02/2013</t>
        </is>
      </c>
      <c r="B75" s="584" t="n"/>
      <c r="C75" s="573" t="n"/>
      <c r="D75" s="668" t="n"/>
      <c r="E75" s="53" t="n"/>
      <c r="F75" s="54" t="n"/>
      <c r="G75" s="669" t="n">
        <v>3995</v>
      </c>
      <c r="H75" s="664" t="inlineStr">
        <is>
          <t>RIEL</t>
        </is>
      </c>
      <c r="I75" s="666">
        <f>I74*G75</f>
        <v/>
      </c>
      <c r="J75" s="7" t="n"/>
    </row>
    <row r="76" ht="18" customHeight="1" s="408">
      <c r="A76" s="33" t="n">
        <v>1</v>
      </c>
      <c r="B76" s="39" t="inlineStr">
        <is>
          <t>031210</t>
        </is>
      </c>
      <c r="C76" s="48" t="n">
        <v>41337</v>
      </c>
      <c r="D76" s="667" t="n">
        <v>115.18</v>
      </c>
      <c r="E76" s="11" t="inlineStr">
        <is>
          <t>A P L Logistics</t>
        </is>
      </c>
      <c r="F76" s="10" t="inlineStr">
        <is>
          <t>100046460</t>
        </is>
      </c>
      <c r="G76" s="39" t="inlineStr">
        <is>
          <t>031210</t>
        </is>
      </c>
      <c r="H76" s="48" t="n">
        <v>41337</v>
      </c>
      <c r="I76" s="667" t="n">
        <v>115.18</v>
      </c>
      <c r="J76" s="74" t="inlineStr">
        <is>
          <t>បានបង់</t>
        </is>
      </c>
    </row>
    <row r="77" ht="18" customHeight="1" s="408">
      <c r="A77" s="33" t="n">
        <v>2</v>
      </c>
      <c r="B77" s="39" t="inlineStr">
        <is>
          <t>031195</t>
        </is>
      </c>
      <c r="C77" s="48" t="n">
        <v>41337</v>
      </c>
      <c r="D77" s="667" t="n">
        <v>107.71</v>
      </c>
      <c r="E77" s="11" t="inlineStr">
        <is>
          <t>A P L Logistics</t>
        </is>
      </c>
      <c r="F77" s="10" t="inlineStr">
        <is>
          <t>100046460</t>
        </is>
      </c>
      <c r="G77" s="39" t="inlineStr">
        <is>
          <t>031195</t>
        </is>
      </c>
      <c r="H77" s="48" t="n">
        <v>41337</v>
      </c>
      <c r="I77" s="667" t="n">
        <v>107.71</v>
      </c>
      <c r="J77" s="74" t="inlineStr">
        <is>
          <t>បានបង់</t>
        </is>
      </c>
    </row>
    <row r="78" ht="18" customHeight="1" s="408">
      <c r="A78" s="33" t="n">
        <v>3</v>
      </c>
      <c r="B78" s="39" t="inlineStr">
        <is>
          <t>031383</t>
        </is>
      </c>
      <c r="C78" s="48" t="n">
        <v>41344</v>
      </c>
      <c r="D78" s="667" t="n">
        <v>109.81</v>
      </c>
      <c r="E78" s="11" t="inlineStr">
        <is>
          <t>A P L Logistics</t>
        </is>
      </c>
      <c r="F78" s="10" t="inlineStr">
        <is>
          <t>100046460</t>
        </is>
      </c>
      <c r="G78" s="39" t="inlineStr">
        <is>
          <t>031383</t>
        </is>
      </c>
      <c r="H78" s="48" t="n">
        <v>41344</v>
      </c>
      <c r="I78" s="667" t="n">
        <v>109.81</v>
      </c>
      <c r="J78" s="74" t="inlineStr">
        <is>
          <t>បានបង់</t>
        </is>
      </c>
    </row>
    <row r="79" ht="18" customHeight="1" s="408">
      <c r="A79" s="33" t="n">
        <v>4</v>
      </c>
      <c r="B79" s="39" t="inlineStr">
        <is>
          <t>031454</t>
        </is>
      </c>
      <c r="C79" s="48" t="n">
        <v>41351</v>
      </c>
      <c r="D79" s="667" t="n">
        <v>307.84</v>
      </c>
      <c r="E79" s="11" t="inlineStr">
        <is>
          <t>A P L Logistics</t>
        </is>
      </c>
      <c r="F79" s="10" t="inlineStr">
        <is>
          <t>100046460</t>
        </is>
      </c>
      <c r="G79" s="39" t="inlineStr">
        <is>
          <t>031454</t>
        </is>
      </c>
      <c r="H79" s="48" t="n">
        <v>41351</v>
      </c>
      <c r="I79" s="667" t="n">
        <v>307.84</v>
      </c>
      <c r="J79" s="74" t="inlineStr">
        <is>
          <t>បានបង់</t>
        </is>
      </c>
    </row>
    <row r="80" ht="18" customHeight="1" s="408">
      <c r="A80" s="33" t="n">
        <v>5</v>
      </c>
      <c r="B80" s="39" t="inlineStr">
        <is>
          <t>031507</t>
        </is>
      </c>
      <c r="C80" s="48" t="n">
        <v>41354</v>
      </c>
      <c r="D80" s="667" t="n">
        <v>8</v>
      </c>
      <c r="E80" s="11" t="inlineStr">
        <is>
          <t>APL Logistics</t>
        </is>
      </c>
      <c r="F80" s="16" t="inlineStr">
        <is>
          <t>100046460</t>
        </is>
      </c>
      <c r="G80" s="39" t="inlineStr">
        <is>
          <t>031507</t>
        </is>
      </c>
      <c r="H80" s="48" t="n">
        <v>41354</v>
      </c>
      <c r="I80" s="667" t="n">
        <v>8</v>
      </c>
      <c r="J80" s="74" t="inlineStr">
        <is>
          <t>បានបង់</t>
        </is>
      </c>
    </row>
    <row r="81" ht="18" customHeight="1" s="408">
      <c r="A81" s="33" t="n">
        <v>6</v>
      </c>
      <c r="B81" s="39" t="inlineStr">
        <is>
          <t>031511</t>
        </is>
      </c>
      <c r="C81" s="48" t="n">
        <v>41354</v>
      </c>
      <c r="D81" s="667" t="n">
        <v>10</v>
      </c>
      <c r="E81" s="11" t="inlineStr">
        <is>
          <t>APL Logistics</t>
        </is>
      </c>
      <c r="F81" s="16" t="inlineStr">
        <is>
          <t>100046460</t>
        </is>
      </c>
      <c r="G81" s="39" t="inlineStr">
        <is>
          <t>031511</t>
        </is>
      </c>
      <c r="H81" s="48" t="n">
        <v>41354</v>
      </c>
      <c r="I81" s="667" t="n">
        <v>10</v>
      </c>
      <c r="J81" s="74" t="inlineStr">
        <is>
          <t>បានបង់</t>
        </is>
      </c>
    </row>
    <row r="82" ht="18" customHeight="1" s="408">
      <c r="A82" s="33" t="n">
        <v>7</v>
      </c>
      <c r="B82" s="39" t="inlineStr">
        <is>
          <t>031543</t>
        </is>
      </c>
      <c r="C82" s="48" t="n">
        <v>41358</v>
      </c>
      <c r="D82" s="667" t="n">
        <v>190.8</v>
      </c>
      <c r="E82" s="11" t="inlineStr">
        <is>
          <t>A P L Logistics</t>
        </is>
      </c>
      <c r="F82" s="10" t="inlineStr">
        <is>
          <t>100046460</t>
        </is>
      </c>
      <c r="G82" s="39" t="inlineStr">
        <is>
          <t>031543</t>
        </is>
      </c>
      <c r="H82" s="48" t="n">
        <v>41358</v>
      </c>
      <c r="I82" s="667" t="n">
        <v>190.8</v>
      </c>
      <c r="J82" s="74" t="inlineStr">
        <is>
          <t>បានបង់</t>
        </is>
      </c>
    </row>
    <row r="83" ht="18" customHeight="1" s="408">
      <c r="A83" s="33" t="n">
        <v>8</v>
      </c>
      <c r="B83" s="39" t="inlineStr">
        <is>
          <t>031588</t>
        </is>
      </c>
      <c r="C83" s="48" t="n">
        <v>41360</v>
      </c>
      <c r="D83" s="667" t="n">
        <v>8</v>
      </c>
      <c r="E83" s="11" t="inlineStr">
        <is>
          <t>APL Logistics</t>
        </is>
      </c>
      <c r="F83" s="16" t="inlineStr">
        <is>
          <t>100046460</t>
        </is>
      </c>
      <c r="G83" s="39" t="inlineStr">
        <is>
          <t>031588</t>
        </is>
      </c>
      <c r="H83" s="48" t="n">
        <v>41360</v>
      </c>
      <c r="I83" s="667" t="n">
        <v>8</v>
      </c>
      <c r="J83" s="74" t="inlineStr">
        <is>
          <t>បានបង់</t>
        </is>
      </c>
    </row>
    <row r="84" ht="18" customHeight="1" s="408">
      <c r="A84" s="33" t="n">
        <v>9</v>
      </c>
      <c r="B84" s="39" t="inlineStr">
        <is>
          <t>031592</t>
        </is>
      </c>
      <c r="C84" s="48" t="n">
        <v>41360</v>
      </c>
      <c r="D84" s="667" t="n">
        <v>10</v>
      </c>
      <c r="E84" s="11" t="inlineStr">
        <is>
          <t>APL Logistics</t>
        </is>
      </c>
      <c r="F84" s="16" t="inlineStr">
        <is>
          <t>100046460</t>
        </is>
      </c>
      <c r="G84" s="39" t="inlineStr">
        <is>
          <t>031592</t>
        </is>
      </c>
      <c r="H84" s="48" t="n">
        <v>41360</v>
      </c>
      <c r="I84" s="667" t="n">
        <v>10</v>
      </c>
      <c r="J84" s="74" t="inlineStr">
        <is>
          <t>បានបង់</t>
        </is>
      </c>
    </row>
    <row r="85" ht="18" customHeight="1" s="408">
      <c r="A85" s="481" t="inlineStr">
        <is>
          <t>Total 03/2013</t>
        </is>
      </c>
      <c r="B85" s="584" t="n"/>
      <c r="C85" s="573" t="n"/>
      <c r="D85" s="668">
        <f>SUM(D76:D84)</f>
        <v/>
      </c>
      <c r="E85" s="53" t="n"/>
      <c r="F85" s="54" t="n"/>
      <c r="G85" s="59" t="n"/>
      <c r="H85" s="664" t="inlineStr">
        <is>
          <t>USD</t>
        </is>
      </c>
      <c r="I85" s="668">
        <f>SUM(I76:I84)</f>
        <v/>
      </c>
      <c r="J85" s="7" t="n"/>
    </row>
    <row r="86" ht="21.9" customHeight="1" s="408">
      <c r="A86" s="481" t="inlineStr">
        <is>
          <t>Total 03/2013</t>
        </is>
      </c>
      <c r="B86" s="584" t="n"/>
      <c r="C86" s="573" t="n"/>
      <c r="D86" s="668" t="n"/>
      <c r="E86" s="53" t="n"/>
      <c r="F86" s="54" t="n"/>
      <c r="G86" s="665" t="n">
        <v>3995</v>
      </c>
      <c r="H86" s="664" t="inlineStr">
        <is>
          <t>RIEL</t>
        </is>
      </c>
      <c r="I86" s="666">
        <f>I85*G86</f>
        <v/>
      </c>
      <c r="J86" s="7" t="n"/>
    </row>
    <row r="87" ht="18" customHeight="1" s="408">
      <c r="A87" s="60" t="n">
        <v>1</v>
      </c>
      <c r="B87" s="39" t="inlineStr">
        <is>
          <t>031616</t>
        </is>
      </c>
      <c r="C87" s="48" t="n">
        <v>41365</v>
      </c>
      <c r="D87" s="667" t="n">
        <v>40.32</v>
      </c>
      <c r="E87" s="11" t="inlineStr">
        <is>
          <t>APL Logistics</t>
        </is>
      </c>
      <c r="F87" s="16" t="inlineStr">
        <is>
          <t>100046460</t>
        </is>
      </c>
      <c r="G87" s="39" t="inlineStr">
        <is>
          <t>031616</t>
        </is>
      </c>
      <c r="H87" s="48" t="n">
        <v>41365</v>
      </c>
      <c r="I87" s="667" t="n">
        <v>40.32</v>
      </c>
      <c r="J87" s="74" t="inlineStr">
        <is>
          <t>បានបង់</t>
        </is>
      </c>
    </row>
    <row r="88" ht="18" customHeight="1" s="408">
      <c r="A88" s="33" t="n">
        <v>2</v>
      </c>
      <c r="B88" s="39" t="inlineStr">
        <is>
          <t>031641</t>
        </is>
      </c>
      <c r="C88" s="48" t="n">
        <v>41366</v>
      </c>
      <c r="D88" s="667" t="n">
        <v>168.98</v>
      </c>
      <c r="E88" s="11" t="inlineStr">
        <is>
          <t>A P L Logistics</t>
        </is>
      </c>
      <c r="F88" s="10" t="inlineStr">
        <is>
          <t>100046460</t>
        </is>
      </c>
      <c r="G88" s="39" t="inlineStr">
        <is>
          <t>031641</t>
        </is>
      </c>
      <c r="H88" s="48" t="n">
        <v>41366</v>
      </c>
      <c r="I88" s="667" t="n">
        <v>168.98</v>
      </c>
      <c r="J88" s="74" t="inlineStr">
        <is>
          <t>បានបង់</t>
        </is>
      </c>
    </row>
    <row r="89" ht="18" customHeight="1" s="408">
      <c r="A89" s="60" t="n">
        <v>3</v>
      </c>
      <c r="B89" s="39" t="inlineStr">
        <is>
          <t>031704</t>
        </is>
      </c>
      <c r="C89" s="48" t="n">
        <v>41372</v>
      </c>
      <c r="D89" s="667" t="n">
        <v>104.23</v>
      </c>
      <c r="E89" s="11" t="inlineStr">
        <is>
          <t>A P L Logistics</t>
        </is>
      </c>
      <c r="F89" s="10" t="inlineStr">
        <is>
          <t>100046460</t>
        </is>
      </c>
      <c r="G89" s="39" t="inlineStr">
        <is>
          <t>031704</t>
        </is>
      </c>
      <c r="H89" s="48" t="n">
        <v>41372</v>
      </c>
      <c r="I89" s="667" t="n">
        <v>104.23</v>
      </c>
      <c r="J89" s="74" t="inlineStr">
        <is>
          <t>បានបង់</t>
        </is>
      </c>
    </row>
    <row r="90" ht="18" customHeight="1" s="408">
      <c r="A90" s="33" t="n">
        <v>4</v>
      </c>
      <c r="B90" s="39" t="inlineStr">
        <is>
          <t>031730</t>
        </is>
      </c>
      <c r="C90" s="48" t="n">
        <v>41372</v>
      </c>
      <c r="D90" s="667" t="n">
        <v>222.39</v>
      </c>
      <c r="E90" s="11" t="inlineStr">
        <is>
          <t>A P L Logistics</t>
        </is>
      </c>
      <c r="F90" s="10" t="inlineStr">
        <is>
          <t>100046460</t>
        </is>
      </c>
      <c r="G90" s="39" t="inlineStr">
        <is>
          <t>031730</t>
        </is>
      </c>
      <c r="H90" s="48" t="n">
        <v>41372</v>
      </c>
      <c r="I90" s="667" t="n">
        <v>222.39</v>
      </c>
      <c r="J90" s="74" t="inlineStr">
        <is>
          <t>បានបង់</t>
        </is>
      </c>
    </row>
    <row r="91" ht="18" customHeight="1" s="408">
      <c r="A91" s="60" t="n">
        <v>5</v>
      </c>
      <c r="B91" s="39" t="inlineStr">
        <is>
          <t>031771</t>
        </is>
      </c>
      <c r="C91" s="48" t="n">
        <v>41374</v>
      </c>
      <c r="D91" s="667" t="n">
        <v>10</v>
      </c>
      <c r="E91" s="11" t="inlineStr">
        <is>
          <t>APL Logistics</t>
        </is>
      </c>
      <c r="F91" s="16" t="inlineStr">
        <is>
          <t>100046460</t>
        </is>
      </c>
      <c r="G91" s="39" t="inlineStr">
        <is>
          <t>031771</t>
        </is>
      </c>
      <c r="H91" s="48" t="n">
        <v>41374</v>
      </c>
      <c r="I91" s="667" t="n">
        <v>10</v>
      </c>
      <c r="J91" s="74" t="inlineStr">
        <is>
          <t>បានបង់</t>
        </is>
      </c>
    </row>
    <row r="92" ht="18" customHeight="1" s="408">
      <c r="A92" s="33" t="n">
        <v>6</v>
      </c>
      <c r="B92" s="39" t="inlineStr">
        <is>
          <t>31799</t>
        </is>
      </c>
      <c r="C92" s="48" t="n">
        <v>41382</v>
      </c>
      <c r="D92" s="667" t="n">
        <v>149.76</v>
      </c>
      <c r="E92" s="11" t="inlineStr">
        <is>
          <t>A P L Logistics</t>
        </is>
      </c>
      <c r="F92" s="10" t="inlineStr">
        <is>
          <t>100046460</t>
        </is>
      </c>
      <c r="G92" s="39" t="inlineStr">
        <is>
          <t>31799</t>
        </is>
      </c>
      <c r="H92" s="48" t="n">
        <v>41382</v>
      </c>
      <c r="I92" s="667" t="n">
        <v>149.76</v>
      </c>
      <c r="J92" s="74" t="inlineStr">
        <is>
          <t>បានបង់</t>
        </is>
      </c>
    </row>
    <row r="93" ht="18" customHeight="1" s="408">
      <c r="A93" s="60" t="n">
        <v>7</v>
      </c>
      <c r="B93" s="39" t="inlineStr">
        <is>
          <t>31883</t>
        </is>
      </c>
      <c r="C93" s="48" t="n">
        <v>41386</v>
      </c>
      <c r="D93" s="667" t="n">
        <v>144.43</v>
      </c>
      <c r="E93" s="11" t="inlineStr">
        <is>
          <t>A P L Logistics</t>
        </is>
      </c>
      <c r="F93" s="10" t="inlineStr">
        <is>
          <t>100046460</t>
        </is>
      </c>
      <c r="G93" s="39" t="inlineStr">
        <is>
          <t>31883</t>
        </is>
      </c>
      <c r="H93" s="48" t="n">
        <v>41386</v>
      </c>
      <c r="I93" s="667" t="n">
        <v>144.43</v>
      </c>
      <c r="J93" s="74" t="inlineStr">
        <is>
          <t>បានបង់</t>
        </is>
      </c>
    </row>
    <row r="94" ht="18" customHeight="1" s="408">
      <c r="A94" s="33" t="n">
        <v>8</v>
      </c>
      <c r="B94" s="39" t="inlineStr">
        <is>
          <t>31901</t>
        </is>
      </c>
      <c r="C94" s="48" t="n">
        <v>41387</v>
      </c>
      <c r="D94" s="667" t="n">
        <v>8</v>
      </c>
      <c r="E94" s="11" t="inlineStr">
        <is>
          <t>APL Logistics</t>
        </is>
      </c>
      <c r="F94" s="16" t="inlineStr">
        <is>
          <t>100046460</t>
        </is>
      </c>
      <c r="G94" s="39" t="inlineStr">
        <is>
          <t>31901</t>
        </is>
      </c>
      <c r="H94" s="48" t="n">
        <v>41387</v>
      </c>
      <c r="I94" s="667" t="n">
        <v>8</v>
      </c>
      <c r="J94" s="74" t="inlineStr">
        <is>
          <t>បានបង់</t>
        </is>
      </c>
    </row>
    <row r="95" ht="18" customHeight="1" s="408">
      <c r="A95" s="60" t="n">
        <v>9</v>
      </c>
      <c r="B95" s="39" t="inlineStr">
        <is>
          <t>031922</t>
        </is>
      </c>
      <c r="C95" s="48" t="n">
        <v>41394</v>
      </c>
      <c r="D95" s="667" t="n">
        <v>134.76</v>
      </c>
      <c r="E95" s="11" t="inlineStr">
        <is>
          <t>A P L Logistics</t>
        </is>
      </c>
      <c r="F95" s="10" t="inlineStr">
        <is>
          <t>100046460</t>
        </is>
      </c>
      <c r="G95" s="39" t="inlineStr">
        <is>
          <t>031922</t>
        </is>
      </c>
      <c r="H95" s="48" t="n">
        <v>41394</v>
      </c>
      <c r="I95" s="667" t="n">
        <v>134.76</v>
      </c>
      <c r="J95" s="74" t="inlineStr">
        <is>
          <t>បានបង់</t>
        </is>
      </c>
    </row>
    <row r="96" ht="18" customHeight="1" s="408">
      <c r="A96" s="33" t="n">
        <v>10</v>
      </c>
      <c r="B96" s="39" t="inlineStr">
        <is>
          <t>31940</t>
        </is>
      </c>
      <c r="C96" s="48" t="n">
        <v>41394</v>
      </c>
      <c r="D96" s="667" t="n">
        <v>155.38</v>
      </c>
      <c r="E96" s="11" t="inlineStr">
        <is>
          <t>A P L Logistics</t>
        </is>
      </c>
      <c r="F96" s="10" t="inlineStr">
        <is>
          <t>100046460</t>
        </is>
      </c>
      <c r="G96" s="39" t="inlineStr">
        <is>
          <t>31940</t>
        </is>
      </c>
      <c r="H96" s="48" t="n">
        <v>41394</v>
      </c>
      <c r="I96" s="667" t="n">
        <v>155.38</v>
      </c>
      <c r="J96" s="74" t="inlineStr">
        <is>
          <t>បានបង់</t>
        </is>
      </c>
    </row>
    <row r="97" ht="18" customHeight="1" s="408">
      <c r="A97" s="481" t="inlineStr">
        <is>
          <t>Total 04/2013</t>
        </is>
      </c>
      <c r="B97" s="584" t="n"/>
      <c r="C97" s="573" t="n"/>
      <c r="D97" s="668">
        <f>SUM(D87:D96)</f>
        <v/>
      </c>
      <c r="E97" s="53" t="n"/>
      <c r="F97" s="54" t="n"/>
      <c r="G97" s="59" t="n"/>
      <c r="H97" s="664" t="inlineStr">
        <is>
          <t>USD</t>
        </is>
      </c>
      <c r="I97" s="668">
        <f>SUM(I87:I96)</f>
        <v/>
      </c>
      <c r="J97" s="7" t="n"/>
    </row>
    <row r="98" ht="21.9" customHeight="1" s="408">
      <c r="A98" s="481" t="inlineStr">
        <is>
          <t>Total 04/2013</t>
        </is>
      </c>
      <c r="B98" s="584" t="n"/>
      <c r="C98" s="573" t="n"/>
      <c r="D98" s="668" t="n"/>
      <c r="E98" s="53" t="n"/>
      <c r="F98" s="54" t="n"/>
      <c r="G98" s="665" t="n">
        <v>4000</v>
      </c>
      <c r="H98" s="664" t="inlineStr">
        <is>
          <t>RIEL</t>
        </is>
      </c>
      <c r="I98" s="666">
        <f>I97*G98</f>
        <v/>
      </c>
      <c r="J98" s="7" t="n"/>
    </row>
    <row r="99" ht="18" customHeight="1" s="408">
      <c r="A99" s="60" t="n">
        <v>1</v>
      </c>
      <c r="B99" s="39" t="inlineStr">
        <is>
          <t>031981</t>
        </is>
      </c>
      <c r="C99" s="48" t="n">
        <v>41397</v>
      </c>
      <c r="D99" s="667" t="n">
        <v>20</v>
      </c>
      <c r="E99" s="11" t="inlineStr">
        <is>
          <t>APL Logistics</t>
        </is>
      </c>
      <c r="F99" s="16" t="inlineStr">
        <is>
          <t>100046460</t>
        </is>
      </c>
      <c r="G99" s="39" t="inlineStr">
        <is>
          <t>031981</t>
        </is>
      </c>
      <c r="H99" s="48" t="n">
        <v>41397</v>
      </c>
      <c r="I99" s="667" t="n">
        <v>20</v>
      </c>
      <c r="J99" s="74" t="inlineStr">
        <is>
          <t>បានបង់</t>
        </is>
      </c>
    </row>
    <row r="100" ht="18" customHeight="1" s="408">
      <c r="A100" s="60" t="n">
        <v>2</v>
      </c>
      <c r="B100" s="39" t="inlineStr">
        <is>
          <t>031984</t>
        </is>
      </c>
      <c r="C100" s="48" t="n">
        <v>41400</v>
      </c>
      <c r="D100" s="667" t="n">
        <v>25</v>
      </c>
      <c r="E100" s="11" t="inlineStr">
        <is>
          <t>APL Logistics</t>
        </is>
      </c>
      <c r="F100" s="16" t="inlineStr">
        <is>
          <t>100046460</t>
        </is>
      </c>
      <c r="G100" s="39" t="inlineStr">
        <is>
          <t>031984</t>
        </is>
      </c>
      <c r="H100" s="48" t="n">
        <v>41400</v>
      </c>
      <c r="I100" s="667" t="n">
        <v>25</v>
      </c>
      <c r="J100" s="74" t="inlineStr">
        <is>
          <t>បានបង់</t>
        </is>
      </c>
    </row>
    <row r="101" ht="18" customHeight="1" s="408">
      <c r="A101" s="60" t="n">
        <v>3</v>
      </c>
      <c r="B101" s="39" t="inlineStr">
        <is>
          <t>032002</t>
        </is>
      </c>
      <c r="C101" s="48" t="n">
        <v>41400</v>
      </c>
      <c r="D101" s="667" t="n">
        <v>157.3</v>
      </c>
      <c r="E101" s="11" t="inlineStr">
        <is>
          <t>A P L Logistics</t>
        </is>
      </c>
      <c r="F101" s="10" t="inlineStr">
        <is>
          <t>100046460</t>
        </is>
      </c>
      <c r="G101" s="39" t="inlineStr">
        <is>
          <t>032002</t>
        </is>
      </c>
      <c r="H101" s="48" t="n">
        <v>41400</v>
      </c>
      <c r="I101" s="667" t="n">
        <v>157.3</v>
      </c>
      <c r="J101" s="74" t="inlineStr">
        <is>
          <t>បានបង់</t>
        </is>
      </c>
    </row>
    <row r="102" ht="18" customHeight="1" s="408">
      <c r="A102" s="60" t="n">
        <v>4</v>
      </c>
      <c r="B102" s="39" t="inlineStr">
        <is>
          <t>032076</t>
        </is>
      </c>
      <c r="C102" s="48" t="n">
        <v>41410</v>
      </c>
      <c r="D102" s="667" t="n">
        <v>140.63</v>
      </c>
      <c r="E102" s="11" t="inlineStr">
        <is>
          <t>A P L Logistics</t>
        </is>
      </c>
      <c r="F102" s="10" t="inlineStr">
        <is>
          <t>100046460</t>
        </is>
      </c>
      <c r="G102" s="39" t="inlineStr">
        <is>
          <t>032076</t>
        </is>
      </c>
      <c r="H102" s="48" t="n">
        <v>41410</v>
      </c>
      <c r="I102" s="667" t="n">
        <v>140.63</v>
      </c>
      <c r="J102" s="74" t="inlineStr">
        <is>
          <t>បានបង់</t>
        </is>
      </c>
    </row>
    <row r="103" ht="18" customHeight="1" s="408">
      <c r="A103" s="60" t="n">
        <v>5</v>
      </c>
      <c r="B103" s="39" t="inlineStr">
        <is>
          <t>032132</t>
        </is>
      </c>
      <c r="C103" s="48" t="n">
        <v>41414</v>
      </c>
      <c r="D103" s="667" t="n">
        <v>82.47</v>
      </c>
      <c r="E103" s="11" t="inlineStr">
        <is>
          <t>A P L Logistics</t>
        </is>
      </c>
      <c r="F103" s="10" t="inlineStr">
        <is>
          <t>100046460</t>
        </is>
      </c>
      <c r="G103" s="39" t="inlineStr">
        <is>
          <t>032132</t>
        </is>
      </c>
      <c r="H103" s="48" t="n">
        <v>41414</v>
      </c>
      <c r="I103" s="667" t="n">
        <v>82.47</v>
      </c>
      <c r="J103" s="74" t="inlineStr">
        <is>
          <t>បានបង់</t>
        </is>
      </c>
    </row>
    <row r="104" ht="18" customHeight="1" s="408">
      <c r="A104" s="60" t="n">
        <v>6</v>
      </c>
      <c r="B104" s="39" t="inlineStr">
        <is>
          <t>032152</t>
        </is>
      </c>
      <c r="C104" s="48" t="n">
        <v>41415</v>
      </c>
      <c r="D104" s="667" t="n">
        <v>92.5</v>
      </c>
      <c r="E104" s="11" t="inlineStr">
        <is>
          <t>A P L Logistics</t>
        </is>
      </c>
      <c r="F104" s="10" t="inlineStr">
        <is>
          <t>100046460</t>
        </is>
      </c>
      <c r="G104" s="39" t="inlineStr">
        <is>
          <t>032152</t>
        </is>
      </c>
      <c r="H104" s="48" t="n">
        <v>41415</v>
      </c>
      <c r="I104" s="667" t="n">
        <v>92.5</v>
      </c>
      <c r="J104" s="74" t="inlineStr">
        <is>
          <t>បានបង់</t>
        </is>
      </c>
    </row>
    <row r="105" ht="18" customHeight="1" s="408">
      <c r="A105" s="60" t="n">
        <v>7</v>
      </c>
      <c r="B105" s="39" t="inlineStr">
        <is>
          <t>032159</t>
        </is>
      </c>
      <c r="C105" s="48" t="n">
        <v>41415</v>
      </c>
      <c r="D105" s="667" t="n">
        <v>4</v>
      </c>
      <c r="E105" s="11" t="inlineStr">
        <is>
          <t>APL Logistics</t>
        </is>
      </c>
      <c r="F105" s="16" t="inlineStr">
        <is>
          <t>100046460</t>
        </is>
      </c>
      <c r="G105" s="39" t="inlineStr">
        <is>
          <t>032159</t>
        </is>
      </c>
      <c r="H105" s="48" t="n">
        <v>41415</v>
      </c>
      <c r="I105" s="667" t="n">
        <v>4</v>
      </c>
      <c r="J105" s="74" t="inlineStr">
        <is>
          <t>បានបង់</t>
        </is>
      </c>
    </row>
    <row r="106" ht="18" customHeight="1" s="408">
      <c r="A106" s="60" t="n">
        <v>8</v>
      </c>
      <c r="B106" s="39" t="inlineStr">
        <is>
          <t>032216</t>
        </is>
      </c>
      <c r="C106" s="48" t="n">
        <v>41421</v>
      </c>
      <c r="D106" s="667" t="n">
        <v>63.52</v>
      </c>
      <c r="E106" s="11" t="inlineStr">
        <is>
          <t>APL Logistics</t>
        </is>
      </c>
      <c r="F106" s="16" t="inlineStr">
        <is>
          <t>100046460</t>
        </is>
      </c>
      <c r="G106" s="39" t="inlineStr">
        <is>
          <t>032216</t>
        </is>
      </c>
      <c r="H106" s="48" t="n">
        <v>41421</v>
      </c>
      <c r="I106" s="667" t="n">
        <v>63.52</v>
      </c>
      <c r="J106" s="74" t="inlineStr">
        <is>
          <t>បានបង់</t>
        </is>
      </c>
    </row>
    <row r="107" ht="18" customHeight="1" s="408">
      <c r="A107" s="481" t="inlineStr">
        <is>
          <t>Total 05/2013</t>
        </is>
      </c>
      <c r="B107" s="584" t="n"/>
      <c r="C107" s="573" t="n"/>
      <c r="D107" s="668">
        <f>SUM(D99:D106)</f>
        <v/>
      </c>
      <c r="E107" s="53" t="n"/>
      <c r="F107" s="54" t="n"/>
      <c r="G107" s="62" t="n"/>
      <c r="H107" s="664" t="inlineStr">
        <is>
          <t>USD</t>
        </is>
      </c>
      <c r="I107" s="668">
        <f>SUM(I99:I106)</f>
        <v/>
      </c>
      <c r="J107" s="50" t="n"/>
    </row>
    <row r="108" ht="21.9" customHeight="1" s="408">
      <c r="A108" s="481" t="inlineStr">
        <is>
          <t>Total 05/2013</t>
        </is>
      </c>
      <c r="B108" s="584" t="n"/>
      <c r="C108" s="573" t="n"/>
      <c r="D108" s="668" t="n"/>
      <c r="E108" s="53" t="n"/>
      <c r="F108" s="54" t="n"/>
      <c r="G108" s="665" t="n">
        <v>4034</v>
      </c>
      <c r="H108" s="664" t="inlineStr">
        <is>
          <t>RIEL</t>
        </is>
      </c>
      <c r="I108" s="666">
        <f>I107*G108</f>
        <v/>
      </c>
      <c r="J108" s="50" t="n"/>
    </row>
    <row r="109" ht="18" customHeight="1" s="408">
      <c r="A109" s="33" t="n">
        <v>1</v>
      </c>
      <c r="B109" s="39" t="inlineStr">
        <is>
          <t>032272</t>
        </is>
      </c>
      <c r="C109" s="48" t="n">
        <v>41428</v>
      </c>
      <c r="D109" s="667" t="n">
        <v>148.71</v>
      </c>
      <c r="E109" s="11" t="inlineStr">
        <is>
          <t>A P L Logistics</t>
        </is>
      </c>
      <c r="F109" s="10" t="inlineStr">
        <is>
          <t>100046460</t>
        </is>
      </c>
      <c r="G109" s="39" t="inlineStr">
        <is>
          <t>032272</t>
        </is>
      </c>
      <c r="H109" s="48" t="n">
        <v>41428</v>
      </c>
      <c r="I109" s="667" t="n">
        <v>148.71</v>
      </c>
      <c r="J109" s="74" t="inlineStr">
        <is>
          <t>បានបង់</t>
        </is>
      </c>
    </row>
    <row r="110" ht="18" customHeight="1" s="408">
      <c r="A110" s="33" t="n">
        <v>2</v>
      </c>
      <c r="B110" s="39" t="inlineStr">
        <is>
          <t>032326</t>
        </is>
      </c>
      <c r="C110" s="48" t="n">
        <v>41435</v>
      </c>
      <c r="D110" s="667" t="n">
        <v>52.58</v>
      </c>
      <c r="E110" s="11" t="inlineStr">
        <is>
          <t>A P L Logistics</t>
        </is>
      </c>
      <c r="F110" s="16" t="inlineStr">
        <is>
          <t>100046460</t>
        </is>
      </c>
      <c r="G110" s="39" t="inlineStr">
        <is>
          <t>032326</t>
        </is>
      </c>
      <c r="H110" s="48" t="n">
        <v>41435</v>
      </c>
      <c r="I110" s="667" t="n">
        <v>52.58</v>
      </c>
      <c r="J110" s="74" t="inlineStr">
        <is>
          <t>បានបង់</t>
        </is>
      </c>
    </row>
    <row r="111" ht="18" customHeight="1" s="408">
      <c r="A111" s="33" t="n">
        <v>3</v>
      </c>
      <c r="B111" s="39" t="inlineStr">
        <is>
          <t>032351</t>
        </is>
      </c>
      <c r="C111" s="48" t="n">
        <v>41435</v>
      </c>
      <c r="D111" s="667" t="n">
        <v>70.70999999999999</v>
      </c>
      <c r="E111" s="11" t="inlineStr">
        <is>
          <t>A P L Logistics</t>
        </is>
      </c>
      <c r="F111" s="16" t="inlineStr">
        <is>
          <t>100046460</t>
        </is>
      </c>
      <c r="G111" s="39" t="inlineStr">
        <is>
          <t>032351</t>
        </is>
      </c>
      <c r="H111" s="48" t="n">
        <v>41435</v>
      </c>
      <c r="I111" s="667" t="n">
        <v>70.70999999999999</v>
      </c>
      <c r="J111" s="74" t="inlineStr">
        <is>
          <t>បានបង់</t>
        </is>
      </c>
    </row>
    <row r="112" ht="18" customHeight="1" s="408">
      <c r="A112" s="33" t="n">
        <v>4</v>
      </c>
      <c r="B112" s="39" t="inlineStr">
        <is>
          <t>032452</t>
        </is>
      </c>
      <c r="C112" s="48" t="n">
        <v>41442</v>
      </c>
      <c r="D112" s="667" t="n">
        <v>207.09</v>
      </c>
      <c r="E112" s="11" t="inlineStr">
        <is>
          <t>A P L Logistics</t>
        </is>
      </c>
      <c r="F112" s="10" t="inlineStr">
        <is>
          <t>100046460</t>
        </is>
      </c>
      <c r="G112" s="39" t="inlineStr">
        <is>
          <t>032452</t>
        </is>
      </c>
      <c r="H112" s="48" t="n">
        <v>41442</v>
      </c>
      <c r="I112" s="667" t="n">
        <v>207.09</v>
      </c>
      <c r="J112" s="74" t="inlineStr">
        <is>
          <t>បានបង់</t>
        </is>
      </c>
    </row>
    <row r="113" ht="18" customHeight="1" s="408">
      <c r="A113" s="33" t="n">
        <v>5</v>
      </c>
      <c r="B113" s="39" t="inlineStr">
        <is>
          <t>032516</t>
        </is>
      </c>
      <c r="C113" s="48" t="n">
        <v>41449</v>
      </c>
      <c r="D113" s="667" t="n">
        <v>79.11</v>
      </c>
      <c r="E113" s="11" t="inlineStr">
        <is>
          <t>A P L Logistics</t>
        </is>
      </c>
      <c r="F113" s="10" t="inlineStr">
        <is>
          <t>100046460</t>
        </is>
      </c>
      <c r="G113" s="39" t="inlineStr">
        <is>
          <t>032516</t>
        </is>
      </c>
      <c r="H113" s="48" t="n">
        <v>41449</v>
      </c>
      <c r="I113" s="667" t="n">
        <v>79.11</v>
      </c>
      <c r="J113" s="74" t="inlineStr">
        <is>
          <t>បានបង់</t>
        </is>
      </c>
    </row>
    <row r="114" ht="18" customHeight="1" s="408">
      <c r="A114" s="33" t="n">
        <v>6</v>
      </c>
      <c r="B114" s="39" t="inlineStr">
        <is>
          <t>032535</t>
        </is>
      </c>
      <c r="C114" s="48" t="n">
        <v>41449</v>
      </c>
      <c r="D114" s="667" t="n">
        <v>182.92</v>
      </c>
      <c r="E114" s="11" t="inlineStr">
        <is>
          <t>A P L Logistics</t>
        </is>
      </c>
      <c r="F114" s="10" t="inlineStr">
        <is>
          <t>100046460</t>
        </is>
      </c>
      <c r="G114" s="39" t="inlineStr">
        <is>
          <t>032535</t>
        </is>
      </c>
      <c r="H114" s="48" t="n">
        <v>41449</v>
      </c>
      <c r="I114" s="667" t="n">
        <v>182.92</v>
      </c>
      <c r="J114" s="74" t="inlineStr">
        <is>
          <t>បានបង់</t>
        </is>
      </c>
    </row>
    <row r="115" ht="18" customHeight="1" s="408">
      <c r="A115" s="33" t="n">
        <v>7</v>
      </c>
      <c r="B115" s="39" t="inlineStr">
        <is>
          <t>032586</t>
        </is>
      </c>
      <c r="C115" s="48" t="n">
        <v>41453</v>
      </c>
      <c r="D115" s="667" t="n">
        <v>3.6</v>
      </c>
      <c r="E115" s="11" t="inlineStr">
        <is>
          <t>A P L Logistics</t>
        </is>
      </c>
      <c r="F115" s="16" t="inlineStr">
        <is>
          <t>100046460</t>
        </is>
      </c>
      <c r="G115" s="39" t="inlineStr">
        <is>
          <t>032586</t>
        </is>
      </c>
      <c r="H115" s="48" t="n">
        <v>41453</v>
      </c>
      <c r="I115" s="667" t="n">
        <v>3.6</v>
      </c>
      <c r="J115" s="74" t="inlineStr">
        <is>
          <t>បានបង់</t>
        </is>
      </c>
    </row>
    <row r="116" ht="18" customHeight="1" s="408">
      <c r="A116" s="481" t="inlineStr">
        <is>
          <t>Total 06/2013</t>
        </is>
      </c>
      <c r="B116" s="584" t="n"/>
      <c r="C116" s="573" t="n"/>
      <c r="D116" s="668">
        <f>SUM(D109:D115)</f>
        <v/>
      </c>
      <c r="E116" s="53" t="n"/>
      <c r="F116" s="54" t="n"/>
      <c r="G116" s="62" t="n"/>
      <c r="H116" s="664" t="inlineStr">
        <is>
          <t>USD</t>
        </is>
      </c>
      <c r="I116" s="668">
        <f>SUM(I109:I115)</f>
        <v/>
      </c>
      <c r="J116" s="7" t="n"/>
    </row>
    <row r="117" ht="21.9" customHeight="1" s="408">
      <c r="A117" s="481" t="inlineStr">
        <is>
          <t>Total 06/2013</t>
        </is>
      </c>
      <c r="B117" s="584" t="n"/>
      <c r="C117" s="573" t="n"/>
      <c r="D117" s="668" t="n"/>
      <c r="E117" s="53" t="n"/>
      <c r="F117" s="54" t="n"/>
      <c r="G117" s="665" t="n">
        <v>4063</v>
      </c>
      <c r="H117" s="664" t="inlineStr">
        <is>
          <t>RIEL</t>
        </is>
      </c>
      <c r="I117" s="666">
        <f>I116*G117</f>
        <v/>
      </c>
      <c r="J117" s="7" t="n"/>
    </row>
    <row r="118" ht="18" customHeight="1" s="408">
      <c r="A118" s="60" t="n">
        <v>1</v>
      </c>
      <c r="B118" s="39" t="inlineStr">
        <is>
          <t>032583</t>
        </is>
      </c>
      <c r="C118" s="48" t="n">
        <v>41452</v>
      </c>
      <c r="D118" s="667" t="n">
        <v>76.8</v>
      </c>
      <c r="E118" s="11" t="inlineStr">
        <is>
          <t>A P L Logistics</t>
        </is>
      </c>
      <c r="F118" s="16" t="inlineStr">
        <is>
          <t>100046460</t>
        </is>
      </c>
      <c r="G118" s="39" t="inlineStr">
        <is>
          <t>032583</t>
        </is>
      </c>
      <c r="H118" s="48" t="n">
        <v>41452</v>
      </c>
      <c r="I118" s="667" t="n">
        <v>76.8</v>
      </c>
      <c r="J118" s="74" t="inlineStr">
        <is>
          <t>បានបង់</t>
        </is>
      </c>
    </row>
    <row r="119" ht="18" customHeight="1" s="408">
      <c r="A119" s="33" t="n">
        <v>2</v>
      </c>
      <c r="B119" s="39" t="inlineStr">
        <is>
          <t>032640</t>
        </is>
      </c>
      <c r="C119" s="48" t="n">
        <v>41456</v>
      </c>
      <c r="D119" s="667" t="n">
        <v>305.89</v>
      </c>
      <c r="E119" s="11" t="inlineStr">
        <is>
          <t>A P L Logistics</t>
        </is>
      </c>
      <c r="F119" s="10" t="inlineStr">
        <is>
          <t>100046460</t>
        </is>
      </c>
      <c r="G119" s="39" t="inlineStr">
        <is>
          <t>032640</t>
        </is>
      </c>
      <c r="H119" s="48" t="n">
        <v>41456</v>
      </c>
      <c r="I119" s="667" t="n">
        <v>305.89</v>
      </c>
      <c r="J119" s="74" t="inlineStr">
        <is>
          <t>បានបង់</t>
        </is>
      </c>
    </row>
    <row r="120" ht="18" customHeight="1" s="408">
      <c r="A120" s="60" t="n">
        <v>3</v>
      </c>
      <c r="B120" s="39" t="inlineStr">
        <is>
          <t>032680</t>
        </is>
      </c>
      <c r="C120" s="48" t="n">
        <v>41463</v>
      </c>
      <c r="D120" s="667" t="n">
        <v>34.86</v>
      </c>
      <c r="E120" s="11" t="inlineStr">
        <is>
          <t>A P L Logistics</t>
        </is>
      </c>
      <c r="F120" s="16" t="inlineStr">
        <is>
          <t>100046460</t>
        </is>
      </c>
      <c r="G120" s="39" t="inlineStr">
        <is>
          <t>032680</t>
        </is>
      </c>
      <c r="H120" s="48" t="n">
        <v>41463</v>
      </c>
      <c r="I120" s="667" t="n">
        <v>34.86</v>
      </c>
      <c r="J120" s="74" t="inlineStr">
        <is>
          <t>បានបង់</t>
        </is>
      </c>
    </row>
    <row r="121" ht="18" customHeight="1" s="408">
      <c r="A121" s="33" t="n">
        <v>4</v>
      </c>
      <c r="B121" s="39" t="inlineStr">
        <is>
          <t>032710</t>
        </is>
      </c>
      <c r="C121" s="48" t="n">
        <v>41463</v>
      </c>
      <c r="D121" s="667" t="n">
        <v>450.81</v>
      </c>
      <c r="E121" s="11" t="inlineStr">
        <is>
          <t>A P L Logistics</t>
        </is>
      </c>
      <c r="F121" s="10" t="inlineStr">
        <is>
          <t>100046460</t>
        </is>
      </c>
      <c r="G121" s="39" t="inlineStr">
        <is>
          <t>032710</t>
        </is>
      </c>
      <c r="H121" s="48" t="n">
        <v>41463</v>
      </c>
      <c r="I121" s="667" t="n">
        <v>450.81</v>
      </c>
      <c r="J121" s="74" t="inlineStr">
        <is>
          <t>បានបង់</t>
        </is>
      </c>
    </row>
    <row r="122" ht="18" customHeight="1" s="408">
      <c r="A122" s="60" t="n">
        <v>5</v>
      </c>
      <c r="B122" s="39" t="inlineStr">
        <is>
          <t>032763</t>
        </is>
      </c>
      <c r="C122" s="48" t="n">
        <v>41470</v>
      </c>
      <c r="D122" s="667" t="n">
        <v>54.3</v>
      </c>
      <c r="E122" s="11" t="inlineStr">
        <is>
          <t>A P L Logistics</t>
        </is>
      </c>
      <c r="F122" s="16" t="inlineStr">
        <is>
          <t>100046460</t>
        </is>
      </c>
      <c r="G122" s="39" t="inlineStr">
        <is>
          <t>032763</t>
        </is>
      </c>
      <c r="H122" s="48" t="n">
        <v>41470</v>
      </c>
      <c r="I122" s="667" t="n">
        <v>54.3</v>
      </c>
      <c r="J122" s="74" t="inlineStr">
        <is>
          <t>បានបង់</t>
        </is>
      </c>
    </row>
    <row r="123" ht="18" customHeight="1" s="408">
      <c r="A123" s="33" t="n">
        <v>6</v>
      </c>
      <c r="B123" s="39" t="inlineStr">
        <is>
          <t>032794</t>
        </is>
      </c>
      <c r="C123" s="48" t="n">
        <v>41470</v>
      </c>
      <c r="D123" s="667" t="n">
        <v>379.69</v>
      </c>
      <c r="E123" s="11" t="inlineStr">
        <is>
          <t>A P L Logistics</t>
        </is>
      </c>
      <c r="F123" s="10" t="inlineStr">
        <is>
          <t>100046460</t>
        </is>
      </c>
      <c r="G123" s="39" t="inlineStr">
        <is>
          <t>032794</t>
        </is>
      </c>
      <c r="H123" s="48" t="n">
        <v>41470</v>
      </c>
      <c r="I123" s="667" t="n">
        <v>379.69</v>
      </c>
      <c r="J123" s="74" t="inlineStr">
        <is>
          <t>បានបង់</t>
        </is>
      </c>
    </row>
    <row r="124" ht="18" customHeight="1" s="408">
      <c r="A124" s="60" t="n">
        <v>7</v>
      </c>
      <c r="B124" s="39" t="inlineStr">
        <is>
          <t>032848</t>
        </is>
      </c>
      <c r="C124" s="48" t="n">
        <v>41477</v>
      </c>
      <c r="D124" s="667" t="n">
        <v>48.72</v>
      </c>
      <c r="E124" s="11" t="inlineStr">
        <is>
          <t>A P L Logistics</t>
        </is>
      </c>
      <c r="F124" s="16" t="inlineStr">
        <is>
          <t>100046460</t>
        </is>
      </c>
      <c r="G124" s="39" t="inlineStr">
        <is>
          <t>032848</t>
        </is>
      </c>
      <c r="H124" s="48" t="n">
        <v>41477</v>
      </c>
      <c r="I124" s="667" t="n">
        <v>48.72</v>
      </c>
      <c r="J124" s="74" t="inlineStr">
        <is>
          <t>បានបង់</t>
        </is>
      </c>
    </row>
    <row r="125" ht="18" customHeight="1" s="408">
      <c r="A125" s="33" t="n">
        <v>8</v>
      </c>
      <c r="B125" s="39" t="inlineStr">
        <is>
          <t>032889</t>
        </is>
      </c>
      <c r="C125" s="48" t="n">
        <v>41478</v>
      </c>
      <c r="D125" s="667" t="n">
        <v>175.1</v>
      </c>
      <c r="E125" s="11" t="inlineStr">
        <is>
          <t>A P L Logistics</t>
        </is>
      </c>
      <c r="F125" s="10" t="inlineStr">
        <is>
          <t>100046460</t>
        </is>
      </c>
      <c r="G125" s="39" t="inlineStr">
        <is>
          <t>032889</t>
        </is>
      </c>
      <c r="H125" s="48" t="n">
        <v>41478</v>
      </c>
      <c r="I125" s="667" t="n">
        <v>175.1</v>
      </c>
      <c r="J125" s="74" t="inlineStr">
        <is>
          <t>បានបង់</t>
        </is>
      </c>
    </row>
    <row r="126" ht="18" customHeight="1" s="408">
      <c r="A126" s="60" t="n">
        <v>9</v>
      </c>
      <c r="B126" s="39" t="inlineStr">
        <is>
          <t>032936</t>
        </is>
      </c>
      <c r="C126" s="48" t="n">
        <v>41484</v>
      </c>
      <c r="D126" s="667" t="n">
        <v>64.26000000000001</v>
      </c>
      <c r="E126" s="11" t="inlineStr">
        <is>
          <t>A P L Logistics</t>
        </is>
      </c>
      <c r="F126" s="16" t="inlineStr">
        <is>
          <t>100046460</t>
        </is>
      </c>
      <c r="G126" s="39" t="inlineStr">
        <is>
          <t>032936</t>
        </is>
      </c>
      <c r="H126" s="48" t="n">
        <v>41484</v>
      </c>
      <c r="I126" s="667" t="n">
        <v>64.26000000000001</v>
      </c>
      <c r="J126" s="74" t="inlineStr">
        <is>
          <t>បានបង់</t>
        </is>
      </c>
    </row>
    <row r="127" ht="18" customHeight="1" s="408">
      <c r="A127" s="33" t="n">
        <v>10</v>
      </c>
      <c r="B127" s="39" t="inlineStr">
        <is>
          <t>032958</t>
        </is>
      </c>
      <c r="C127" s="48" t="n">
        <v>41484</v>
      </c>
      <c r="D127" s="667" t="n">
        <v>134.24</v>
      </c>
      <c r="E127" s="11" t="inlineStr">
        <is>
          <t>A P L Logistics</t>
        </is>
      </c>
      <c r="F127" s="10" t="inlineStr">
        <is>
          <t>100046460</t>
        </is>
      </c>
      <c r="G127" s="39" t="inlineStr">
        <is>
          <t>032958</t>
        </is>
      </c>
      <c r="H127" s="48" t="n">
        <v>41484</v>
      </c>
      <c r="I127" s="667" t="n">
        <v>134.24</v>
      </c>
      <c r="J127" s="74" t="inlineStr">
        <is>
          <t>បានបង់</t>
        </is>
      </c>
    </row>
    <row r="128" ht="18" customHeight="1" s="408">
      <c r="A128" s="481" t="inlineStr">
        <is>
          <t>Total 07/2013</t>
        </is>
      </c>
      <c r="B128" s="584" t="n"/>
      <c r="C128" s="573" t="n"/>
      <c r="D128" s="668">
        <f>SUM(D118:D127)</f>
        <v/>
      </c>
      <c r="E128" s="53" t="n"/>
      <c r="F128" s="54" t="n"/>
      <c r="G128" s="62" t="n"/>
      <c r="H128" s="664" t="inlineStr">
        <is>
          <t>USD</t>
        </is>
      </c>
      <c r="I128" s="668">
        <f>SUM(I118:I127)</f>
        <v/>
      </c>
      <c r="J128" s="7" t="n"/>
    </row>
    <row r="129" ht="21.9" customHeight="1" s="408">
      <c r="A129" s="481" t="inlineStr">
        <is>
          <t>Total 07/2013</t>
        </is>
      </c>
      <c r="B129" s="584" t="n"/>
      <c r="C129" s="573" t="n"/>
      <c r="D129" s="668" t="n"/>
      <c r="E129" s="53" t="n"/>
      <c r="F129" s="54" t="n"/>
      <c r="G129" s="665" t="n">
        <v>4062</v>
      </c>
      <c r="H129" s="664" t="inlineStr">
        <is>
          <t>RIEL</t>
        </is>
      </c>
      <c r="I129" s="666">
        <f>I128*G129</f>
        <v/>
      </c>
      <c r="J129" s="7" t="n"/>
    </row>
    <row r="130" ht="18" customHeight="1" s="408">
      <c r="A130" s="33" t="n">
        <v>1</v>
      </c>
      <c r="B130" s="39" t="inlineStr">
        <is>
          <t>033068</t>
        </is>
      </c>
      <c r="C130" s="48" t="n">
        <v>41491</v>
      </c>
      <c r="D130" s="667" t="n">
        <v>152.8</v>
      </c>
      <c r="E130" s="11" t="inlineStr">
        <is>
          <t>A P L Logistics</t>
        </is>
      </c>
      <c r="F130" s="10" t="inlineStr">
        <is>
          <t>100046460</t>
        </is>
      </c>
      <c r="G130" s="39" t="inlineStr">
        <is>
          <t>033068</t>
        </is>
      </c>
      <c r="H130" s="48" t="n">
        <v>41491</v>
      </c>
      <c r="I130" s="667" t="n">
        <v>152.8</v>
      </c>
      <c r="J130" s="74" t="inlineStr">
        <is>
          <t>បានបង់</t>
        </is>
      </c>
    </row>
    <row r="131" ht="18" customHeight="1" s="408">
      <c r="A131" s="33" t="n">
        <v>2</v>
      </c>
      <c r="B131" s="39" t="inlineStr">
        <is>
          <t>033152</t>
        </is>
      </c>
      <c r="C131" s="48" t="n">
        <v>41498</v>
      </c>
      <c r="D131" s="667" t="n">
        <v>219.25</v>
      </c>
      <c r="E131" s="11" t="inlineStr">
        <is>
          <t>A P L Logistics</t>
        </is>
      </c>
      <c r="F131" s="10" t="inlineStr">
        <is>
          <t>100046460</t>
        </is>
      </c>
      <c r="G131" s="39" t="inlineStr">
        <is>
          <t>033152</t>
        </is>
      </c>
      <c r="H131" s="48" t="n">
        <v>41498</v>
      </c>
      <c r="I131" s="667" t="n">
        <v>219.25</v>
      </c>
      <c r="J131" s="74" t="inlineStr">
        <is>
          <t>បានបង់</t>
        </is>
      </c>
    </row>
    <row r="132" ht="18" customHeight="1" s="408">
      <c r="A132" s="33" t="n">
        <v>3</v>
      </c>
      <c r="B132" s="39" t="inlineStr">
        <is>
          <t>033217</t>
        </is>
      </c>
      <c r="C132" s="48" t="n">
        <v>41505</v>
      </c>
      <c r="D132" s="667" t="n">
        <v>43.04</v>
      </c>
      <c r="E132" s="11" t="inlineStr">
        <is>
          <t>A P L Logistics</t>
        </is>
      </c>
      <c r="F132" s="16" t="inlineStr">
        <is>
          <t>100046460</t>
        </is>
      </c>
      <c r="G132" s="39" t="inlineStr">
        <is>
          <t>033217</t>
        </is>
      </c>
      <c r="H132" s="48" t="n">
        <v>41505</v>
      </c>
      <c r="I132" s="667" t="n">
        <v>43.04</v>
      </c>
      <c r="J132" s="74" t="inlineStr">
        <is>
          <t>បានបង់</t>
        </is>
      </c>
    </row>
    <row r="133" ht="18" customHeight="1" s="408">
      <c r="A133" s="33" t="n">
        <v>4</v>
      </c>
      <c r="B133" s="39" t="inlineStr">
        <is>
          <t>033255</t>
        </is>
      </c>
      <c r="C133" s="48" t="n">
        <v>41505</v>
      </c>
      <c r="D133" s="667" t="n">
        <v>129.59</v>
      </c>
      <c r="E133" s="11" t="inlineStr">
        <is>
          <t>A P L Logistics</t>
        </is>
      </c>
      <c r="F133" s="10" t="inlineStr">
        <is>
          <t>100046460</t>
        </is>
      </c>
      <c r="G133" s="39" t="inlineStr">
        <is>
          <t>033255</t>
        </is>
      </c>
      <c r="H133" s="48" t="n">
        <v>41505</v>
      </c>
      <c r="I133" s="667" t="n">
        <v>129.59</v>
      </c>
      <c r="J133" s="74" t="inlineStr">
        <is>
          <t>បានបង់</t>
        </is>
      </c>
    </row>
    <row r="134" ht="18" customHeight="1" s="408">
      <c r="A134" s="33" t="n">
        <v>5</v>
      </c>
      <c r="B134" s="39" t="inlineStr">
        <is>
          <t>033347</t>
        </is>
      </c>
      <c r="C134" s="48" t="n">
        <v>41512</v>
      </c>
      <c r="D134" s="667" t="n">
        <v>67.12</v>
      </c>
      <c r="E134" s="11" t="inlineStr">
        <is>
          <t>A P L Logistics</t>
        </is>
      </c>
      <c r="F134" s="16" t="inlineStr">
        <is>
          <t>100046460</t>
        </is>
      </c>
      <c r="G134" s="39" t="inlineStr">
        <is>
          <t>033347</t>
        </is>
      </c>
      <c r="H134" s="48" t="n">
        <v>41512</v>
      </c>
      <c r="I134" s="667" t="n">
        <v>67.12</v>
      </c>
      <c r="J134" s="74" t="inlineStr">
        <is>
          <t>បានបង់</t>
        </is>
      </c>
    </row>
    <row r="135" ht="18" customHeight="1" s="408">
      <c r="A135" s="481" t="inlineStr">
        <is>
          <t>Total 08/2013</t>
        </is>
      </c>
      <c r="B135" s="584" t="n"/>
      <c r="C135" s="573" t="n"/>
      <c r="D135" s="668">
        <f>SUM(D130:D134)</f>
        <v/>
      </c>
      <c r="E135" s="53" t="n"/>
      <c r="F135" s="54" t="n"/>
      <c r="G135" s="62" t="n"/>
      <c r="H135" s="664" t="inlineStr">
        <is>
          <t>USD</t>
        </is>
      </c>
      <c r="I135" s="668">
        <f>SUM(I130:I134)</f>
        <v/>
      </c>
      <c r="J135" s="7" t="n"/>
    </row>
    <row r="136" ht="21.9" customHeight="1" s="408">
      <c r="A136" s="481" t="inlineStr">
        <is>
          <t>Total 08/2013</t>
        </is>
      </c>
      <c r="B136" s="584" t="n"/>
      <c r="C136" s="573" t="n"/>
      <c r="D136" s="668" t="n"/>
      <c r="E136" s="53" t="n"/>
      <c r="F136" s="54" t="n"/>
      <c r="G136" s="665" t="n">
        <v>4062</v>
      </c>
      <c r="H136" s="664" t="inlineStr">
        <is>
          <t>RIEL</t>
        </is>
      </c>
      <c r="I136" s="666">
        <f>I135*G136</f>
        <v/>
      </c>
      <c r="J136" s="7" t="n"/>
    </row>
    <row r="137" ht="18" customHeight="1" s="408">
      <c r="A137" s="33" t="n">
        <v>1</v>
      </c>
      <c r="B137" s="39" t="inlineStr">
        <is>
          <t>033394</t>
        </is>
      </c>
      <c r="C137" s="48" t="n">
        <v>41519</v>
      </c>
      <c r="D137" s="667" t="n">
        <v>145.02</v>
      </c>
      <c r="E137" s="11" t="inlineStr">
        <is>
          <t>A P L Logistics</t>
        </is>
      </c>
      <c r="F137" s="10" t="inlineStr">
        <is>
          <t>100046460</t>
        </is>
      </c>
      <c r="G137" s="39" t="inlineStr">
        <is>
          <t>033394</t>
        </is>
      </c>
      <c r="H137" s="48" t="n">
        <v>41519</v>
      </c>
      <c r="I137" s="667" t="n">
        <v>145.02</v>
      </c>
      <c r="J137" s="74" t="inlineStr">
        <is>
          <t>បានបង់</t>
        </is>
      </c>
    </row>
    <row r="138" ht="18" customHeight="1" s="408">
      <c r="A138" s="33" t="n">
        <v>2</v>
      </c>
      <c r="B138" s="39" t="inlineStr">
        <is>
          <t>033429</t>
        </is>
      </c>
      <c r="C138" s="48" t="n">
        <v>41519</v>
      </c>
      <c r="D138" s="667" t="n">
        <v>3.6</v>
      </c>
      <c r="E138" s="11" t="inlineStr">
        <is>
          <t>A P L Logistics</t>
        </is>
      </c>
      <c r="F138" s="16" t="inlineStr">
        <is>
          <t>100046460</t>
        </is>
      </c>
      <c r="G138" s="39" t="inlineStr">
        <is>
          <t>033429</t>
        </is>
      </c>
      <c r="H138" s="48" t="n">
        <v>41519</v>
      </c>
      <c r="I138" s="667" t="n">
        <v>3.6</v>
      </c>
      <c r="J138" s="74" t="inlineStr">
        <is>
          <t>បានបង់</t>
        </is>
      </c>
    </row>
    <row r="139" ht="18" customHeight="1" s="408">
      <c r="A139" s="33" t="n">
        <v>3</v>
      </c>
      <c r="B139" s="39" t="inlineStr">
        <is>
          <t>033436</t>
        </is>
      </c>
      <c r="C139" s="48" t="n">
        <v>41519</v>
      </c>
      <c r="D139" s="667" t="n">
        <v>352.48</v>
      </c>
      <c r="E139" s="11" t="inlineStr">
        <is>
          <t>A P L Logistics</t>
        </is>
      </c>
      <c r="F139" s="10" t="inlineStr">
        <is>
          <t>100046460</t>
        </is>
      </c>
      <c r="G139" s="39" t="inlineStr">
        <is>
          <t>033436</t>
        </is>
      </c>
      <c r="H139" s="48" t="n">
        <v>41519</v>
      </c>
      <c r="I139" s="667" t="n">
        <v>352.48</v>
      </c>
      <c r="J139" s="74" t="inlineStr">
        <is>
          <t>បានបង់</t>
        </is>
      </c>
    </row>
    <row r="140" ht="18" customHeight="1" s="408">
      <c r="A140" s="33" t="n">
        <v>4</v>
      </c>
      <c r="B140" s="39" t="inlineStr">
        <is>
          <t>033513</t>
        </is>
      </c>
      <c r="C140" s="49" t="n">
        <v>41526</v>
      </c>
      <c r="D140" s="667" t="n">
        <v>37.97</v>
      </c>
      <c r="E140" s="11" t="inlineStr">
        <is>
          <t>A P L Logistics</t>
        </is>
      </c>
      <c r="F140" s="16" t="inlineStr">
        <is>
          <t>100046460</t>
        </is>
      </c>
      <c r="G140" s="39" t="inlineStr">
        <is>
          <t>033513</t>
        </is>
      </c>
      <c r="H140" s="49" t="n">
        <v>41526</v>
      </c>
      <c r="I140" s="667" t="n">
        <v>37.97</v>
      </c>
      <c r="J140" s="74" t="inlineStr">
        <is>
          <t>បានបង់</t>
        </is>
      </c>
    </row>
    <row r="141" ht="18" customHeight="1" s="408">
      <c r="A141" s="33" t="n">
        <v>5</v>
      </c>
      <c r="B141" s="39" t="inlineStr">
        <is>
          <t>033565</t>
        </is>
      </c>
      <c r="C141" s="48" t="n">
        <v>41526</v>
      </c>
      <c r="D141" s="667" t="n">
        <v>319.7</v>
      </c>
      <c r="E141" s="11" t="inlineStr">
        <is>
          <t>A P L Logistics</t>
        </is>
      </c>
      <c r="F141" s="10" t="inlineStr">
        <is>
          <t>100046460</t>
        </is>
      </c>
      <c r="G141" s="39" t="inlineStr">
        <is>
          <t>033565</t>
        </is>
      </c>
      <c r="H141" s="48" t="n">
        <v>41526</v>
      </c>
      <c r="I141" s="667" t="n">
        <v>319.7</v>
      </c>
      <c r="J141" s="74" t="inlineStr">
        <is>
          <t>បានបង់</t>
        </is>
      </c>
    </row>
    <row r="142" ht="18" customHeight="1" s="408">
      <c r="A142" s="33" t="n">
        <v>6</v>
      </c>
      <c r="B142" s="39" t="inlineStr">
        <is>
          <t>033648</t>
        </is>
      </c>
      <c r="C142" s="48" t="n">
        <v>41533</v>
      </c>
      <c r="D142" s="667" t="n">
        <v>35.73</v>
      </c>
      <c r="E142" s="11" t="inlineStr">
        <is>
          <t>A P L Logistics</t>
        </is>
      </c>
      <c r="F142" s="16" t="inlineStr">
        <is>
          <t>100046460</t>
        </is>
      </c>
      <c r="G142" s="39" t="inlineStr">
        <is>
          <t>033648</t>
        </is>
      </c>
      <c r="H142" s="48" t="n">
        <v>41533</v>
      </c>
      <c r="I142" s="667" t="n">
        <v>35.73</v>
      </c>
      <c r="J142" s="74" t="inlineStr">
        <is>
          <t>បានបង់</t>
        </is>
      </c>
    </row>
    <row r="143" ht="18" customHeight="1" s="408">
      <c r="A143" s="33" t="n">
        <v>7</v>
      </c>
      <c r="B143" s="39" t="inlineStr">
        <is>
          <t>033633</t>
        </is>
      </c>
      <c r="C143" s="48" t="n">
        <v>41533</v>
      </c>
      <c r="D143" s="667" t="n">
        <v>104.03</v>
      </c>
      <c r="E143" s="11" t="inlineStr">
        <is>
          <t>A P L Logistics</t>
        </is>
      </c>
      <c r="F143" s="10" t="inlineStr">
        <is>
          <t>100046460</t>
        </is>
      </c>
      <c r="G143" s="39" t="inlineStr">
        <is>
          <t>033633</t>
        </is>
      </c>
      <c r="H143" s="48" t="n">
        <v>41533</v>
      </c>
      <c r="I143" s="667" t="n">
        <v>104.03</v>
      </c>
      <c r="J143" s="74" t="inlineStr">
        <is>
          <t>បានបង់</t>
        </is>
      </c>
    </row>
    <row r="144" ht="18" customHeight="1" s="408">
      <c r="A144" s="33" t="n">
        <v>8</v>
      </c>
      <c r="B144" s="39" t="inlineStr">
        <is>
          <t>033709</t>
        </is>
      </c>
      <c r="C144" s="48" t="n">
        <v>41540</v>
      </c>
      <c r="D144" s="667" t="n">
        <v>61.27</v>
      </c>
      <c r="E144" s="11" t="inlineStr">
        <is>
          <t>A P L Logistics</t>
        </is>
      </c>
      <c r="F144" s="16" t="inlineStr">
        <is>
          <t>100046460</t>
        </is>
      </c>
      <c r="G144" s="39" t="inlineStr">
        <is>
          <t>033709</t>
        </is>
      </c>
      <c r="H144" s="48" t="n">
        <v>41540</v>
      </c>
      <c r="I144" s="667" t="n">
        <v>61.27</v>
      </c>
      <c r="J144" s="74" t="inlineStr">
        <is>
          <t>បានបង់</t>
        </is>
      </c>
    </row>
    <row r="145" ht="18" customHeight="1" s="408">
      <c r="A145" s="33" t="n">
        <v>9</v>
      </c>
      <c r="B145" s="39" t="inlineStr">
        <is>
          <t>033755</t>
        </is>
      </c>
      <c r="C145" s="48" t="n">
        <v>41541</v>
      </c>
      <c r="D145" s="667" t="n">
        <v>61.8</v>
      </c>
      <c r="E145" s="11" t="inlineStr">
        <is>
          <t>A P L Logistics</t>
        </is>
      </c>
      <c r="F145" s="16" t="inlineStr">
        <is>
          <t>100046460</t>
        </is>
      </c>
      <c r="G145" s="39" t="inlineStr">
        <is>
          <t>033755</t>
        </is>
      </c>
      <c r="H145" s="48" t="n">
        <v>41541</v>
      </c>
      <c r="I145" s="667" t="n">
        <v>61.8</v>
      </c>
      <c r="J145" s="74" t="inlineStr">
        <is>
          <t>បានបង់</t>
        </is>
      </c>
    </row>
    <row r="146" ht="18" customHeight="1" s="408">
      <c r="A146" s="33" t="n">
        <v>10</v>
      </c>
      <c r="B146" s="39" t="inlineStr">
        <is>
          <t>033795</t>
        </is>
      </c>
      <c r="C146" s="48" t="n">
        <v>41547</v>
      </c>
      <c r="D146" s="667" t="n">
        <v>215.54</v>
      </c>
      <c r="E146" s="11" t="inlineStr">
        <is>
          <t>A P L Logistics</t>
        </is>
      </c>
      <c r="F146" s="10" t="inlineStr">
        <is>
          <t>100046460</t>
        </is>
      </c>
      <c r="G146" s="39" t="inlineStr">
        <is>
          <t>033795</t>
        </is>
      </c>
      <c r="H146" s="48" t="n">
        <v>41547</v>
      </c>
      <c r="I146" s="667" t="n">
        <v>215.54</v>
      </c>
      <c r="J146" s="74" t="inlineStr">
        <is>
          <t>បានបង់</t>
        </is>
      </c>
    </row>
    <row r="147" ht="18" customHeight="1" s="408">
      <c r="A147" s="481" t="inlineStr">
        <is>
          <t>Total 09/2013</t>
        </is>
      </c>
      <c r="B147" s="584" t="n"/>
      <c r="C147" s="573" t="n"/>
      <c r="D147" s="668">
        <f>SUM(D137:D146)</f>
        <v/>
      </c>
      <c r="E147" s="53" t="n"/>
      <c r="F147" s="54" t="n"/>
      <c r="G147" s="62" t="n"/>
      <c r="H147" s="664" t="inlineStr">
        <is>
          <t>USD</t>
        </is>
      </c>
      <c r="I147" s="668">
        <f>SUM(I137:I146)</f>
        <v/>
      </c>
      <c r="J147" s="7" t="n"/>
    </row>
    <row r="148" ht="21.9" customHeight="1" s="408">
      <c r="A148" s="481" t="inlineStr">
        <is>
          <t>Total 09/2013</t>
        </is>
      </c>
      <c r="B148" s="584" t="n"/>
      <c r="C148" s="573" t="n"/>
      <c r="D148" s="668" t="n"/>
      <c r="E148" s="53" t="n"/>
      <c r="F148" s="54" t="n"/>
      <c r="G148" s="665" t="n">
        <v>4062</v>
      </c>
      <c r="H148" s="664" t="inlineStr">
        <is>
          <t>RIEL</t>
        </is>
      </c>
      <c r="I148" s="666">
        <f>I147*G148</f>
        <v/>
      </c>
      <c r="J148" s="7" t="n"/>
    </row>
    <row r="149" ht="18" customHeight="1" s="408">
      <c r="A149" s="33" t="n">
        <v>1</v>
      </c>
      <c r="B149" s="39" t="inlineStr">
        <is>
          <t>033906</t>
        </is>
      </c>
      <c r="C149" s="48" t="n">
        <v>41554</v>
      </c>
      <c r="D149" s="667" t="n">
        <v>214.95</v>
      </c>
      <c r="E149" s="11" t="inlineStr">
        <is>
          <t>A P L Logistics</t>
        </is>
      </c>
      <c r="F149" s="10" t="inlineStr">
        <is>
          <t>100046460</t>
        </is>
      </c>
      <c r="G149" s="39" t="inlineStr">
        <is>
          <t>033906</t>
        </is>
      </c>
      <c r="H149" s="48" t="n">
        <v>41554</v>
      </c>
      <c r="I149" s="667" t="n">
        <v>214.95</v>
      </c>
      <c r="J149" s="74" t="inlineStr">
        <is>
          <t>បានបង់</t>
        </is>
      </c>
    </row>
    <row r="150" ht="18" customHeight="1" s="408">
      <c r="A150" s="33" t="n">
        <v>2</v>
      </c>
      <c r="B150" s="39" t="inlineStr">
        <is>
          <t>034006</t>
        </is>
      </c>
      <c r="C150" s="48" t="n">
        <v>41561</v>
      </c>
      <c r="D150" s="667" t="n">
        <v>127.3</v>
      </c>
      <c r="E150" s="11" t="inlineStr">
        <is>
          <t>A P L Logistics</t>
        </is>
      </c>
      <c r="F150" s="10" t="inlineStr">
        <is>
          <t>100046460</t>
        </is>
      </c>
      <c r="G150" s="39" t="inlineStr">
        <is>
          <t>034006</t>
        </is>
      </c>
      <c r="H150" s="48" t="n">
        <v>41561</v>
      </c>
      <c r="I150" s="667" t="n">
        <v>127.3</v>
      </c>
      <c r="J150" s="74" t="inlineStr">
        <is>
          <t>បានបង់</t>
        </is>
      </c>
    </row>
    <row r="151" ht="18" customHeight="1" s="408">
      <c r="A151" s="33" t="n">
        <v>3</v>
      </c>
      <c r="B151" s="39" t="inlineStr">
        <is>
          <t>034039</t>
        </is>
      </c>
      <c r="C151" s="49" t="n">
        <v>41561</v>
      </c>
      <c r="D151" s="667" t="n">
        <v>51.4</v>
      </c>
      <c r="E151" s="11" t="inlineStr">
        <is>
          <t>A P L Logistics</t>
        </is>
      </c>
      <c r="F151" s="16" t="inlineStr">
        <is>
          <t>100046460</t>
        </is>
      </c>
      <c r="G151" s="39" t="inlineStr">
        <is>
          <t>034039</t>
        </is>
      </c>
      <c r="H151" s="49" t="n">
        <v>41561</v>
      </c>
      <c r="I151" s="667" t="n">
        <v>51.4</v>
      </c>
      <c r="J151" s="74" t="inlineStr">
        <is>
          <t>បានបង់</t>
        </is>
      </c>
    </row>
    <row r="152" ht="18" customHeight="1" s="408">
      <c r="A152" s="33" t="n">
        <v>4</v>
      </c>
      <c r="B152" s="39" t="inlineStr">
        <is>
          <t>034079</t>
        </is>
      </c>
      <c r="C152" s="48" t="n">
        <v>41568</v>
      </c>
      <c r="D152" s="667" t="n">
        <v>30</v>
      </c>
      <c r="E152" s="11" t="inlineStr">
        <is>
          <t>A P L Logistics</t>
        </is>
      </c>
      <c r="F152" s="16" t="inlineStr">
        <is>
          <t>100046460</t>
        </is>
      </c>
      <c r="G152" s="39" t="inlineStr">
        <is>
          <t>034079</t>
        </is>
      </c>
      <c r="H152" s="48" t="n">
        <v>41568</v>
      </c>
      <c r="I152" s="667" t="n">
        <v>30</v>
      </c>
      <c r="J152" s="74" t="inlineStr">
        <is>
          <t>បានបង់</t>
        </is>
      </c>
    </row>
    <row r="153" ht="18" customHeight="1" s="408">
      <c r="A153" s="33" t="n">
        <v>5</v>
      </c>
      <c r="B153" s="39" t="inlineStr">
        <is>
          <t>034089</t>
        </is>
      </c>
      <c r="C153" s="48" t="n">
        <v>41568</v>
      </c>
      <c r="D153" s="667" t="n">
        <v>121.12</v>
      </c>
      <c r="E153" s="11" t="inlineStr">
        <is>
          <t>A P L Logistics</t>
        </is>
      </c>
      <c r="F153" s="10" t="inlineStr">
        <is>
          <t>100046460</t>
        </is>
      </c>
      <c r="G153" s="39" t="inlineStr">
        <is>
          <t>034089</t>
        </is>
      </c>
      <c r="H153" s="48" t="n">
        <v>41568</v>
      </c>
      <c r="I153" s="667" t="n">
        <v>121.12</v>
      </c>
      <c r="J153" s="74" t="inlineStr">
        <is>
          <t>បានបង់</t>
        </is>
      </c>
    </row>
    <row r="154" ht="18" customHeight="1" s="408">
      <c r="A154" s="33" t="n">
        <v>6</v>
      </c>
      <c r="B154" s="39" t="inlineStr">
        <is>
          <t>034154</t>
        </is>
      </c>
      <c r="C154" s="48" t="n">
        <v>41575</v>
      </c>
      <c r="D154" s="667" t="n">
        <v>239.21</v>
      </c>
      <c r="E154" s="11" t="inlineStr">
        <is>
          <t>A P L Logistics</t>
        </is>
      </c>
      <c r="F154" s="10" t="inlineStr">
        <is>
          <t>100046460</t>
        </is>
      </c>
      <c r="G154" s="39" t="inlineStr">
        <is>
          <t>034154</t>
        </is>
      </c>
      <c r="H154" s="48" t="n">
        <v>41575</v>
      </c>
      <c r="I154" s="667" t="n">
        <v>239.21</v>
      </c>
      <c r="J154" s="74" t="inlineStr">
        <is>
          <t>បានបង់</t>
        </is>
      </c>
    </row>
    <row r="155" ht="18" customHeight="1" s="408">
      <c r="A155" s="33" t="n">
        <v>7</v>
      </c>
      <c r="B155" s="39" t="inlineStr">
        <is>
          <t>034191</t>
        </is>
      </c>
      <c r="C155" s="48" t="n">
        <v>41575</v>
      </c>
      <c r="D155" s="667" t="n">
        <v>84.98</v>
      </c>
      <c r="E155" s="11" t="inlineStr">
        <is>
          <t>A P L Logistics</t>
        </is>
      </c>
      <c r="F155" s="10" t="inlineStr">
        <is>
          <t>100046460</t>
        </is>
      </c>
      <c r="G155" s="39" t="inlineStr">
        <is>
          <t>034191</t>
        </is>
      </c>
      <c r="H155" s="48" t="n">
        <v>41575</v>
      </c>
      <c r="I155" s="667" t="n">
        <v>84.98</v>
      </c>
      <c r="J155" s="74" t="inlineStr">
        <is>
          <t>បានបង់</t>
        </is>
      </c>
    </row>
    <row r="156" ht="18" customHeight="1" s="408">
      <c r="A156" s="481" t="inlineStr">
        <is>
          <t>Total 10/2013</t>
        </is>
      </c>
      <c r="B156" s="584" t="n"/>
      <c r="C156" s="573" t="n"/>
      <c r="D156" s="668">
        <f>SUM(D149:D155)</f>
        <v/>
      </c>
      <c r="E156" s="53" t="n"/>
      <c r="F156" s="54" t="n"/>
      <c r="G156" s="62" t="n"/>
      <c r="H156" s="664" t="inlineStr">
        <is>
          <t>USD</t>
        </is>
      </c>
      <c r="I156" s="668">
        <f>SUM(I149:I155)</f>
        <v/>
      </c>
      <c r="J156" s="7" t="n"/>
    </row>
    <row r="157" ht="21.9" customHeight="1" s="408">
      <c r="A157" s="481" t="inlineStr">
        <is>
          <t>Total 10/2013</t>
        </is>
      </c>
      <c r="B157" s="584" t="n"/>
      <c r="C157" s="573" t="n"/>
      <c r="D157" s="668" t="n"/>
      <c r="E157" s="53" t="n"/>
      <c r="F157" s="54" t="n"/>
      <c r="G157" s="669" t="n">
        <v>4058</v>
      </c>
      <c r="H157" s="664" t="inlineStr">
        <is>
          <t>RIEL</t>
        </is>
      </c>
      <c r="I157" s="666">
        <f>I156*G157</f>
        <v/>
      </c>
      <c r="J157" s="7" t="n"/>
    </row>
    <row r="158" ht="18" customHeight="1" s="408">
      <c r="A158" s="33" t="n">
        <v>1</v>
      </c>
      <c r="B158" s="39" t="inlineStr">
        <is>
          <t>034245</t>
        </is>
      </c>
      <c r="C158" s="48" t="n">
        <v>41582</v>
      </c>
      <c r="D158" s="667" t="n">
        <v>214.67</v>
      </c>
      <c r="E158" s="11" t="inlineStr">
        <is>
          <t>A P L Logistics</t>
        </is>
      </c>
      <c r="F158" s="10" t="inlineStr">
        <is>
          <t>100046460</t>
        </is>
      </c>
      <c r="G158" s="39" t="inlineStr">
        <is>
          <t>034245</t>
        </is>
      </c>
      <c r="H158" s="48" t="n">
        <v>41582</v>
      </c>
      <c r="I158" s="667" t="n">
        <v>214.67</v>
      </c>
      <c r="J158" s="74" t="inlineStr">
        <is>
          <t>បានបង់</t>
        </is>
      </c>
    </row>
    <row r="159" ht="18" customHeight="1" s="408">
      <c r="A159" s="33" t="n">
        <v>2</v>
      </c>
      <c r="B159" s="47" t="inlineStr">
        <is>
          <t>034384</t>
        </is>
      </c>
      <c r="C159" s="63" t="n">
        <v>41589</v>
      </c>
      <c r="D159" s="667" t="n">
        <v>52.7</v>
      </c>
      <c r="E159" s="11" t="inlineStr">
        <is>
          <t>A P L Logistics</t>
        </is>
      </c>
      <c r="F159" s="16" t="inlineStr">
        <is>
          <t>100046460</t>
        </is>
      </c>
      <c r="G159" s="47" t="inlineStr">
        <is>
          <t>034384</t>
        </is>
      </c>
      <c r="H159" s="63" t="n">
        <v>41589</v>
      </c>
      <c r="I159" s="667" t="n">
        <v>52.7</v>
      </c>
      <c r="J159" s="74" t="inlineStr">
        <is>
          <t>បានបង់</t>
        </is>
      </c>
    </row>
    <row r="160" ht="18" customHeight="1" s="408">
      <c r="A160" s="33" t="n">
        <v>3</v>
      </c>
      <c r="B160" s="39" t="inlineStr">
        <is>
          <t>034522</t>
        </is>
      </c>
      <c r="C160" s="48" t="n">
        <v>41603</v>
      </c>
      <c r="D160" s="667" t="n">
        <v>41.07</v>
      </c>
      <c r="E160" s="11" t="inlineStr">
        <is>
          <t>A P L Logistics</t>
        </is>
      </c>
      <c r="F160" s="16" t="inlineStr">
        <is>
          <t>100046460</t>
        </is>
      </c>
      <c r="G160" s="39" t="inlineStr">
        <is>
          <t>034522</t>
        </is>
      </c>
      <c r="H160" s="48" t="n">
        <v>41603</v>
      </c>
      <c r="I160" s="667" t="n">
        <v>41.07</v>
      </c>
      <c r="J160" s="74" t="inlineStr">
        <is>
          <t>បានបង់</t>
        </is>
      </c>
    </row>
    <row r="161" ht="18" customHeight="1" s="408">
      <c r="A161" s="481" t="inlineStr">
        <is>
          <t>Total 11/2013</t>
        </is>
      </c>
      <c r="B161" s="584" t="n"/>
      <c r="C161" s="573" t="n"/>
      <c r="D161" s="668">
        <f>SUM(D158:D160)</f>
        <v/>
      </c>
      <c r="E161" s="53" t="n"/>
      <c r="F161" s="62" t="n"/>
      <c r="G161" s="62" t="n"/>
      <c r="H161" s="664" t="inlineStr">
        <is>
          <t>USD</t>
        </is>
      </c>
      <c r="I161" s="668">
        <f>SUM(I158:I160)</f>
        <v/>
      </c>
      <c r="J161" s="7" t="n"/>
    </row>
    <row r="162" ht="21.9" customHeight="1" s="408">
      <c r="A162" s="481" t="inlineStr">
        <is>
          <t>Total 11/2013</t>
        </is>
      </c>
      <c r="B162" s="584" t="n"/>
      <c r="C162" s="573" t="n"/>
      <c r="D162" s="668" t="n"/>
      <c r="E162" s="53" t="n"/>
      <c r="F162" s="62" t="n"/>
      <c r="G162" s="665" t="n">
        <v>4006</v>
      </c>
      <c r="H162" s="664" t="inlineStr">
        <is>
          <t>RIEL</t>
        </is>
      </c>
      <c r="I162" s="666">
        <f>I161*G162</f>
        <v/>
      </c>
      <c r="J162" s="7" t="n"/>
    </row>
    <row r="163" ht="18" customHeight="1" s="408">
      <c r="A163" s="60" t="n">
        <v>1</v>
      </c>
      <c r="B163" s="39" t="inlineStr">
        <is>
          <t>034594</t>
        </is>
      </c>
      <c r="C163" s="48" t="n">
        <v>41610</v>
      </c>
      <c r="D163" s="667" t="n">
        <v>32.29</v>
      </c>
      <c r="E163" s="11" t="inlineStr">
        <is>
          <t>A P L Logistics</t>
        </is>
      </c>
      <c r="F163" s="16" t="inlineStr">
        <is>
          <t>100046460</t>
        </is>
      </c>
      <c r="G163" s="39" t="inlineStr">
        <is>
          <t>034594</t>
        </is>
      </c>
      <c r="H163" s="48" t="n">
        <v>41610</v>
      </c>
      <c r="I163" s="667" t="n">
        <v>32.29</v>
      </c>
      <c r="J163" s="74" t="inlineStr">
        <is>
          <t>បានបង់</t>
        </is>
      </c>
    </row>
    <row r="164" ht="18" customHeight="1" s="408">
      <c r="A164" s="33" t="n">
        <v>2</v>
      </c>
      <c r="B164" s="39" t="inlineStr">
        <is>
          <t>034673</t>
        </is>
      </c>
      <c r="C164" s="48" t="n">
        <v>41617</v>
      </c>
      <c r="D164" s="667" t="n">
        <v>330.27</v>
      </c>
      <c r="E164" s="11" t="inlineStr">
        <is>
          <t>A P L Logistics</t>
        </is>
      </c>
      <c r="F164" s="10" t="inlineStr">
        <is>
          <t>100046460</t>
        </is>
      </c>
      <c r="G164" s="39" t="inlineStr">
        <is>
          <t>034673</t>
        </is>
      </c>
      <c r="H164" s="48" t="n">
        <v>41617</v>
      </c>
      <c r="I164" s="667" t="n">
        <v>330.27</v>
      </c>
      <c r="J164" s="74" t="inlineStr">
        <is>
          <t>បានបង់</t>
        </is>
      </c>
    </row>
    <row r="165" ht="18" customHeight="1" s="408">
      <c r="A165" s="60" t="n">
        <v>3</v>
      </c>
      <c r="B165" s="39" t="inlineStr">
        <is>
          <t>034694</t>
        </is>
      </c>
      <c r="C165" s="48" t="n">
        <v>41617</v>
      </c>
      <c r="D165" s="667" t="n">
        <v>122.13</v>
      </c>
      <c r="E165" s="11" t="inlineStr">
        <is>
          <t>A P L Logistics</t>
        </is>
      </c>
      <c r="F165" s="10" t="inlineStr">
        <is>
          <t>100046460</t>
        </is>
      </c>
      <c r="G165" s="39" t="inlineStr">
        <is>
          <t>034694</t>
        </is>
      </c>
      <c r="H165" s="48" t="n">
        <v>41617</v>
      </c>
      <c r="I165" s="667" t="n">
        <v>122.13</v>
      </c>
      <c r="J165" s="74" t="inlineStr">
        <is>
          <t>បានបង់</t>
        </is>
      </c>
    </row>
    <row r="166" ht="18" customHeight="1" s="408">
      <c r="A166" s="33" t="n">
        <v>4</v>
      </c>
      <c r="B166" s="39" t="inlineStr">
        <is>
          <t>034759</t>
        </is>
      </c>
      <c r="C166" s="48" t="n">
        <v>41624</v>
      </c>
      <c r="D166" s="667" t="n">
        <v>180.09</v>
      </c>
      <c r="E166" s="11" t="inlineStr">
        <is>
          <t>A P L Logistics</t>
        </is>
      </c>
      <c r="F166" s="10" t="inlineStr">
        <is>
          <t>100046460</t>
        </is>
      </c>
      <c r="G166" s="39" t="inlineStr">
        <is>
          <t>034759</t>
        </is>
      </c>
      <c r="H166" s="48" t="n">
        <v>41624</v>
      </c>
      <c r="I166" s="667" t="n">
        <v>180.09</v>
      </c>
      <c r="J166" s="74" t="inlineStr">
        <is>
          <t>បានបង់</t>
        </is>
      </c>
    </row>
    <row r="167" ht="18" customHeight="1" s="408">
      <c r="A167" s="60" t="n">
        <v>5</v>
      </c>
      <c r="B167" s="39" t="inlineStr">
        <is>
          <t>034869</t>
        </is>
      </c>
      <c r="C167" s="48" t="n">
        <v>41631</v>
      </c>
      <c r="D167" s="667" t="n">
        <v>60.45</v>
      </c>
      <c r="E167" s="11" t="inlineStr">
        <is>
          <t>A P L Logistics</t>
        </is>
      </c>
      <c r="F167" s="16" t="inlineStr">
        <is>
          <t>100046460</t>
        </is>
      </c>
      <c r="G167" s="39" t="inlineStr">
        <is>
          <t>034869</t>
        </is>
      </c>
      <c r="H167" s="48" t="n">
        <v>41631</v>
      </c>
      <c r="I167" s="667" t="n">
        <v>60.45</v>
      </c>
      <c r="J167" s="74" t="inlineStr">
        <is>
          <t>បានបង់</t>
        </is>
      </c>
    </row>
    <row r="168" ht="18" customHeight="1" s="408">
      <c r="A168" s="33" t="n">
        <v>6</v>
      </c>
      <c r="B168" s="39" t="inlineStr">
        <is>
          <t>034977</t>
        </is>
      </c>
      <c r="C168" s="48" t="n">
        <v>41639</v>
      </c>
      <c r="D168" s="667" t="n">
        <v>120.68</v>
      </c>
      <c r="E168" s="11" t="inlineStr">
        <is>
          <t>A P L Logistics</t>
        </is>
      </c>
      <c r="F168" s="10" t="inlineStr">
        <is>
          <t>100046460</t>
        </is>
      </c>
      <c r="G168" s="39" t="inlineStr">
        <is>
          <t>034977</t>
        </is>
      </c>
      <c r="H168" s="48" t="n">
        <v>41639</v>
      </c>
      <c r="I168" s="667" t="n">
        <v>120.68</v>
      </c>
      <c r="J168" s="74" t="inlineStr">
        <is>
          <t>បានបង់</t>
        </is>
      </c>
    </row>
    <row r="169" ht="18" customHeight="1" s="408">
      <c r="A169" s="481" t="inlineStr">
        <is>
          <t>Total 12/2013</t>
        </is>
      </c>
      <c r="B169" s="584" t="n"/>
      <c r="C169" s="573" t="n"/>
      <c r="D169" s="668">
        <f>SUM(D163:D168)</f>
        <v/>
      </c>
      <c r="E169" s="53" t="n"/>
      <c r="F169" s="54" t="n"/>
      <c r="G169" s="62" t="n"/>
      <c r="H169" s="664" t="inlineStr">
        <is>
          <t>USD</t>
        </is>
      </c>
      <c r="I169" s="668">
        <f>SUM(I163:I168)</f>
        <v/>
      </c>
      <c r="J169" s="7" t="n"/>
    </row>
    <row r="170" ht="21.9" customHeight="1" s="408">
      <c r="A170" s="481" t="inlineStr">
        <is>
          <t>Total 12/2013</t>
        </is>
      </c>
      <c r="B170" s="584" t="n"/>
      <c r="C170" s="573" t="n"/>
      <c r="D170" s="668" t="n"/>
      <c r="E170" s="53" t="n"/>
      <c r="F170" s="54" t="n"/>
      <c r="G170" s="665" t="n">
        <v>3995</v>
      </c>
      <c r="H170" s="664" t="inlineStr">
        <is>
          <t>RIEL</t>
        </is>
      </c>
      <c r="I170" s="666">
        <f>I169*G170</f>
        <v/>
      </c>
      <c r="J170" s="7" t="n"/>
    </row>
    <row r="171" ht="18" customHeight="1" s="408">
      <c r="A171" s="60" t="n">
        <v>1</v>
      </c>
      <c r="B171" s="20" t="inlineStr">
        <is>
          <t>035047</t>
        </is>
      </c>
      <c r="C171" s="670" t="n">
        <v>41645</v>
      </c>
      <c r="D171" s="662" t="n">
        <v>36.2</v>
      </c>
      <c r="E171" s="19" t="inlineStr">
        <is>
          <t>A P L Logistics</t>
        </is>
      </c>
      <c r="F171" s="20" t="inlineStr">
        <is>
          <t>100046460</t>
        </is>
      </c>
      <c r="G171" s="20" t="inlineStr">
        <is>
          <t>035047</t>
        </is>
      </c>
      <c r="H171" s="670" t="n">
        <v>41645</v>
      </c>
      <c r="I171" s="662" t="n">
        <v>36.2</v>
      </c>
      <c r="J171" s="74" t="inlineStr">
        <is>
          <t>បានបង់</t>
        </is>
      </c>
    </row>
    <row r="172" ht="18" customHeight="1" s="408">
      <c r="A172" s="33" t="n">
        <v>2</v>
      </c>
      <c r="B172" s="20" t="inlineStr">
        <is>
          <t>035051</t>
        </is>
      </c>
      <c r="C172" s="670" t="n">
        <v>41645</v>
      </c>
      <c r="D172" s="662" t="n">
        <v>212.17</v>
      </c>
      <c r="E172" s="11" t="inlineStr">
        <is>
          <t>A P L Logistics</t>
        </is>
      </c>
      <c r="F172" s="10" t="inlineStr">
        <is>
          <t>100046460</t>
        </is>
      </c>
      <c r="G172" s="20" t="inlineStr">
        <is>
          <t>035051</t>
        </is>
      </c>
      <c r="H172" s="670" t="n">
        <v>41645</v>
      </c>
      <c r="I172" s="662" t="n">
        <v>212.17</v>
      </c>
      <c r="J172" s="74" t="inlineStr">
        <is>
          <t>បានបង់</t>
        </is>
      </c>
    </row>
    <row r="173" ht="18" customHeight="1" s="408">
      <c r="A173" s="60" t="n">
        <v>3</v>
      </c>
      <c r="B173" s="20" t="inlineStr">
        <is>
          <t>035072</t>
        </is>
      </c>
      <c r="C173" s="670" t="n">
        <v>41646</v>
      </c>
      <c r="D173" s="662" t="n">
        <v>4</v>
      </c>
      <c r="E173" s="19" t="inlineStr">
        <is>
          <t>A P L Logistics</t>
        </is>
      </c>
      <c r="F173" s="20" t="inlineStr">
        <is>
          <t>100046460</t>
        </is>
      </c>
      <c r="G173" s="20" t="inlineStr">
        <is>
          <t>035072</t>
        </is>
      </c>
      <c r="H173" s="670" t="n">
        <v>41646</v>
      </c>
      <c r="I173" s="662" t="n">
        <v>4</v>
      </c>
      <c r="J173" s="74" t="inlineStr">
        <is>
          <t>បានបង់</t>
        </is>
      </c>
    </row>
    <row r="174" ht="18" customHeight="1" s="408">
      <c r="A174" s="33" t="n">
        <v>4</v>
      </c>
      <c r="B174" s="20" t="inlineStr">
        <is>
          <t>035123</t>
        </is>
      </c>
      <c r="C174" s="670" t="n">
        <v>41652</v>
      </c>
      <c r="D174" s="662" t="n">
        <v>239.84</v>
      </c>
      <c r="E174" s="11" t="inlineStr">
        <is>
          <t>A P L Logistics</t>
        </is>
      </c>
      <c r="F174" s="10" t="inlineStr">
        <is>
          <t>100046460</t>
        </is>
      </c>
      <c r="G174" s="20" t="inlineStr">
        <is>
          <t>035123</t>
        </is>
      </c>
      <c r="H174" s="670" t="n">
        <v>41652</v>
      </c>
      <c r="I174" s="662" t="n">
        <v>239.84</v>
      </c>
      <c r="J174" s="74" t="inlineStr">
        <is>
          <t>បានបង់</t>
        </is>
      </c>
    </row>
    <row r="175" ht="18" customHeight="1" s="408">
      <c r="A175" s="60" t="n">
        <v>5</v>
      </c>
      <c r="B175" s="20" t="inlineStr">
        <is>
          <t>035142</t>
        </is>
      </c>
      <c r="C175" s="670" t="n">
        <v>41653</v>
      </c>
      <c r="D175" s="662" t="n">
        <v>65.94</v>
      </c>
      <c r="E175" s="19" t="inlineStr">
        <is>
          <t>A P L Logistics</t>
        </is>
      </c>
      <c r="F175" s="20" t="inlineStr">
        <is>
          <t>100046460</t>
        </is>
      </c>
      <c r="G175" s="20" t="inlineStr">
        <is>
          <t>035142</t>
        </is>
      </c>
      <c r="H175" s="670" t="n">
        <v>41653</v>
      </c>
      <c r="I175" s="662" t="n">
        <v>65.94</v>
      </c>
      <c r="J175" s="74" t="inlineStr">
        <is>
          <t>បានបង់</t>
        </is>
      </c>
    </row>
    <row r="176" ht="18" customHeight="1" s="408">
      <c r="A176" s="33" t="n">
        <v>6</v>
      </c>
      <c r="B176" s="20" t="inlineStr">
        <is>
          <t>035202</t>
        </is>
      </c>
      <c r="C176" s="670" t="n">
        <v>41659</v>
      </c>
      <c r="D176" s="662" t="n">
        <v>125.78</v>
      </c>
      <c r="E176" s="19" t="inlineStr">
        <is>
          <t>A P L Logistics</t>
        </is>
      </c>
      <c r="F176" s="20" t="inlineStr">
        <is>
          <t>100046460</t>
        </is>
      </c>
      <c r="G176" s="20" t="inlineStr">
        <is>
          <t>035202</t>
        </is>
      </c>
      <c r="H176" s="670" t="n">
        <v>41659</v>
      </c>
      <c r="I176" s="662" t="n">
        <v>125.78</v>
      </c>
      <c r="J176" s="74" t="inlineStr">
        <is>
          <t>បានបង់</t>
        </is>
      </c>
    </row>
    <row r="177" ht="18" customHeight="1" s="408">
      <c r="A177" s="60" t="n">
        <v>7</v>
      </c>
      <c r="B177" s="20" t="inlineStr">
        <is>
          <t>035288</t>
        </is>
      </c>
      <c r="C177" s="670" t="n">
        <v>41666</v>
      </c>
      <c r="D177" s="662" t="n">
        <v>73.14</v>
      </c>
      <c r="E177" s="19" t="inlineStr">
        <is>
          <t>A P L Logistics</t>
        </is>
      </c>
      <c r="F177" s="20" t="inlineStr">
        <is>
          <t>100046460</t>
        </is>
      </c>
      <c r="G177" s="20" t="inlineStr">
        <is>
          <t>035288</t>
        </is>
      </c>
      <c r="H177" s="670" t="n">
        <v>41666</v>
      </c>
      <c r="I177" s="662" t="n">
        <v>73.14</v>
      </c>
      <c r="J177" s="74" t="inlineStr">
        <is>
          <t>បានបង់</t>
        </is>
      </c>
    </row>
    <row r="178" ht="18" customHeight="1" s="408">
      <c r="A178" s="481" t="inlineStr">
        <is>
          <t>Total 01/2014</t>
        </is>
      </c>
      <c r="B178" s="584" t="n"/>
      <c r="C178" s="573" t="n"/>
      <c r="D178" s="663">
        <f>SUM(D171:D177)</f>
        <v/>
      </c>
      <c r="E178" s="53" t="n"/>
      <c r="F178" s="54" t="n"/>
      <c r="G178" s="64" t="n"/>
      <c r="H178" s="664" t="inlineStr">
        <is>
          <t>USD</t>
        </is>
      </c>
      <c r="I178" s="663">
        <f>SUM(I171:I177)</f>
        <v/>
      </c>
      <c r="J178" s="7" t="n"/>
    </row>
    <row r="179" ht="21.9" customHeight="1" s="408">
      <c r="A179" s="481" t="inlineStr">
        <is>
          <t>Total 01/2014</t>
        </is>
      </c>
      <c r="B179" s="584" t="n"/>
      <c r="C179" s="573" t="n"/>
      <c r="D179" s="663" t="n"/>
      <c r="E179" s="53" t="n"/>
      <c r="F179" s="54" t="n"/>
      <c r="G179" s="665" t="n">
        <v>3995</v>
      </c>
      <c r="H179" s="664" t="inlineStr">
        <is>
          <t>RIEL</t>
        </is>
      </c>
      <c r="I179" s="666">
        <f>I178*G179</f>
        <v/>
      </c>
      <c r="J179" s="7" t="n"/>
    </row>
    <row r="180" ht="18" customHeight="1" s="408">
      <c r="A180" s="33" t="n">
        <v>1</v>
      </c>
      <c r="B180" s="20" t="inlineStr">
        <is>
          <t>035414</t>
        </is>
      </c>
      <c r="C180" s="670" t="n">
        <v>41674</v>
      </c>
      <c r="D180" s="662" t="n">
        <v>174.58</v>
      </c>
      <c r="E180" s="11" t="inlineStr">
        <is>
          <t>A P L Logistics</t>
        </is>
      </c>
      <c r="F180" s="10" t="inlineStr">
        <is>
          <t>100046460</t>
        </is>
      </c>
      <c r="G180" s="20" t="inlineStr">
        <is>
          <t>035414</t>
        </is>
      </c>
      <c r="H180" s="670" t="n">
        <v>41674</v>
      </c>
      <c r="I180" s="662" t="n">
        <v>174.58</v>
      </c>
      <c r="J180" s="74" t="inlineStr">
        <is>
          <t>បានបង់</t>
        </is>
      </c>
    </row>
    <row r="181" ht="18" customHeight="1" s="408">
      <c r="A181" s="33" t="n">
        <v>2</v>
      </c>
      <c r="B181" s="20" t="inlineStr">
        <is>
          <t>035500</t>
        </is>
      </c>
      <c r="C181" s="670" t="n">
        <v>41680</v>
      </c>
      <c r="D181" s="662" t="n">
        <v>415.68</v>
      </c>
      <c r="E181" s="11" t="inlineStr">
        <is>
          <t>A P L Logistics</t>
        </is>
      </c>
      <c r="F181" s="10" t="inlineStr">
        <is>
          <t>100046460</t>
        </is>
      </c>
      <c r="G181" s="20" t="inlineStr">
        <is>
          <t>035500</t>
        </is>
      </c>
      <c r="H181" s="670" t="n">
        <v>41680</v>
      </c>
      <c r="I181" s="662" t="n">
        <v>415.68</v>
      </c>
      <c r="J181" s="74" t="inlineStr">
        <is>
          <t>បានបង់</t>
        </is>
      </c>
    </row>
    <row r="182" ht="18" customHeight="1" s="408">
      <c r="A182" s="33" t="n">
        <v>3</v>
      </c>
      <c r="B182" s="20" t="inlineStr">
        <is>
          <t>022361</t>
        </is>
      </c>
      <c r="C182" s="670" t="n">
        <v>41687</v>
      </c>
      <c r="D182" s="662" t="n">
        <v>40.6</v>
      </c>
      <c r="E182" s="19" t="inlineStr">
        <is>
          <t>A P L Logistics</t>
        </is>
      </c>
      <c r="F182" s="20" t="inlineStr">
        <is>
          <t>100046460</t>
        </is>
      </c>
      <c r="G182" s="20" t="inlineStr">
        <is>
          <t>022361</t>
        </is>
      </c>
      <c r="H182" s="670" t="n">
        <v>41687</v>
      </c>
      <c r="I182" s="662" t="n">
        <v>40.6</v>
      </c>
      <c r="J182" s="74" t="inlineStr">
        <is>
          <t>បានបង់</t>
        </is>
      </c>
    </row>
    <row r="183" ht="18" customHeight="1" s="408">
      <c r="A183" s="33" t="n">
        <v>4</v>
      </c>
      <c r="B183" s="20" t="inlineStr">
        <is>
          <t>035593</t>
        </is>
      </c>
      <c r="C183" s="670" t="n">
        <v>41687</v>
      </c>
      <c r="D183" s="662" t="n">
        <v>304.44</v>
      </c>
      <c r="E183" s="11" t="inlineStr">
        <is>
          <t>A P L Logistics</t>
        </is>
      </c>
      <c r="F183" s="10" t="inlineStr">
        <is>
          <t>100046460</t>
        </is>
      </c>
      <c r="G183" s="20" t="inlineStr">
        <is>
          <t>035593</t>
        </is>
      </c>
      <c r="H183" s="670" t="n">
        <v>41687</v>
      </c>
      <c r="I183" s="662" t="n">
        <v>304.44</v>
      </c>
      <c r="J183" s="74" t="inlineStr">
        <is>
          <t>បានបង់</t>
        </is>
      </c>
    </row>
    <row r="184" ht="18" customHeight="1" s="408">
      <c r="A184" s="33" t="n">
        <v>5</v>
      </c>
      <c r="B184" s="20" t="inlineStr">
        <is>
          <t>022391</t>
        </is>
      </c>
      <c r="C184" s="670" t="n">
        <v>41688</v>
      </c>
      <c r="D184" s="662" t="n">
        <v>104.76</v>
      </c>
      <c r="E184" s="11" t="inlineStr">
        <is>
          <t>A P L Logistics</t>
        </is>
      </c>
      <c r="F184" s="10" t="inlineStr">
        <is>
          <t>100046460</t>
        </is>
      </c>
      <c r="G184" s="20" t="inlineStr">
        <is>
          <t>022391</t>
        </is>
      </c>
      <c r="H184" s="670" t="n">
        <v>41688</v>
      </c>
      <c r="I184" s="662" t="n">
        <v>104.76</v>
      </c>
      <c r="J184" s="74" t="inlineStr">
        <is>
          <t>បានបង់</t>
        </is>
      </c>
    </row>
    <row r="185" ht="18" customHeight="1" s="408">
      <c r="A185" s="33" t="n">
        <v>6</v>
      </c>
      <c r="B185" s="20" t="inlineStr">
        <is>
          <t>035652</t>
        </is>
      </c>
      <c r="C185" s="670" t="n">
        <v>41689</v>
      </c>
      <c r="D185" s="662" t="n">
        <v>4</v>
      </c>
      <c r="E185" s="19" t="inlineStr">
        <is>
          <t>A P L Logistics</t>
        </is>
      </c>
      <c r="F185" s="20" t="inlineStr">
        <is>
          <t>100046460</t>
        </is>
      </c>
      <c r="G185" s="20" t="inlineStr">
        <is>
          <t>035652</t>
        </is>
      </c>
      <c r="H185" s="670" t="n">
        <v>41689</v>
      </c>
      <c r="I185" s="662" t="n">
        <v>4</v>
      </c>
      <c r="J185" s="74" t="inlineStr">
        <is>
          <t>បានបង់</t>
        </is>
      </c>
    </row>
    <row r="186" ht="18" customHeight="1" s="408">
      <c r="A186" s="33" t="n">
        <v>7</v>
      </c>
      <c r="B186" s="20" t="inlineStr">
        <is>
          <t>022434</t>
        </is>
      </c>
      <c r="C186" s="670" t="n">
        <v>41694</v>
      </c>
      <c r="D186" s="662" t="n">
        <v>85.78</v>
      </c>
      <c r="E186" s="11" t="inlineStr">
        <is>
          <t>A P L Logistics</t>
        </is>
      </c>
      <c r="F186" s="10" t="inlineStr">
        <is>
          <t>100046460</t>
        </is>
      </c>
      <c r="G186" s="20" t="inlineStr">
        <is>
          <t>022434</t>
        </is>
      </c>
      <c r="H186" s="670" t="n">
        <v>41694</v>
      </c>
      <c r="I186" s="662" t="n">
        <v>85.78</v>
      </c>
      <c r="J186" s="74" t="inlineStr">
        <is>
          <t>បានបង់</t>
        </is>
      </c>
    </row>
    <row r="187" ht="18" customHeight="1" s="408">
      <c r="A187" s="33" t="n">
        <v>8</v>
      </c>
      <c r="B187" s="20" t="inlineStr">
        <is>
          <t>035707</t>
        </is>
      </c>
      <c r="C187" s="670" t="n">
        <v>41694</v>
      </c>
      <c r="D187" s="662" t="n">
        <v>270.21</v>
      </c>
      <c r="E187" s="11" t="inlineStr">
        <is>
          <t>A P L Logistics</t>
        </is>
      </c>
      <c r="F187" s="10" t="inlineStr">
        <is>
          <t>100046460</t>
        </is>
      </c>
      <c r="G187" s="20" t="inlineStr">
        <is>
          <t>035707</t>
        </is>
      </c>
      <c r="H187" s="670" t="n">
        <v>41694</v>
      </c>
      <c r="I187" s="662" t="n">
        <v>270.21</v>
      </c>
      <c r="J187" s="74" t="inlineStr">
        <is>
          <t>បានបង់</t>
        </is>
      </c>
    </row>
    <row r="188" ht="18" customHeight="1" s="408">
      <c r="A188" s="481" t="inlineStr">
        <is>
          <t>Total 02/2014</t>
        </is>
      </c>
      <c r="B188" s="584" t="n"/>
      <c r="C188" s="573" t="n"/>
      <c r="D188" s="663">
        <f>SUM(D180:D187)</f>
        <v/>
      </c>
      <c r="E188" s="53" t="n"/>
      <c r="F188" s="54" t="n"/>
      <c r="G188" s="64" t="n"/>
      <c r="H188" s="664" t="inlineStr">
        <is>
          <t>USD</t>
        </is>
      </c>
      <c r="I188" s="663">
        <f>SUM(I180:I187)</f>
        <v/>
      </c>
      <c r="J188" s="7" t="n"/>
    </row>
    <row r="189" ht="21.9" customHeight="1" s="408">
      <c r="A189" s="481" t="inlineStr">
        <is>
          <t>Total 02/2014</t>
        </is>
      </c>
      <c r="B189" s="584" t="n"/>
      <c r="C189" s="573" t="n"/>
      <c r="D189" s="663" t="n"/>
      <c r="E189" s="53" t="n"/>
      <c r="F189" s="54" t="n"/>
      <c r="G189" s="665" t="n">
        <v>3984</v>
      </c>
      <c r="H189" s="664" t="inlineStr">
        <is>
          <t>RIEL</t>
        </is>
      </c>
      <c r="I189" s="666">
        <f>I188*G189</f>
        <v/>
      </c>
      <c r="J189" s="7" t="n"/>
    </row>
    <row r="190" ht="18" customHeight="1" s="408">
      <c r="A190" s="33" t="n">
        <v>1</v>
      </c>
      <c r="B190" s="20" t="inlineStr">
        <is>
          <t>035782</t>
        </is>
      </c>
      <c r="C190" s="670" t="n">
        <v>41701</v>
      </c>
      <c r="D190" s="662" t="n">
        <v>83.61</v>
      </c>
      <c r="E190" s="11" t="inlineStr">
        <is>
          <t>A P L Logistics</t>
        </is>
      </c>
      <c r="F190" s="10" t="inlineStr">
        <is>
          <t>100046460</t>
        </is>
      </c>
      <c r="G190" s="20" t="inlineStr">
        <is>
          <t>035782</t>
        </is>
      </c>
      <c r="H190" s="670" t="n">
        <v>41701</v>
      </c>
      <c r="I190" s="662" t="n">
        <v>83.61</v>
      </c>
      <c r="J190" s="74" t="inlineStr">
        <is>
          <t>បានបង់</t>
        </is>
      </c>
    </row>
    <row r="191" ht="18" customHeight="1" s="408">
      <c r="A191" s="33" t="n">
        <v>2</v>
      </c>
      <c r="B191" s="20" t="inlineStr">
        <is>
          <t>022600</t>
        </is>
      </c>
      <c r="C191" s="670" t="n">
        <v>41708</v>
      </c>
      <c r="D191" s="662" t="n">
        <v>103.64</v>
      </c>
      <c r="E191" s="11" t="inlineStr">
        <is>
          <t>A P L Logistics</t>
        </is>
      </c>
      <c r="F191" s="10" t="inlineStr">
        <is>
          <t>100046460</t>
        </is>
      </c>
      <c r="G191" s="20" t="inlineStr">
        <is>
          <t>022600</t>
        </is>
      </c>
      <c r="H191" s="670" t="n">
        <v>41708</v>
      </c>
      <c r="I191" s="662" t="n">
        <v>103.64</v>
      </c>
      <c r="J191" s="74" t="inlineStr">
        <is>
          <t>បានបង់</t>
        </is>
      </c>
    </row>
    <row r="192" ht="18" customHeight="1" s="408">
      <c r="A192" s="33" t="n">
        <v>3</v>
      </c>
      <c r="B192" s="20" t="inlineStr">
        <is>
          <t>035899</t>
        </is>
      </c>
      <c r="C192" s="670" t="n">
        <v>41709</v>
      </c>
      <c r="D192" s="662" t="n">
        <v>440.98</v>
      </c>
      <c r="E192" s="11" t="inlineStr">
        <is>
          <t>A P L Logistics</t>
        </is>
      </c>
      <c r="F192" s="10" t="inlineStr">
        <is>
          <t>100046460</t>
        </is>
      </c>
      <c r="G192" s="20" t="inlineStr">
        <is>
          <t>035899</t>
        </is>
      </c>
      <c r="H192" s="670" t="n">
        <v>41709</v>
      </c>
      <c r="I192" s="662" t="n">
        <v>440.98</v>
      </c>
      <c r="J192" s="74" t="inlineStr">
        <is>
          <t>បានបង់</t>
        </is>
      </c>
    </row>
    <row r="193" ht="18" customHeight="1" s="408">
      <c r="A193" s="33" t="n">
        <v>4</v>
      </c>
      <c r="B193" s="20" t="inlineStr">
        <is>
          <t>035977</t>
        </is>
      </c>
      <c r="C193" s="670" t="n">
        <v>41715</v>
      </c>
      <c r="D193" s="662" t="n">
        <v>381.77</v>
      </c>
      <c r="E193" s="11" t="inlineStr">
        <is>
          <t>A P L Logistics</t>
        </is>
      </c>
      <c r="F193" s="10" t="inlineStr">
        <is>
          <t>100046460</t>
        </is>
      </c>
      <c r="G193" s="20" t="inlineStr">
        <is>
          <t>035977</t>
        </is>
      </c>
      <c r="H193" s="670" t="n">
        <v>41715</v>
      </c>
      <c r="I193" s="662" t="n">
        <v>381.77</v>
      </c>
      <c r="J193" s="74" t="inlineStr">
        <is>
          <t>បានបង់</t>
        </is>
      </c>
    </row>
    <row r="194" ht="18" customHeight="1" s="408">
      <c r="A194" s="33" t="n">
        <v>5</v>
      </c>
      <c r="B194" s="20" t="inlineStr">
        <is>
          <t>036016</t>
        </is>
      </c>
      <c r="C194" s="670" t="n">
        <v>41717</v>
      </c>
      <c r="D194" s="662" t="n">
        <v>16</v>
      </c>
      <c r="E194" s="19" t="inlineStr">
        <is>
          <t>A P L Logistics</t>
        </is>
      </c>
      <c r="F194" s="20" t="inlineStr">
        <is>
          <t>100046460</t>
        </is>
      </c>
      <c r="G194" s="20" t="inlineStr">
        <is>
          <t>036016</t>
        </is>
      </c>
      <c r="H194" s="670" t="n">
        <v>41717</v>
      </c>
      <c r="I194" s="662" t="n">
        <v>16</v>
      </c>
      <c r="J194" s="74" t="inlineStr">
        <is>
          <t>បានបង់</t>
        </is>
      </c>
    </row>
    <row r="195" ht="18" customHeight="1" s="408">
      <c r="A195" s="33" t="n">
        <v>6</v>
      </c>
      <c r="B195" s="20" t="inlineStr">
        <is>
          <t>036053</t>
        </is>
      </c>
      <c r="C195" s="670" t="n">
        <v>41722</v>
      </c>
      <c r="D195" s="662" t="n">
        <v>107.59</v>
      </c>
      <c r="E195" s="11" t="inlineStr">
        <is>
          <t>A P L Logistics</t>
        </is>
      </c>
      <c r="F195" s="10" t="inlineStr">
        <is>
          <t>100046460</t>
        </is>
      </c>
      <c r="G195" s="20" t="inlineStr">
        <is>
          <t>036053</t>
        </is>
      </c>
      <c r="H195" s="670" t="n">
        <v>41722</v>
      </c>
      <c r="I195" s="662" t="n">
        <v>107.59</v>
      </c>
      <c r="J195" s="74" t="inlineStr">
        <is>
          <t>បានបង់</t>
        </is>
      </c>
    </row>
    <row r="196" ht="18" customHeight="1" s="408">
      <c r="A196" s="33" t="n">
        <v>7</v>
      </c>
      <c r="B196" s="20" t="inlineStr">
        <is>
          <t>036145</t>
        </is>
      </c>
      <c r="C196" s="670" t="n">
        <v>41729</v>
      </c>
      <c r="D196" s="662" t="n">
        <v>139.14</v>
      </c>
      <c r="E196" s="19" t="inlineStr">
        <is>
          <t>A P L Logistics</t>
        </is>
      </c>
      <c r="F196" s="20" t="inlineStr">
        <is>
          <t>100046460</t>
        </is>
      </c>
      <c r="G196" s="20" t="inlineStr">
        <is>
          <t>036145</t>
        </is>
      </c>
      <c r="H196" s="670" t="n">
        <v>41729</v>
      </c>
      <c r="I196" s="662" t="n">
        <v>139.14</v>
      </c>
      <c r="J196" s="74" t="inlineStr">
        <is>
          <t>បានបង់</t>
        </is>
      </c>
    </row>
    <row r="197" ht="18" customHeight="1" s="408">
      <c r="A197" s="481" t="inlineStr">
        <is>
          <t>Total 03/2014</t>
        </is>
      </c>
      <c r="B197" s="584" t="n"/>
      <c r="C197" s="573" t="n"/>
      <c r="D197" s="663">
        <f>SUM(D190:D196)</f>
        <v/>
      </c>
      <c r="E197" s="53" t="n"/>
      <c r="F197" s="54" t="n"/>
      <c r="G197" s="64" t="n"/>
      <c r="H197" s="664" t="inlineStr">
        <is>
          <t>USD</t>
        </is>
      </c>
      <c r="I197" s="663">
        <f>SUM(I190:I196)</f>
        <v/>
      </c>
      <c r="J197" s="7" t="n"/>
    </row>
    <row r="198" ht="21.9" customHeight="1" s="408">
      <c r="A198" s="481" t="inlineStr">
        <is>
          <t>Total 03/2014</t>
        </is>
      </c>
      <c r="B198" s="584" t="n"/>
      <c r="C198" s="573" t="n"/>
      <c r="D198" s="663" t="n"/>
      <c r="E198" s="53" t="n"/>
      <c r="F198" s="54" t="n"/>
      <c r="G198" s="665" t="n">
        <v>4002</v>
      </c>
      <c r="H198" s="664" t="inlineStr">
        <is>
          <t>RIEL</t>
        </is>
      </c>
      <c r="I198" s="666">
        <f>I197*G198</f>
        <v/>
      </c>
      <c r="J198" s="7" t="n"/>
    </row>
    <row r="199" ht="18" customHeight="1" s="408">
      <c r="A199" s="33" t="n">
        <v>1</v>
      </c>
      <c r="B199" s="20" t="inlineStr">
        <is>
          <t>036240</t>
        </is>
      </c>
      <c r="C199" s="670" t="n">
        <v>41736</v>
      </c>
      <c r="D199" s="662" t="n">
        <v>295.52</v>
      </c>
      <c r="E199" s="11" t="inlineStr">
        <is>
          <t>A P L Logistics</t>
        </is>
      </c>
      <c r="F199" s="10" t="inlineStr">
        <is>
          <t>100046460</t>
        </is>
      </c>
      <c r="G199" s="20" t="inlineStr">
        <is>
          <t>036240</t>
        </is>
      </c>
      <c r="H199" s="670" t="n">
        <v>41736</v>
      </c>
      <c r="I199" s="662" t="n">
        <v>295.52</v>
      </c>
      <c r="J199" s="74" t="inlineStr">
        <is>
          <t>បានបង់</t>
        </is>
      </c>
    </row>
    <row r="200" ht="18" customHeight="1" s="408">
      <c r="A200" s="33" t="n">
        <v>2</v>
      </c>
      <c r="B200" s="20" t="inlineStr">
        <is>
          <t>036212</t>
        </is>
      </c>
      <c r="C200" s="670" t="n">
        <v>41731</v>
      </c>
      <c r="D200" s="662" t="n">
        <v>4</v>
      </c>
      <c r="E200" s="19" t="inlineStr">
        <is>
          <t>A P L Logistics</t>
        </is>
      </c>
      <c r="F200" s="20" t="inlineStr">
        <is>
          <t>100046460</t>
        </is>
      </c>
      <c r="G200" s="20" t="inlineStr">
        <is>
          <t>036212</t>
        </is>
      </c>
      <c r="H200" s="670" t="n">
        <v>41731</v>
      </c>
      <c r="I200" s="662" t="n">
        <v>4</v>
      </c>
      <c r="J200" s="74" t="inlineStr">
        <is>
          <t>បានបង់</t>
        </is>
      </c>
    </row>
    <row r="201" ht="18" customHeight="1" s="408">
      <c r="A201" s="33" t="n">
        <v>3</v>
      </c>
      <c r="B201" s="20" t="inlineStr">
        <is>
          <t>036337</t>
        </is>
      </c>
      <c r="C201" s="670" t="n">
        <v>41744</v>
      </c>
      <c r="D201" s="662" t="n">
        <v>242.83</v>
      </c>
      <c r="E201" s="11" t="inlineStr">
        <is>
          <t>A P L Logistics</t>
        </is>
      </c>
      <c r="F201" s="10" t="inlineStr">
        <is>
          <t>100046460</t>
        </is>
      </c>
      <c r="G201" s="20" t="inlineStr">
        <is>
          <t>036337</t>
        </is>
      </c>
      <c r="H201" s="670" t="n">
        <v>41744</v>
      </c>
      <c r="I201" s="662" t="n">
        <v>242.83</v>
      </c>
      <c r="J201" s="74" t="inlineStr">
        <is>
          <t>បានបង់</t>
        </is>
      </c>
    </row>
    <row r="202" ht="18" customHeight="1" s="408">
      <c r="A202" s="33" t="n">
        <v>4</v>
      </c>
      <c r="B202" s="20" t="inlineStr">
        <is>
          <t>036410</t>
        </is>
      </c>
      <c r="C202" s="670" t="n">
        <v>41750</v>
      </c>
      <c r="D202" s="662" t="n">
        <v>130.46</v>
      </c>
      <c r="E202" s="11" t="inlineStr">
        <is>
          <t>A P L Logistics</t>
        </is>
      </c>
      <c r="F202" s="10" t="inlineStr">
        <is>
          <t>100046460</t>
        </is>
      </c>
      <c r="G202" s="20" t="inlineStr">
        <is>
          <t>036410</t>
        </is>
      </c>
      <c r="H202" s="670" t="n">
        <v>41750</v>
      </c>
      <c r="I202" s="662" t="n">
        <v>130.46</v>
      </c>
      <c r="J202" s="74" t="inlineStr">
        <is>
          <t>បានបង់</t>
        </is>
      </c>
    </row>
    <row r="203" ht="18" customHeight="1" s="408">
      <c r="A203" s="33" t="n">
        <v>5</v>
      </c>
      <c r="B203" s="20" t="inlineStr">
        <is>
          <t>036463</t>
        </is>
      </c>
      <c r="C203" s="670" t="n">
        <v>41757</v>
      </c>
      <c r="D203" s="662" t="n">
        <v>113.27</v>
      </c>
      <c r="E203" s="11" t="inlineStr">
        <is>
          <t>A P L Logistics</t>
        </is>
      </c>
      <c r="F203" s="10" t="inlineStr">
        <is>
          <t>100046460</t>
        </is>
      </c>
      <c r="G203" s="20" t="inlineStr">
        <is>
          <t>036463</t>
        </is>
      </c>
      <c r="H203" s="670" t="n">
        <v>41757</v>
      </c>
      <c r="I203" s="662" t="n">
        <v>113.27</v>
      </c>
      <c r="J203" s="74" t="inlineStr">
        <is>
          <t>បានបង់</t>
        </is>
      </c>
    </row>
    <row r="204" ht="18" customHeight="1" s="408">
      <c r="A204" s="481" t="inlineStr">
        <is>
          <t>Total 04/2014</t>
        </is>
      </c>
      <c r="B204" s="584" t="n"/>
      <c r="C204" s="573" t="n"/>
      <c r="D204" s="663">
        <f>SUM(D199:D203)</f>
        <v/>
      </c>
      <c r="E204" s="53" t="n"/>
      <c r="F204" s="54" t="n"/>
      <c r="G204" s="64" t="n"/>
      <c r="H204" s="664" t="inlineStr">
        <is>
          <t>USD</t>
        </is>
      </c>
      <c r="I204" s="663">
        <f>SUM(I199:I203)</f>
        <v/>
      </c>
      <c r="J204" s="7" t="n"/>
    </row>
    <row r="205" ht="21.9" customHeight="1" s="408">
      <c r="A205" s="481" t="inlineStr">
        <is>
          <t>Total 04/2014</t>
        </is>
      </c>
      <c r="B205" s="584" t="n"/>
      <c r="C205" s="573" t="n"/>
      <c r="D205" s="663" t="n"/>
      <c r="E205" s="53" t="n"/>
      <c r="F205" s="54" t="n"/>
      <c r="G205" s="665" t="n">
        <v>4015</v>
      </c>
      <c r="H205" s="664" t="inlineStr">
        <is>
          <t>RIEL</t>
        </is>
      </c>
      <c r="I205" s="666">
        <f>I204*G205</f>
        <v/>
      </c>
      <c r="J205" s="7" t="n"/>
    </row>
    <row r="206" ht="18" customHeight="1" s="408">
      <c r="A206" s="33" t="n">
        <v>1</v>
      </c>
      <c r="B206" s="24" t="inlineStr">
        <is>
          <t>036541</t>
        </is>
      </c>
      <c r="C206" s="670" t="n">
        <v>41764</v>
      </c>
      <c r="D206" s="662" t="n">
        <v>237.93</v>
      </c>
      <c r="E206" s="11" t="inlineStr">
        <is>
          <t>A P L Logistics</t>
        </is>
      </c>
      <c r="F206" s="10" t="inlineStr">
        <is>
          <t>100046460</t>
        </is>
      </c>
      <c r="G206" s="24" t="inlineStr">
        <is>
          <t>036541</t>
        </is>
      </c>
      <c r="H206" s="670" t="n">
        <v>41764</v>
      </c>
      <c r="I206" s="662" t="n">
        <v>237.93</v>
      </c>
      <c r="J206" s="74" t="inlineStr">
        <is>
          <t>បានបង់</t>
        </is>
      </c>
    </row>
    <row r="207" ht="18" customHeight="1" s="408">
      <c r="A207" s="33" t="n">
        <v>2</v>
      </c>
      <c r="B207" s="24" t="inlineStr">
        <is>
          <t>036630</t>
        </is>
      </c>
      <c r="C207" s="670" t="n">
        <v>41772</v>
      </c>
      <c r="D207" s="662" t="n">
        <v>188.08</v>
      </c>
      <c r="E207" s="11" t="inlineStr">
        <is>
          <t>A P L Logistics</t>
        </is>
      </c>
      <c r="F207" s="10" t="inlineStr">
        <is>
          <t>100046460</t>
        </is>
      </c>
      <c r="G207" s="24" t="inlineStr">
        <is>
          <t>036630</t>
        </is>
      </c>
      <c r="H207" s="670" t="n">
        <v>41772</v>
      </c>
      <c r="I207" s="662" t="n">
        <v>188.08</v>
      </c>
      <c r="J207" s="74" t="inlineStr">
        <is>
          <t>បានបង់</t>
        </is>
      </c>
    </row>
    <row r="208" ht="18" customHeight="1" s="408">
      <c r="A208" s="33" t="n">
        <v>3</v>
      </c>
      <c r="B208" s="24" t="inlineStr">
        <is>
          <t>036696</t>
        </is>
      </c>
      <c r="C208" s="670" t="n">
        <v>41778</v>
      </c>
      <c r="D208" s="662" t="n">
        <v>119.01</v>
      </c>
      <c r="E208" s="11" t="inlineStr">
        <is>
          <t>A P L Logistics</t>
        </is>
      </c>
      <c r="F208" s="10" t="inlineStr">
        <is>
          <t>100046460</t>
        </is>
      </c>
      <c r="G208" s="24" t="inlineStr">
        <is>
          <t>036696</t>
        </is>
      </c>
      <c r="H208" s="670" t="n">
        <v>41778</v>
      </c>
      <c r="I208" s="662" t="n">
        <v>119.01</v>
      </c>
      <c r="J208" s="74" t="inlineStr">
        <is>
          <t>បានបង់</t>
        </is>
      </c>
    </row>
    <row r="209" ht="18" customHeight="1" s="408">
      <c r="A209" s="33" t="n">
        <v>4</v>
      </c>
      <c r="B209" s="24" t="inlineStr">
        <is>
          <t>023316</t>
        </is>
      </c>
      <c r="C209" s="670" t="n">
        <v>41782</v>
      </c>
      <c r="D209" s="662" t="n">
        <v>30</v>
      </c>
      <c r="E209" s="10" t="inlineStr">
        <is>
          <t>A P L Logistics</t>
        </is>
      </c>
      <c r="F209" s="24" t="inlineStr">
        <is>
          <t>100046460</t>
        </is>
      </c>
      <c r="G209" s="24" t="inlineStr">
        <is>
          <t>023316</t>
        </is>
      </c>
      <c r="H209" s="670" t="n">
        <v>41782</v>
      </c>
      <c r="I209" s="662" t="n">
        <v>30</v>
      </c>
      <c r="J209" s="74" t="inlineStr">
        <is>
          <t>បានបង់</t>
        </is>
      </c>
    </row>
    <row r="210" ht="18" customHeight="1" s="408">
      <c r="A210" s="33" t="n">
        <v>5</v>
      </c>
      <c r="B210" s="24" t="inlineStr">
        <is>
          <t>036771</t>
        </is>
      </c>
      <c r="C210" s="670" t="n">
        <v>41785</v>
      </c>
      <c r="D210" s="662" t="n">
        <v>100.65</v>
      </c>
      <c r="E210" s="10" t="inlineStr">
        <is>
          <t>A P L Logistics</t>
        </is>
      </c>
      <c r="F210" s="24" t="inlineStr">
        <is>
          <t>100046460</t>
        </is>
      </c>
      <c r="G210" s="24" t="inlineStr">
        <is>
          <t>036771</t>
        </is>
      </c>
      <c r="H210" s="670" t="n">
        <v>41785</v>
      </c>
      <c r="I210" s="662" t="n">
        <v>100.65</v>
      </c>
      <c r="J210" s="74" t="inlineStr">
        <is>
          <t>បានបង់</t>
        </is>
      </c>
    </row>
    <row r="211" ht="18" customHeight="1" s="408">
      <c r="A211" s="481" t="inlineStr">
        <is>
          <t>Total 05/2014</t>
        </is>
      </c>
      <c r="B211" s="584" t="n"/>
      <c r="C211" s="573" t="n"/>
      <c r="D211" s="663">
        <f>SUM(D206:D210)</f>
        <v/>
      </c>
      <c r="E211" s="53" t="n"/>
      <c r="F211" s="54" t="n"/>
      <c r="G211" s="65" t="n"/>
      <c r="H211" s="664" t="inlineStr">
        <is>
          <t>USD</t>
        </is>
      </c>
      <c r="I211" s="663">
        <f>SUM(I206:I210)</f>
        <v/>
      </c>
      <c r="J211" s="7" t="n"/>
    </row>
    <row r="212" ht="21.9" customHeight="1" s="408">
      <c r="A212" s="481" t="inlineStr">
        <is>
          <t>Total 05/2014</t>
        </is>
      </c>
      <c r="B212" s="584" t="n"/>
      <c r="C212" s="573" t="n"/>
      <c r="D212" s="663" t="n"/>
      <c r="E212" s="53" t="n"/>
      <c r="F212" s="54" t="n"/>
      <c r="G212" s="665" t="n">
        <v>4025</v>
      </c>
      <c r="H212" s="664" t="inlineStr">
        <is>
          <t>RIEL</t>
        </is>
      </c>
      <c r="I212" s="666">
        <f>I211*G212</f>
        <v/>
      </c>
      <c r="J212" s="7" t="n"/>
    </row>
    <row r="213" ht="18" customHeight="1" s="408">
      <c r="A213" s="33" t="n">
        <v>1</v>
      </c>
      <c r="B213" s="24" t="inlineStr">
        <is>
          <t>036857</t>
        </is>
      </c>
      <c r="C213" s="670" t="n">
        <v>41792</v>
      </c>
      <c r="D213" s="662" t="n">
        <v>209.57</v>
      </c>
      <c r="E213" s="11" t="inlineStr">
        <is>
          <t>A P L Logistics</t>
        </is>
      </c>
      <c r="F213" s="10" t="inlineStr">
        <is>
          <t>100046460</t>
        </is>
      </c>
      <c r="G213" s="24" t="inlineStr">
        <is>
          <t>036857</t>
        </is>
      </c>
      <c r="H213" s="670" t="n">
        <v>41792</v>
      </c>
      <c r="I213" s="662" t="n">
        <v>209.57</v>
      </c>
      <c r="J213" s="76" t="inlineStr">
        <is>
          <t>បានបង់</t>
        </is>
      </c>
    </row>
    <row r="214" ht="18" customHeight="1" s="408">
      <c r="A214" s="33" t="n">
        <v>2</v>
      </c>
      <c r="B214" s="24" t="inlineStr">
        <is>
          <t>036925</t>
        </is>
      </c>
      <c r="C214" s="670" t="n">
        <v>41799</v>
      </c>
      <c r="D214" s="662" t="n">
        <v>188.93</v>
      </c>
      <c r="E214" s="11" t="inlineStr">
        <is>
          <t>A P L Logistics</t>
        </is>
      </c>
      <c r="F214" s="10" t="inlineStr">
        <is>
          <t>100046460</t>
        </is>
      </c>
      <c r="G214" s="24" t="inlineStr">
        <is>
          <t>036925</t>
        </is>
      </c>
      <c r="H214" s="670" t="n">
        <v>41799</v>
      </c>
      <c r="I214" s="662" t="n">
        <v>188.93</v>
      </c>
      <c r="J214" s="76" t="inlineStr">
        <is>
          <t>បានបង់</t>
        </is>
      </c>
    </row>
    <row r="215" ht="18" customHeight="1" s="408">
      <c r="A215" s="33" t="n">
        <v>3</v>
      </c>
      <c r="B215" s="24" t="inlineStr">
        <is>
          <t>037006</t>
        </is>
      </c>
      <c r="C215" s="670" t="n">
        <v>41806</v>
      </c>
      <c r="D215" s="662" t="n">
        <v>26.87</v>
      </c>
      <c r="E215" s="11" t="inlineStr">
        <is>
          <t>A P L Logistics</t>
        </is>
      </c>
      <c r="F215" s="24" t="inlineStr">
        <is>
          <t>100046460</t>
        </is>
      </c>
      <c r="G215" s="24" t="inlineStr">
        <is>
          <t>037006</t>
        </is>
      </c>
      <c r="H215" s="670" t="n">
        <v>41806</v>
      </c>
      <c r="I215" s="662" t="n">
        <v>26.87</v>
      </c>
      <c r="J215" s="76" t="inlineStr">
        <is>
          <t>បានបង់</t>
        </is>
      </c>
    </row>
    <row r="216" ht="18" customHeight="1" s="408">
      <c r="A216" s="33" t="n">
        <v>4</v>
      </c>
      <c r="B216" s="24" t="inlineStr">
        <is>
          <t>037083</t>
        </is>
      </c>
      <c r="C216" s="670" t="n">
        <v>41813</v>
      </c>
      <c r="D216" s="662" t="n">
        <v>173.82</v>
      </c>
      <c r="E216" s="10" t="inlineStr">
        <is>
          <t>A P L Logistics</t>
        </is>
      </c>
      <c r="F216" s="24" t="inlineStr">
        <is>
          <t>100046460</t>
        </is>
      </c>
      <c r="G216" s="24" t="inlineStr">
        <is>
          <t>037083</t>
        </is>
      </c>
      <c r="H216" s="670" t="n">
        <v>41813</v>
      </c>
      <c r="I216" s="662" t="n">
        <v>173.82</v>
      </c>
      <c r="J216" s="76" t="inlineStr">
        <is>
          <t>បានបង់</t>
        </is>
      </c>
    </row>
    <row r="217" ht="18" customHeight="1" s="408">
      <c r="A217" s="33" t="n">
        <v>5</v>
      </c>
      <c r="B217" s="24" t="inlineStr">
        <is>
          <t>037179</t>
        </is>
      </c>
      <c r="C217" s="670" t="n">
        <v>41820</v>
      </c>
      <c r="D217" s="662" t="n">
        <v>139.37</v>
      </c>
      <c r="E217" s="11" t="inlineStr">
        <is>
          <t>A P L Logistics</t>
        </is>
      </c>
      <c r="F217" s="10" t="inlineStr">
        <is>
          <t>100046460</t>
        </is>
      </c>
      <c r="G217" s="24" t="inlineStr">
        <is>
          <t>037179</t>
        </is>
      </c>
      <c r="H217" s="670" t="n">
        <v>41820</v>
      </c>
      <c r="I217" s="662" t="n">
        <v>139.37</v>
      </c>
      <c r="J217" s="76" t="inlineStr">
        <is>
          <t>បានបង់</t>
        </is>
      </c>
    </row>
    <row r="218" ht="18" customHeight="1" s="408">
      <c r="A218" s="481" t="inlineStr">
        <is>
          <t>Total 06/2014</t>
        </is>
      </c>
      <c r="B218" s="584" t="n"/>
      <c r="C218" s="573" t="n"/>
      <c r="D218" s="663">
        <f>SUM(D213:D217)</f>
        <v/>
      </c>
      <c r="E218" s="53" t="n"/>
      <c r="F218" s="54" t="n"/>
      <c r="G218" s="65" t="n"/>
      <c r="H218" s="664" t="inlineStr">
        <is>
          <t>USD</t>
        </is>
      </c>
      <c r="I218" s="663">
        <f>SUM(I213:I217)</f>
        <v/>
      </c>
      <c r="J218" s="7" t="n"/>
    </row>
    <row r="219" ht="21.9" customHeight="1" s="408">
      <c r="A219" s="481" t="inlineStr">
        <is>
          <t>Total 06/2014</t>
        </is>
      </c>
      <c r="B219" s="584" t="n"/>
      <c r="C219" s="573" t="n"/>
      <c r="D219" s="663" t="n"/>
      <c r="E219" s="53" t="n"/>
      <c r="F219" s="54" t="n"/>
      <c r="G219" s="665" t="n">
        <v>4039</v>
      </c>
      <c r="H219" s="664" t="inlineStr">
        <is>
          <t>RIEL</t>
        </is>
      </c>
      <c r="I219" s="666">
        <f>I218*G219</f>
        <v/>
      </c>
      <c r="J219" s="7" t="n"/>
    </row>
    <row r="220" ht="18" customHeight="1" s="408">
      <c r="A220" s="33" t="n">
        <v>1</v>
      </c>
      <c r="B220" s="24" t="inlineStr">
        <is>
          <t>037253</t>
        </is>
      </c>
      <c r="C220" s="670" t="n">
        <v>41827</v>
      </c>
      <c r="D220" s="662" t="n">
        <v>84.54000000000001</v>
      </c>
      <c r="E220" s="11" t="inlineStr">
        <is>
          <t>A P L Logistics</t>
        </is>
      </c>
      <c r="F220" s="10" t="inlineStr">
        <is>
          <t>100046460</t>
        </is>
      </c>
      <c r="G220" s="24" t="inlineStr">
        <is>
          <t>037253</t>
        </is>
      </c>
      <c r="H220" s="670" t="n">
        <v>41827</v>
      </c>
      <c r="I220" s="662" t="n">
        <v>84.54000000000001</v>
      </c>
      <c r="J220" s="76" t="inlineStr">
        <is>
          <t>បានបង់</t>
        </is>
      </c>
    </row>
    <row r="221" ht="18" customHeight="1" s="408">
      <c r="A221" s="33" t="n">
        <v>2</v>
      </c>
      <c r="B221" s="24" t="inlineStr">
        <is>
          <t>037358</t>
        </is>
      </c>
      <c r="C221" s="670" t="n">
        <v>41834</v>
      </c>
      <c r="D221" s="662" t="n">
        <v>55.59</v>
      </c>
      <c r="E221" s="10" t="inlineStr">
        <is>
          <t>A P L Logistics</t>
        </is>
      </c>
      <c r="F221" s="24" t="inlineStr">
        <is>
          <t>100046460</t>
        </is>
      </c>
      <c r="G221" s="24" t="inlineStr">
        <is>
          <t>037358</t>
        </is>
      </c>
      <c r="H221" s="670" t="n">
        <v>41834</v>
      </c>
      <c r="I221" s="662" t="n">
        <v>55.59</v>
      </c>
      <c r="J221" s="76" t="inlineStr">
        <is>
          <t>បានបង់</t>
        </is>
      </c>
    </row>
    <row r="222" ht="18" customHeight="1" s="408">
      <c r="A222" s="33" t="n">
        <v>3</v>
      </c>
      <c r="B222" s="24" t="inlineStr">
        <is>
          <t>037520</t>
        </is>
      </c>
      <c r="C222" s="670" t="n">
        <v>41848</v>
      </c>
      <c r="D222" s="662" t="n">
        <v>24.98</v>
      </c>
      <c r="E222" s="10" t="inlineStr">
        <is>
          <t>A P L Logistics</t>
        </is>
      </c>
      <c r="F222" s="24" t="inlineStr">
        <is>
          <t>100046460</t>
        </is>
      </c>
      <c r="G222" s="24" t="inlineStr">
        <is>
          <t>037520</t>
        </is>
      </c>
      <c r="H222" s="670" t="n">
        <v>41848</v>
      </c>
      <c r="I222" s="662" t="n">
        <v>24.98</v>
      </c>
      <c r="J222" s="76" t="inlineStr">
        <is>
          <t>បានបង់</t>
        </is>
      </c>
    </row>
    <row r="223" ht="18" customHeight="1" s="408">
      <c r="A223" s="481" t="inlineStr">
        <is>
          <t>Total 07/2014</t>
        </is>
      </c>
      <c r="B223" s="584" t="n"/>
      <c r="C223" s="573" t="n"/>
      <c r="D223" s="663">
        <f>SUM(D220:D222)</f>
        <v/>
      </c>
      <c r="E223" s="54" t="n"/>
      <c r="F223" s="65" t="n"/>
      <c r="G223" s="65" t="n"/>
      <c r="H223" s="664" t="inlineStr">
        <is>
          <t>USD</t>
        </is>
      </c>
      <c r="I223" s="663">
        <f>SUM(I220:I222)</f>
        <v/>
      </c>
      <c r="J223" s="7" t="n"/>
    </row>
    <row r="224" ht="21.9" customHeight="1" s="408">
      <c r="A224" s="481" t="inlineStr">
        <is>
          <t>Total 07/2014</t>
        </is>
      </c>
      <c r="B224" s="584" t="n"/>
      <c r="C224" s="573" t="n"/>
      <c r="D224" s="663" t="n"/>
      <c r="E224" s="53" t="n"/>
      <c r="F224" s="54" t="n"/>
      <c r="G224" s="665" t="n">
        <v>4045</v>
      </c>
      <c r="H224" s="664" t="inlineStr">
        <is>
          <t>RIEL</t>
        </is>
      </c>
      <c r="I224" s="666">
        <f>I223*G224</f>
        <v/>
      </c>
      <c r="J224" s="7" t="n"/>
    </row>
    <row r="225" ht="18" customHeight="1" s="408">
      <c r="A225" s="33" t="n">
        <v>1</v>
      </c>
      <c r="B225" s="24" t="inlineStr">
        <is>
          <t>037611</t>
        </is>
      </c>
      <c r="C225" s="670" t="n">
        <v>41855</v>
      </c>
      <c r="D225" s="662" t="n">
        <v>105</v>
      </c>
      <c r="E225" s="11" t="inlineStr">
        <is>
          <t>A P L Logistics</t>
        </is>
      </c>
      <c r="F225" s="10" t="inlineStr">
        <is>
          <t>100046460</t>
        </is>
      </c>
      <c r="G225" s="24" t="inlineStr">
        <is>
          <t>037611</t>
        </is>
      </c>
      <c r="H225" s="670" t="n">
        <v>41855</v>
      </c>
      <c r="I225" s="662" t="n">
        <v>105</v>
      </c>
      <c r="J225" s="76" t="inlineStr">
        <is>
          <t>បានបង់</t>
        </is>
      </c>
    </row>
    <row r="226" ht="18" customHeight="1" s="408">
      <c r="A226" s="33" t="n">
        <v>2</v>
      </c>
      <c r="B226" s="24" t="inlineStr">
        <is>
          <t>037694</t>
        </is>
      </c>
      <c r="C226" s="670" t="n">
        <v>41862</v>
      </c>
      <c r="D226" s="662" t="n">
        <v>132.69</v>
      </c>
      <c r="E226" s="11" t="inlineStr">
        <is>
          <t>A P L Logistics</t>
        </is>
      </c>
      <c r="F226" s="10" t="inlineStr">
        <is>
          <t>100046460</t>
        </is>
      </c>
      <c r="G226" s="24" t="inlineStr">
        <is>
          <t>037694</t>
        </is>
      </c>
      <c r="H226" s="670" t="n">
        <v>41862</v>
      </c>
      <c r="I226" s="662" t="n">
        <v>132.69</v>
      </c>
      <c r="J226" s="76" t="inlineStr">
        <is>
          <t>បានបង់</t>
        </is>
      </c>
    </row>
    <row r="227" ht="18" customHeight="1" s="408">
      <c r="A227" s="33" t="n">
        <v>3</v>
      </c>
      <c r="B227" s="24" t="inlineStr">
        <is>
          <t>037777</t>
        </is>
      </c>
      <c r="C227" s="670" t="n">
        <v>41869</v>
      </c>
      <c r="D227" s="662" t="n">
        <v>91.69</v>
      </c>
      <c r="E227" s="11" t="inlineStr">
        <is>
          <t>A P L Logistics</t>
        </is>
      </c>
      <c r="F227" s="10" t="inlineStr">
        <is>
          <t>100046460</t>
        </is>
      </c>
      <c r="G227" s="24" t="inlineStr">
        <is>
          <t>037777</t>
        </is>
      </c>
      <c r="H227" s="670" t="n">
        <v>41869</v>
      </c>
      <c r="I227" s="662" t="n">
        <v>91.69</v>
      </c>
      <c r="J227" s="76" t="inlineStr">
        <is>
          <t>បានបង់</t>
        </is>
      </c>
    </row>
    <row r="228" ht="18" customHeight="1" s="408">
      <c r="A228" s="33" t="n">
        <v>4</v>
      </c>
      <c r="B228" s="24" t="inlineStr">
        <is>
          <t>037841</t>
        </is>
      </c>
      <c r="C228" s="670" t="n">
        <v>41876</v>
      </c>
      <c r="D228" s="662" t="n">
        <v>65.31999999999999</v>
      </c>
      <c r="E228" s="10" t="inlineStr">
        <is>
          <t>A P L Logistics</t>
        </is>
      </c>
      <c r="F228" s="24" t="inlineStr">
        <is>
          <t>100046460</t>
        </is>
      </c>
      <c r="G228" s="24" t="inlineStr">
        <is>
          <t>037841</t>
        </is>
      </c>
      <c r="H228" s="670" t="n">
        <v>41876</v>
      </c>
      <c r="I228" s="662" t="n">
        <v>65.31999999999999</v>
      </c>
      <c r="J228" s="76" t="inlineStr">
        <is>
          <t>បានបង់</t>
        </is>
      </c>
    </row>
    <row r="229" ht="18" customHeight="1" s="408">
      <c r="A229" s="481" t="inlineStr">
        <is>
          <t>Total 08/2014</t>
        </is>
      </c>
      <c r="B229" s="584" t="n"/>
      <c r="C229" s="573" t="n"/>
      <c r="D229" s="663">
        <f>SUM(D225:D228)</f>
        <v/>
      </c>
      <c r="E229" s="53" t="n"/>
      <c r="F229" s="54" t="n"/>
      <c r="G229" s="65" t="n"/>
      <c r="H229" s="664" t="inlineStr">
        <is>
          <t>USD</t>
        </is>
      </c>
      <c r="I229" s="663">
        <f>SUM(I225:I228)</f>
        <v/>
      </c>
      <c r="J229" s="7" t="n"/>
    </row>
    <row r="230" ht="21.9" customHeight="1" s="408">
      <c r="A230" s="481" t="inlineStr">
        <is>
          <t>Total 08/2014</t>
        </is>
      </c>
      <c r="B230" s="584" t="n"/>
      <c r="C230" s="573" t="n"/>
      <c r="D230" s="663" t="n"/>
      <c r="E230" s="53" t="n"/>
      <c r="F230" s="54" t="n"/>
      <c r="G230" s="665" t="n">
        <v>4058</v>
      </c>
      <c r="H230" s="664" t="inlineStr">
        <is>
          <t>RIEL</t>
        </is>
      </c>
      <c r="I230" s="666">
        <f>I229*G230</f>
        <v/>
      </c>
      <c r="J230" s="7" t="n"/>
    </row>
    <row r="231" ht="18" customHeight="1" s="408">
      <c r="A231" s="33" t="n">
        <v>1</v>
      </c>
      <c r="B231" s="24" t="inlineStr">
        <is>
          <t>037918</t>
        </is>
      </c>
      <c r="C231" s="670" t="n">
        <v>41884</v>
      </c>
      <c r="D231" s="662" t="n">
        <v>144.47</v>
      </c>
      <c r="E231" s="11" t="inlineStr">
        <is>
          <t>A P L Logistics</t>
        </is>
      </c>
      <c r="F231" s="10" t="inlineStr">
        <is>
          <t>100046460</t>
        </is>
      </c>
      <c r="G231" s="24" t="inlineStr">
        <is>
          <t>037918</t>
        </is>
      </c>
      <c r="H231" s="670" t="n">
        <v>41884</v>
      </c>
      <c r="I231" s="662" t="n">
        <v>144.47</v>
      </c>
      <c r="J231" s="76" t="inlineStr">
        <is>
          <t>បានបង់</t>
        </is>
      </c>
    </row>
    <row r="232" ht="18" customHeight="1" s="408">
      <c r="A232" s="33" t="n">
        <v>2</v>
      </c>
      <c r="B232" s="24" t="inlineStr">
        <is>
          <t>037990</t>
        </is>
      </c>
      <c r="C232" s="670" t="n">
        <v>41890</v>
      </c>
      <c r="D232" s="662" t="n">
        <v>230.41</v>
      </c>
      <c r="E232" s="11" t="inlineStr">
        <is>
          <t>A P L Logistics</t>
        </is>
      </c>
      <c r="F232" s="10" t="inlineStr">
        <is>
          <t>100046460</t>
        </is>
      </c>
      <c r="G232" s="24" t="inlineStr">
        <is>
          <t>037990</t>
        </is>
      </c>
      <c r="H232" s="670" t="n">
        <v>41890</v>
      </c>
      <c r="I232" s="662" t="n">
        <v>230.41</v>
      </c>
      <c r="J232" s="76" t="inlineStr">
        <is>
          <t>បានបង់</t>
        </is>
      </c>
    </row>
    <row r="233" ht="18" customHeight="1" s="408">
      <c r="A233" s="33" t="n">
        <v>3</v>
      </c>
      <c r="B233" s="24" t="inlineStr">
        <is>
          <t>038062</t>
        </is>
      </c>
      <c r="C233" s="670" t="n">
        <v>41897</v>
      </c>
      <c r="D233" s="662" t="n">
        <v>81.2</v>
      </c>
      <c r="E233" s="11" t="inlineStr">
        <is>
          <t>A P L Logistics</t>
        </is>
      </c>
      <c r="F233" s="10" t="inlineStr">
        <is>
          <t>100046460</t>
        </is>
      </c>
      <c r="G233" s="24" t="inlineStr">
        <is>
          <t>038062</t>
        </is>
      </c>
      <c r="H233" s="670" t="n">
        <v>41897</v>
      </c>
      <c r="I233" s="662" t="n">
        <v>81.2</v>
      </c>
      <c r="J233" s="76" t="inlineStr">
        <is>
          <t>បានបង់</t>
        </is>
      </c>
    </row>
    <row r="234" ht="18" customHeight="1" s="408">
      <c r="A234" s="33" t="n">
        <v>4</v>
      </c>
      <c r="B234" s="24" t="inlineStr">
        <is>
          <t>038135</t>
        </is>
      </c>
      <c r="C234" s="670" t="n">
        <v>41903</v>
      </c>
      <c r="D234" s="662" t="n">
        <v>49.75</v>
      </c>
      <c r="E234" s="10" t="inlineStr">
        <is>
          <t>A P L Logistics</t>
        </is>
      </c>
      <c r="F234" s="24" t="inlineStr">
        <is>
          <t>100046460</t>
        </is>
      </c>
      <c r="G234" s="24" t="inlineStr">
        <is>
          <t>038135</t>
        </is>
      </c>
      <c r="H234" s="670" t="n">
        <v>41903</v>
      </c>
      <c r="I234" s="662" t="n">
        <v>49.75</v>
      </c>
      <c r="J234" s="76" t="inlineStr">
        <is>
          <t>បានបង់</t>
        </is>
      </c>
    </row>
    <row r="235" ht="18" customHeight="1" s="408">
      <c r="A235" s="33" t="n">
        <v>5</v>
      </c>
      <c r="B235" s="24" t="inlineStr">
        <is>
          <t>038196</t>
        </is>
      </c>
      <c r="C235" s="670" t="n">
        <v>41911</v>
      </c>
      <c r="D235" s="662" t="n">
        <v>136.72</v>
      </c>
      <c r="E235" s="11" t="inlineStr">
        <is>
          <t>A P L Logistics</t>
        </is>
      </c>
      <c r="F235" s="10" t="inlineStr">
        <is>
          <t>100046460</t>
        </is>
      </c>
      <c r="G235" s="24" t="inlineStr">
        <is>
          <t>038196</t>
        </is>
      </c>
      <c r="H235" s="670" t="n">
        <v>41911</v>
      </c>
      <c r="I235" s="662" t="n">
        <v>136.72</v>
      </c>
      <c r="J235" s="76" t="inlineStr">
        <is>
          <t>បានបង់</t>
        </is>
      </c>
    </row>
    <row r="236" ht="18" customHeight="1" s="408">
      <c r="A236" s="481" t="inlineStr">
        <is>
          <t>Total 09/2014</t>
        </is>
      </c>
      <c r="B236" s="584" t="n"/>
      <c r="C236" s="573" t="n"/>
      <c r="D236" s="663">
        <f>SUM(D231:D235)</f>
        <v/>
      </c>
      <c r="E236" s="53" t="n"/>
      <c r="F236" s="54" t="n"/>
      <c r="G236" s="65" t="n"/>
      <c r="H236" s="664" t="inlineStr">
        <is>
          <t>USD</t>
        </is>
      </c>
      <c r="I236" s="663">
        <f>SUM(I231:I235)</f>
        <v/>
      </c>
      <c r="J236" s="7" t="n"/>
    </row>
    <row r="237" ht="21.9" customHeight="1" s="408">
      <c r="A237" s="481" t="inlineStr">
        <is>
          <t>Total 09/2014</t>
        </is>
      </c>
      <c r="B237" s="584" t="n"/>
      <c r="C237" s="573" t="n"/>
      <c r="D237" s="663" t="n"/>
      <c r="E237" s="53" t="n"/>
      <c r="F237" s="54" t="n"/>
      <c r="G237" s="665" t="n">
        <v>4076</v>
      </c>
      <c r="H237" s="664" t="inlineStr">
        <is>
          <t>RIEL</t>
        </is>
      </c>
      <c r="I237" s="666">
        <f>I236*G237</f>
        <v/>
      </c>
      <c r="J237" s="7" t="n"/>
    </row>
    <row r="238" ht="18" customHeight="1" s="408">
      <c r="A238" s="33" t="n">
        <v>1</v>
      </c>
      <c r="B238" s="24" t="inlineStr">
        <is>
          <t>038257</t>
        </is>
      </c>
      <c r="C238" s="670" t="n">
        <v>41918</v>
      </c>
      <c r="D238" s="662" t="n">
        <v>188.11</v>
      </c>
      <c r="E238" s="11" t="inlineStr">
        <is>
          <t>A P L Logistics</t>
        </is>
      </c>
      <c r="F238" s="10" t="inlineStr">
        <is>
          <t>100046460</t>
        </is>
      </c>
      <c r="G238" s="24" t="inlineStr">
        <is>
          <t>038257</t>
        </is>
      </c>
      <c r="H238" s="670" t="n">
        <v>41918</v>
      </c>
      <c r="I238" s="662" t="n">
        <v>188.11</v>
      </c>
      <c r="J238" s="76" t="inlineStr">
        <is>
          <t>បានបង់</t>
        </is>
      </c>
    </row>
    <row r="239" ht="18" customHeight="1" s="408">
      <c r="A239" s="33" t="n">
        <v>2</v>
      </c>
      <c r="B239" s="24" t="inlineStr">
        <is>
          <t>038326</t>
        </is>
      </c>
      <c r="C239" s="670" t="n">
        <v>41925</v>
      </c>
      <c r="D239" s="662" t="n">
        <v>139.83</v>
      </c>
      <c r="E239" s="11" t="inlineStr">
        <is>
          <t>A P L Logistics</t>
        </is>
      </c>
      <c r="F239" s="10" t="inlineStr">
        <is>
          <t>100046460</t>
        </is>
      </c>
      <c r="G239" s="24" t="inlineStr">
        <is>
          <t>038326</t>
        </is>
      </c>
      <c r="H239" s="670" t="n">
        <v>41925</v>
      </c>
      <c r="I239" s="662" t="n">
        <v>139.83</v>
      </c>
      <c r="J239" s="76" t="inlineStr">
        <is>
          <t>បានបង់</t>
        </is>
      </c>
    </row>
    <row r="240" ht="18" customHeight="1" s="408">
      <c r="A240" s="33" t="n">
        <v>3</v>
      </c>
      <c r="B240" s="24" t="inlineStr">
        <is>
          <t>038462</t>
        </is>
      </c>
      <c r="C240" s="670" t="n">
        <v>41932</v>
      </c>
      <c r="D240" s="662" t="n">
        <v>129.9</v>
      </c>
      <c r="E240" s="11" t="inlineStr">
        <is>
          <t>A P L Logistics</t>
        </is>
      </c>
      <c r="F240" s="10" t="inlineStr">
        <is>
          <t>100046460</t>
        </is>
      </c>
      <c r="G240" s="24" t="inlineStr">
        <is>
          <t>038462</t>
        </is>
      </c>
      <c r="H240" s="670" t="n">
        <v>41932</v>
      </c>
      <c r="I240" s="662" t="n">
        <v>129.9</v>
      </c>
      <c r="J240" s="76" t="inlineStr">
        <is>
          <t>បានបង់</t>
        </is>
      </c>
    </row>
    <row r="241" ht="18" customHeight="1" s="408">
      <c r="A241" s="33" t="n">
        <v>4</v>
      </c>
      <c r="B241" s="24" t="inlineStr">
        <is>
          <t>038518</t>
        </is>
      </c>
      <c r="C241" s="670" t="n">
        <v>41939</v>
      </c>
      <c r="D241" s="662" t="n">
        <v>145.83</v>
      </c>
      <c r="E241" s="11" t="inlineStr">
        <is>
          <t>A P L Logistics</t>
        </is>
      </c>
      <c r="F241" s="10" t="inlineStr">
        <is>
          <t>100046460</t>
        </is>
      </c>
      <c r="G241" s="24" t="inlineStr">
        <is>
          <t>038518</t>
        </is>
      </c>
      <c r="H241" s="670" t="n">
        <v>41939</v>
      </c>
      <c r="I241" s="662" t="n">
        <v>145.83</v>
      </c>
      <c r="J241" s="76" t="inlineStr">
        <is>
          <t>បានបង់</t>
        </is>
      </c>
    </row>
    <row r="242" ht="18" customHeight="1" s="408">
      <c r="A242" s="481" t="inlineStr">
        <is>
          <t>Total 10/2014</t>
        </is>
      </c>
      <c r="B242" s="584" t="n"/>
      <c r="C242" s="573" t="n"/>
      <c r="D242" s="663">
        <f>SUM(D238:D241)</f>
        <v/>
      </c>
      <c r="E242" s="53" t="n"/>
      <c r="F242" s="54" t="n"/>
      <c r="G242" s="65" t="n"/>
      <c r="H242" s="664" t="inlineStr">
        <is>
          <t>USD</t>
        </is>
      </c>
      <c r="I242" s="663">
        <f>SUM(I238:I241)</f>
        <v/>
      </c>
      <c r="J242" s="7" t="n"/>
    </row>
    <row r="243" ht="21.9" customHeight="1" s="408">
      <c r="A243" s="481" t="inlineStr">
        <is>
          <t>Total 10/2014</t>
        </is>
      </c>
      <c r="B243" s="584" t="n"/>
      <c r="C243" s="573" t="n"/>
      <c r="D243" s="663" t="n"/>
      <c r="E243" s="53" t="n"/>
      <c r="F243" s="54" t="n"/>
      <c r="G243" s="665" t="n">
        <v>4081</v>
      </c>
      <c r="H243" s="664" t="inlineStr">
        <is>
          <t>RIEL</t>
        </is>
      </c>
      <c r="I243" s="666">
        <f>I242*G243</f>
        <v/>
      </c>
      <c r="J243" s="7" t="n"/>
    </row>
    <row r="244" ht="18" customHeight="1" s="408">
      <c r="A244" s="33" t="n">
        <v>1</v>
      </c>
      <c r="B244" s="24" t="inlineStr">
        <is>
          <t>038602</t>
        </is>
      </c>
      <c r="C244" s="670" t="n">
        <v>41946</v>
      </c>
      <c r="D244" s="662" t="n">
        <v>173.73</v>
      </c>
      <c r="E244" s="11" t="inlineStr">
        <is>
          <t>A P L Logistics</t>
        </is>
      </c>
      <c r="F244" s="10" t="inlineStr">
        <is>
          <t>100046460</t>
        </is>
      </c>
      <c r="G244" s="24" t="inlineStr">
        <is>
          <t>038602</t>
        </is>
      </c>
      <c r="H244" s="670" t="n">
        <v>41946</v>
      </c>
      <c r="I244" s="662" t="n">
        <v>173.73</v>
      </c>
      <c r="J244" s="76" t="inlineStr">
        <is>
          <t>បានបង់</t>
        </is>
      </c>
    </row>
    <row r="245" ht="18" customHeight="1" s="408">
      <c r="A245" s="33" t="n">
        <v>2</v>
      </c>
      <c r="B245" s="24" t="inlineStr">
        <is>
          <t>038580</t>
        </is>
      </c>
      <c r="C245" s="670" t="n">
        <v>41946</v>
      </c>
      <c r="D245" s="662" t="n">
        <v>1.5</v>
      </c>
      <c r="E245" s="10" t="inlineStr">
        <is>
          <t>APL Logistics</t>
        </is>
      </c>
      <c r="F245" s="24" t="inlineStr">
        <is>
          <t>100046460</t>
        </is>
      </c>
      <c r="G245" s="24" t="inlineStr">
        <is>
          <t>038580</t>
        </is>
      </c>
      <c r="H245" s="670" t="n">
        <v>41946</v>
      </c>
      <c r="I245" s="662" t="n">
        <v>1.5</v>
      </c>
      <c r="J245" s="76" t="inlineStr">
        <is>
          <t>បានបង់</t>
        </is>
      </c>
    </row>
    <row r="246" ht="18" customHeight="1" s="408">
      <c r="A246" s="33" t="n">
        <v>3</v>
      </c>
      <c r="B246" s="24" t="inlineStr">
        <is>
          <t>038665</t>
        </is>
      </c>
      <c r="C246" s="670" t="n">
        <v>41953</v>
      </c>
      <c r="D246" s="662" t="n">
        <v>35.45</v>
      </c>
      <c r="E246" s="10" t="inlineStr">
        <is>
          <t>A P L Logistics</t>
        </is>
      </c>
      <c r="F246" s="24" t="inlineStr">
        <is>
          <t>100046460</t>
        </is>
      </c>
      <c r="G246" s="24" t="inlineStr">
        <is>
          <t>038665</t>
        </is>
      </c>
      <c r="H246" s="670" t="n">
        <v>41953</v>
      </c>
      <c r="I246" s="662" t="n">
        <v>35.45</v>
      </c>
      <c r="J246" s="76" t="inlineStr">
        <is>
          <t>បានបង់</t>
        </is>
      </c>
    </row>
    <row r="247" ht="18" customHeight="1" s="408">
      <c r="A247" s="33" t="n">
        <v>4</v>
      </c>
      <c r="B247" s="24" t="inlineStr">
        <is>
          <t>038718</t>
        </is>
      </c>
      <c r="C247" s="670" t="n">
        <v>41960</v>
      </c>
      <c r="D247" s="662" t="n">
        <v>24.26</v>
      </c>
      <c r="E247" s="10" t="inlineStr">
        <is>
          <t>A P L Logistics</t>
        </is>
      </c>
      <c r="F247" s="24" t="inlineStr">
        <is>
          <t>100046460</t>
        </is>
      </c>
      <c r="G247" s="24" t="inlineStr">
        <is>
          <t>038718</t>
        </is>
      </c>
      <c r="H247" s="670" t="n">
        <v>41960</v>
      </c>
      <c r="I247" s="662" t="n">
        <v>24.26</v>
      </c>
      <c r="J247" s="76" t="inlineStr">
        <is>
          <t>បានបង់</t>
        </is>
      </c>
    </row>
    <row r="248" ht="18" customHeight="1" s="408">
      <c r="A248" s="33" t="n">
        <v>5</v>
      </c>
      <c r="B248" s="24" t="inlineStr">
        <is>
          <t>038802</t>
        </is>
      </c>
      <c r="C248" s="670" t="n">
        <v>41967</v>
      </c>
      <c r="D248" s="662" t="n">
        <v>24.9</v>
      </c>
      <c r="E248" s="10" t="inlineStr">
        <is>
          <t>A P L Logistics</t>
        </is>
      </c>
      <c r="F248" s="24" t="inlineStr">
        <is>
          <t>100046460</t>
        </is>
      </c>
      <c r="G248" s="24" t="inlineStr">
        <is>
          <t>038802</t>
        </is>
      </c>
      <c r="H248" s="670" t="n">
        <v>41967</v>
      </c>
      <c r="I248" s="662" t="n">
        <v>24.9</v>
      </c>
      <c r="J248" s="76" t="inlineStr">
        <is>
          <t>បានបង់</t>
        </is>
      </c>
    </row>
    <row r="249" ht="18" customHeight="1" s="408">
      <c r="A249" s="481" t="inlineStr">
        <is>
          <t>Total 11/2014</t>
        </is>
      </c>
      <c r="B249" s="584" t="n"/>
      <c r="C249" s="573" t="n"/>
      <c r="D249" s="663">
        <f>SUM(D244:D248)</f>
        <v/>
      </c>
      <c r="E249" s="54" t="n"/>
      <c r="F249" s="65" t="n"/>
      <c r="G249" s="65" t="n"/>
      <c r="H249" s="664" t="inlineStr">
        <is>
          <t>USD</t>
        </is>
      </c>
      <c r="I249" s="663">
        <f>SUM(I244:I248)</f>
        <v/>
      </c>
      <c r="J249" s="7" t="n"/>
    </row>
    <row r="250" ht="21.9" customHeight="1" s="408">
      <c r="A250" s="481" t="inlineStr">
        <is>
          <t>Total 11/2014</t>
        </is>
      </c>
      <c r="B250" s="584" t="n"/>
      <c r="C250" s="573" t="n"/>
      <c r="D250" s="663" t="n"/>
      <c r="E250" s="54" t="n"/>
      <c r="F250" s="65" t="n"/>
      <c r="G250" s="665" t="n">
        <v>4068</v>
      </c>
      <c r="H250" s="664" t="inlineStr">
        <is>
          <t>RIEL</t>
        </is>
      </c>
      <c r="I250" s="666">
        <f>I249*G250</f>
        <v/>
      </c>
      <c r="J250" s="7" t="n"/>
    </row>
    <row r="251" ht="18" customHeight="1" s="408">
      <c r="A251" s="33" t="n">
        <v>1</v>
      </c>
      <c r="B251" s="24" t="inlineStr">
        <is>
          <t>038865</t>
        </is>
      </c>
      <c r="C251" s="670" t="n">
        <v>41974</v>
      </c>
      <c r="D251" s="662" t="n">
        <v>163.69</v>
      </c>
      <c r="E251" s="11" t="inlineStr">
        <is>
          <t>A P L Logistics</t>
        </is>
      </c>
      <c r="F251" s="10" t="inlineStr">
        <is>
          <t>100046460</t>
        </is>
      </c>
      <c r="G251" s="24" t="inlineStr">
        <is>
          <t>038865</t>
        </is>
      </c>
      <c r="H251" s="670" t="n">
        <v>41974</v>
      </c>
      <c r="I251" s="662" t="n">
        <v>163.69</v>
      </c>
      <c r="J251" s="76" t="inlineStr">
        <is>
          <t>បានបង់</t>
        </is>
      </c>
    </row>
    <row r="252" ht="18" customHeight="1" s="408">
      <c r="A252" s="33" t="n">
        <v>2</v>
      </c>
      <c r="B252" s="24" t="inlineStr">
        <is>
          <t>038930</t>
        </is>
      </c>
      <c r="C252" s="670" t="n">
        <v>41979</v>
      </c>
      <c r="D252" s="662" t="n">
        <v>340.66</v>
      </c>
      <c r="E252" s="11" t="inlineStr">
        <is>
          <t>A P L Logistics</t>
        </is>
      </c>
      <c r="F252" s="10" t="inlineStr">
        <is>
          <t>100046460</t>
        </is>
      </c>
      <c r="G252" s="24" t="inlineStr">
        <is>
          <t>038930</t>
        </is>
      </c>
      <c r="H252" s="670" t="n">
        <v>41979</v>
      </c>
      <c r="I252" s="662" t="n">
        <v>340.66</v>
      </c>
      <c r="J252" s="76" t="inlineStr">
        <is>
          <t>បានបង់</t>
        </is>
      </c>
    </row>
    <row r="253" ht="18" customHeight="1" s="408">
      <c r="A253" s="33" t="n">
        <v>3</v>
      </c>
      <c r="B253" s="24" t="inlineStr">
        <is>
          <t>038997</t>
        </is>
      </c>
      <c r="C253" s="670" t="n">
        <v>41988</v>
      </c>
      <c r="D253" s="662" t="n">
        <v>232.83</v>
      </c>
      <c r="E253" s="11" t="inlineStr">
        <is>
          <t>A P L Logistics</t>
        </is>
      </c>
      <c r="F253" s="10" t="inlineStr">
        <is>
          <t>100046460</t>
        </is>
      </c>
      <c r="G253" s="24" t="inlineStr">
        <is>
          <t>038997</t>
        </is>
      </c>
      <c r="H253" s="670" t="n">
        <v>41988</v>
      </c>
      <c r="I253" s="662" t="n">
        <v>232.83</v>
      </c>
      <c r="J253" s="76" t="inlineStr">
        <is>
          <t>បានបង់</t>
        </is>
      </c>
    </row>
    <row r="254" ht="18" customHeight="1" s="408">
      <c r="A254" s="33" t="n">
        <v>4</v>
      </c>
      <c r="B254" s="24" t="inlineStr">
        <is>
          <t>039070</t>
        </is>
      </c>
      <c r="C254" s="670" t="n">
        <v>41995</v>
      </c>
      <c r="D254" s="662" t="n">
        <v>78.95</v>
      </c>
      <c r="E254" s="10" t="inlineStr">
        <is>
          <t>A P L Logistics</t>
        </is>
      </c>
      <c r="F254" s="24" t="inlineStr">
        <is>
          <t>100046460</t>
        </is>
      </c>
      <c r="G254" s="24" t="inlineStr">
        <is>
          <t>039070</t>
        </is>
      </c>
      <c r="H254" s="670" t="n">
        <v>41995</v>
      </c>
      <c r="I254" s="662" t="n">
        <v>78.95</v>
      </c>
      <c r="J254" s="76" t="inlineStr">
        <is>
          <t>បានបង់</t>
        </is>
      </c>
    </row>
    <row r="255" ht="18" customHeight="1" s="408">
      <c r="A255" s="33" t="n">
        <v>5</v>
      </c>
      <c r="B255" s="24" t="inlineStr">
        <is>
          <t>039124</t>
        </is>
      </c>
      <c r="C255" s="670" t="n">
        <v>42002</v>
      </c>
      <c r="D255" s="662" t="n">
        <v>304.68</v>
      </c>
      <c r="E255" s="11" t="inlineStr">
        <is>
          <t>A P L Logistics</t>
        </is>
      </c>
      <c r="F255" s="10" t="inlineStr">
        <is>
          <t>100046460</t>
        </is>
      </c>
      <c r="G255" s="24" t="inlineStr">
        <is>
          <t>039124</t>
        </is>
      </c>
      <c r="H255" s="670" t="n">
        <v>42002</v>
      </c>
      <c r="I255" s="662" t="n">
        <v>304.68</v>
      </c>
      <c r="J255" s="76" t="inlineStr">
        <is>
          <t>បានបង់</t>
        </is>
      </c>
    </row>
    <row r="256" ht="18" customHeight="1" s="408">
      <c r="A256" s="481" t="inlineStr">
        <is>
          <t>Total 12/2014</t>
        </is>
      </c>
      <c r="B256" s="584" t="n"/>
      <c r="C256" s="573" t="n"/>
      <c r="D256" s="663">
        <f>SUM(D251:D255)</f>
        <v/>
      </c>
      <c r="E256" s="53" t="n"/>
      <c r="F256" s="54" t="n"/>
      <c r="G256" s="65" t="n"/>
      <c r="H256" s="664" t="inlineStr">
        <is>
          <t>USD</t>
        </is>
      </c>
      <c r="I256" s="663">
        <f>SUM(I251:I255)</f>
        <v/>
      </c>
      <c r="J256" s="7" t="n"/>
    </row>
    <row r="257" ht="21.9" customHeight="1" s="408">
      <c r="A257" s="481" t="inlineStr">
        <is>
          <t>Total 12/2014</t>
        </is>
      </c>
      <c r="B257" s="584" t="n"/>
      <c r="C257" s="573" t="n"/>
      <c r="D257" s="663" t="n"/>
      <c r="E257" s="53" t="n"/>
      <c r="F257" s="54" t="n"/>
      <c r="G257" s="665" t="n">
        <v>4062</v>
      </c>
      <c r="H257" s="664" t="inlineStr">
        <is>
          <t>RIEL</t>
        </is>
      </c>
      <c r="I257" s="666">
        <f>I256*G257</f>
        <v/>
      </c>
      <c r="J257" s="7" t="n"/>
    </row>
    <row r="258" ht="18" customHeight="1" s="408">
      <c r="A258" s="33" t="n">
        <v>1</v>
      </c>
      <c r="B258" s="24" t="inlineStr">
        <is>
          <t>039195</t>
        </is>
      </c>
      <c r="C258" s="670" t="n">
        <v>42009</v>
      </c>
      <c r="D258" s="662" t="n">
        <v>339.54</v>
      </c>
      <c r="E258" s="11" t="inlineStr">
        <is>
          <t>A P L Logistics</t>
        </is>
      </c>
      <c r="F258" s="10" t="inlineStr">
        <is>
          <t>100046460</t>
        </is>
      </c>
      <c r="G258" s="24" t="inlineStr">
        <is>
          <t>039195</t>
        </is>
      </c>
      <c r="H258" s="670" t="n">
        <v>42009</v>
      </c>
      <c r="I258" s="662" t="n">
        <v>339.54</v>
      </c>
      <c r="J258" s="76" t="inlineStr">
        <is>
          <t>បានបង់</t>
        </is>
      </c>
    </row>
    <row r="259" ht="18" customHeight="1" s="408">
      <c r="A259" s="33" t="n">
        <v>2</v>
      </c>
      <c r="B259" s="24" t="inlineStr">
        <is>
          <t>039258</t>
        </is>
      </c>
      <c r="C259" s="670" t="n">
        <v>42016</v>
      </c>
      <c r="D259" s="662" t="n">
        <v>301.45</v>
      </c>
      <c r="E259" s="11" t="inlineStr">
        <is>
          <t>A P L Logistics</t>
        </is>
      </c>
      <c r="F259" s="10" t="inlineStr">
        <is>
          <t>100046460</t>
        </is>
      </c>
      <c r="G259" s="24" t="inlineStr">
        <is>
          <t>039258</t>
        </is>
      </c>
      <c r="H259" s="670" t="n">
        <v>42016</v>
      </c>
      <c r="I259" s="662" t="n">
        <v>301.45</v>
      </c>
      <c r="J259" s="76" t="inlineStr">
        <is>
          <t>បានបង់</t>
        </is>
      </c>
    </row>
    <row r="260" ht="18" customHeight="1" s="408">
      <c r="A260" s="33" t="n">
        <v>3</v>
      </c>
      <c r="B260" s="24" t="inlineStr">
        <is>
          <t>039323</t>
        </is>
      </c>
      <c r="C260" s="670" t="n">
        <v>42024</v>
      </c>
      <c r="D260" s="662" t="n">
        <v>446.06</v>
      </c>
      <c r="E260" s="11" t="inlineStr">
        <is>
          <t>A P L Logistics</t>
        </is>
      </c>
      <c r="F260" s="10" t="inlineStr">
        <is>
          <t>100046460</t>
        </is>
      </c>
      <c r="G260" s="24" t="inlineStr">
        <is>
          <t>039323</t>
        </is>
      </c>
      <c r="H260" s="670" t="n">
        <v>42024</v>
      </c>
      <c r="I260" s="662" t="n">
        <v>446.06</v>
      </c>
      <c r="J260" s="76" t="inlineStr">
        <is>
          <t>បានបង់</t>
        </is>
      </c>
    </row>
    <row r="261" ht="18" customHeight="1" s="408">
      <c r="A261" s="33" t="n">
        <v>4</v>
      </c>
      <c r="B261" s="24" t="inlineStr">
        <is>
          <t>039386</t>
        </is>
      </c>
      <c r="C261" s="670" t="n">
        <v>42030</v>
      </c>
      <c r="D261" s="662" t="n">
        <v>614.58</v>
      </c>
      <c r="E261" s="11" t="inlineStr">
        <is>
          <t>A P L Logistics</t>
        </is>
      </c>
      <c r="F261" s="10" t="inlineStr">
        <is>
          <t>100046460</t>
        </is>
      </c>
      <c r="G261" s="24" t="inlineStr">
        <is>
          <t>039386</t>
        </is>
      </c>
      <c r="H261" s="670" t="n">
        <v>42030</v>
      </c>
      <c r="I261" s="662" t="n">
        <v>614.58</v>
      </c>
      <c r="J261" s="76" t="inlineStr">
        <is>
          <t>បានបង់</t>
        </is>
      </c>
    </row>
    <row r="262" ht="18" customHeight="1" s="408">
      <c r="A262" s="481" t="inlineStr">
        <is>
          <t>Total 01/2015</t>
        </is>
      </c>
      <c r="B262" s="584" t="n"/>
      <c r="C262" s="573" t="n"/>
      <c r="D262" s="663">
        <f>SUM(D258:D261)</f>
        <v/>
      </c>
      <c r="E262" s="53" t="n"/>
      <c r="F262" s="54" t="n"/>
      <c r="G262" s="65" t="n"/>
      <c r="H262" s="664" t="inlineStr">
        <is>
          <t>USD</t>
        </is>
      </c>
      <c r="I262" s="663">
        <f>SUM(I258:I261)</f>
        <v/>
      </c>
      <c r="J262" s="7" t="n"/>
    </row>
    <row r="263" ht="21.9" customHeight="1" s="408">
      <c r="A263" s="481" t="inlineStr">
        <is>
          <t>Total 01/2015</t>
        </is>
      </c>
      <c r="B263" s="584" t="n"/>
      <c r="C263" s="573" t="n"/>
      <c r="D263" s="663" t="n"/>
      <c r="E263" s="53" t="n"/>
      <c r="F263" s="54" t="n"/>
      <c r="G263" s="665" t="n">
        <v>4066</v>
      </c>
      <c r="H263" s="664" t="inlineStr">
        <is>
          <t>RIEL</t>
        </is>
      </c>
      <c r="I263" s="666">
        <f>I262*G263</f>
        <v/>
      </c>
      <c r="J263" s="7" t="n"/>
    </row>
    <row r="264" ht="18" customHeight="1" s="408">
      <c r="A264" s="33" t="n">
        <v>1</v>
      </c>
      <c r="B264" s="24" t="inlineStr">
        <is>
          <t>039449</t>
        </is>
      </c>
      <c r="C264" s="670" t="n">
        <v>42037</v>
      </c>
      <c r="D264" s="662" t="n">
        <v>314.24</v>
      </c>
      <c r="E264" s="11" t="inlineStr">
        <is>
          <t>A P L Logistics</t>
        </is>
      </c>
      <c r="F264" s="10" t="inlineStr">
        <is>
          <t>100046460</t>
        </is>
      </c>
      <c r="G264" s="24" t="inlineStr">
        <is>
          <t>039449</t>
        </is>
      </c>
      <c r="H264" s="670" t="n">
        <v>42037</v>
      </c>
      <c r="I264" s="662" t="n">
        <v>314.24</v>
      </c>
      <c r="J264" s="76" t="inlineStr">
        <is>
          <t>បានបង់</t>
        </is>
      </c>
    </row>
    <row r="265" ht="18" customHeight="1" s="408">
      <c r="A265" s="33" t="n">
        <v>2</v>
      </c>
      <c r="B265" s="24" t="inlineStr">
        <is>
          <t>039520</t>
        </is>
      </c>
      <c r="C265" s="670" t="n">
        <v>42044</v>
      </c>
      <c r="D265" s="662" t="n">
        <v>61.89</v>
      </c>
      <c r="E265" s="10" t="inlineStr">
        <is>
          <t>A P L Logistics</t>
        </is>
      </c>
      <c r="F265" s="24" t="inlineStr">
        <is>
          <t>100046460</t>
        </is>
      </c>
      <c r="G265" s="24" t="inlineStr">
        <is>
          <t>039520</t>
        </is>
      </c>
      <c r="H265" s="670" t="n">
        <v>42044</v>
      </c>
      <c r="I265" s="662" t="n">
        <v>61.89</v>
      </c>
      <c r="J265" s="76" t="inlineStr">
        <is>
          <t>បានបង់</t>
        </is>
      </c>
    </row>
    <row r="266" ht="18" customHeight="1" s="408">
      <c r="A266" s="33" t="n">
        <v>3</v>
      </c>
      <c r="B266" s="24" t="inlineStr">
        <is>
          <t>039615</t>
        </is>
      </c>
      <c r="C266" s="670" t="n">
        <v>42051</v>
      </c>
      <c r="D266" s="662" t="n">
        <v>228.53</v>
      </c>
      <c r="E266" s="11" t="inlineStr">
        <is>
          <t>A P L Logistics</t>
        </is>
      </c>
      <c r="F266" s="10" t="inlineStr">
        <is>
          <t>100046460</t>
        </is>
      </c>
      <c r="G266" s="24" t="inlineStr">
        <is>
          <t>039615</t>
        </is>
      </c>
      <c r="H266" s="670" t="n">
        <v>42051</v>
      </c>
      <c r="I266" s="662" t="n">
        <v>228.53</v>
      </c>
      <c r="J266" s="76" t="inlineStr">
        <is>
          <t>បានបង់</t>
        </is>
      </c>
    </row>
    <row r="267" ht="18" customHeight="1" s="408">
      <c r="A267" s="33" t="n">
        <v>4</v>
      </c>
      <c r="B267" s="28" t="inlineStr">
        <is>
          <t>039696</t>
        </is>
      </c>
      <c r="C267" s="671" t="n">
        <v>42059</v>
      </c>
      <c r="D267" s="672" t="n">
        <v>177.34</v>
      </c>
      <c r="E267" s="11" t="inlineStr">
        <is>
          <t>A P L Logistics</t>
        </is>
      </c>
      <c r="F267" s="10" t="inlineStr">
        <is>
          <t>100046460</t>
        </is>
      </c>
      <c r="G267" s="28" t="inlineStr">
        <is>
          <t>039696</t>
        </is>
      </c>
      <c r="H267" s="671" t="n">
        <v>42059</v>
      </c>
      <c r="I267" s="672" t="n">
        <v>177.34</v>
      </c>
      <c r="J267" s="76" t="inlineStr">
        <is>
          <t>បានបង់</t>
        </is>
      </c>
    </row>
    <row r="268" ht="18" customHeight="1" s="408">
      <c r="A268" s="481" t="inlineStr">
        <is>
          <t>Total 02/2015</t>
        </is>
      </c>
      <c r="B268" s="584" t="n"/>
      <c r="C268" s="573" t="n"/>
      <c r="D268" s="673">
        <f>SUM(D264:D267)</f>
        <v/>
      </c>
      <c r="E268" s="53" t="n"/>
      <c r="F268" s="54" t="n"/>
      <c r="G268" s="67" t="n"/>
      <c r="H268" s="664" t="inlineStr">
        <is>
          <t>USD</t>
        </is>
      </c>
      <c r="I268" s="673">
        <f>SUM(I264:I267)</f>
        <v/>
      </c>
      <c r="J268" s="674" t="n"/>
    </row>
    <row r="269" ht="21.9" customHeight="1" s="408">
      <c r="A269" s="481" t="inlineStr">
        <is>
          <t>Total 02/2015</t>
        </is>
      </c>
      <c r="B269" s="584" t="n"/>
      <c r="C269" s="573" t="n"/>
      <c r="D269" s="673" t="n"/>
      <c r="E269" s="53" t="n"/>
      <c r="F269" s="54" t="n"/>
      <c r="G269" s="665" t="n">
        <v>4046</v>
      </c>
      <c r="H269" s="664" t="inlineStr">
        <is>
          <t>RIEL</t>
        </is>
      </c>
      <c r="I269" s="666">
        <f>I268*G269</f>
        <v/>
      </c>
      <c r="J269" s="31" t="n"/>
    </row>
    <row r="270" ht="23.4" customHeight="1" s="408">
      <c r="A270" s="481" t="inlineStr">
        <is>
          <t>TOTAL 7/2012-02/2015</t>
        </is>
      </c>
      <c r="B270" s="584" t="n"/>
      <c r="C270" s="573" t="n"/>
      <c r="D270" s="675" t="n"/>
      <c r="E270" s="676" t="n"/>
      <c r="F270" s="676" t="n"/>
      <c r="G270" s="677" t="n"/>
      <c r="H270" s="664" t="inlineStr">
        <is>
          <t>USD</t>
        </is>
      </c>
      <c r="I270" s="678">
        <f>I18+I25+I32+I37+I43+I52+I64+I74+I85+I97+I107+I116+I128+I135+I147+I156+I161+I169+I178+I188+I197+I204+I211+I218+I223+I229+I236+I242+I249+I256+I262+I268</f>
        <v/>
      </c>
      <c r="J270" s="74" t="inlineStr">
        <is>
          <t>បានបង់</t>
        </is>
      </c>
    </row>
    <row r="271" ht="24" customHeight="1" s="408">
      <c r="A271" s="481" t="inlineStr">
        <is>
          <t>TOTAL 7/2012-02/2015</t>
        </is>
      </c>
      <c r="B271" s="584" t="n"/>
      <c r="C271" s="573" t="n"/>
      <c r="D271" s="675" t="n"/>
      <c r="E271" s="676" t="n"/>
      <c r="F271" s="676" t="n"/>
      <c r="G271" s="677" t="n"/>
      <c r="H271" s="664" t="inlineStr">
        <is>
          <t>RIEL</t>
        </is>
      </c>
      <c r="I271" s="679">
        <f>I19+I26+I33+I38+I44+I53+I65+I75+I86+I98+I108+I117+I129+I136+I148+I157+I162+I170+I179+I189+I198+I205+I212+I219+I224+I230+I237+I243+I250+I257+I263+I269</f>
        <v/>
      </c>
      <c r="J271" s="77" t="inlineStr">
        <is>
          <t>បានបង់</t>
        </is>
      </c>
    </row>
    <row r="272" ht="25.2" customHeight="1" s="408">
      <c r="A272" s="506" t="inlineStr">
        <is>
          <t>ចំនួនវិក្កយបត្រៈ ១៩៨</t>
        </is>
      </c>
      <c r="B272" s="584" t="n"/>
      <c r="C272" s="573" t="n"/>
      <c r="D272" s="506" t="inlineStr">
        <is>
          <t>បានផ្ទៀងផ្ទាត់ហើយក្រុមហ៊ុនបានប្រកាសបង់</t>
        </is>
      </c>
      <c r="E272" s="584" t="n"/>
      <c r="F272" s="584" t="n"/>
      <c r="G272" s="584" t="n"/>
      <c r="H272" s="573" t="n"/>
      <c r="I272" s="78" t="n">
        <v>100871023</v>
      </c>
      <c r="J272" s="79" t="inlineStr">
        <is>
          <t>រៀល</t>
        </is>
      </c>
    </row>
    <row r="273" ht="46.5" customHeight="1" s="408">
      <c r="A273" s="506" t="inlineStr">
        <is>
          <t>ចំនួនវិក្កយបត្រៈ ៤.១៣៧</t>
        </is>
      </c>
      <c r="B273" s="584" t="n"/>
      <c r="C273" s="573" t="n"/>
      <c r="D273" s="680" t="inlineStr">
        <is>
          <t>វិក្កយបត្រតូចៗមិនបានផ្ទៀងផ្ទាត់ ដោយជ្រើសរើសវិក្កយបត្រចំនួន ១៩៨​ ជាគំរូ ហើយអ្នកផ្គត់ផ្គង់បានប្រកាសហើយ</t>
        </is>
      </c>
      <c r="E273" s="584" t="n"/>
      <c r="F273" s="584" t="n"/>
      <c r="G273" s="584" t="n"/>
      <c r="H273" s="573" t="n"/>
      <c r="I273" s="681" t="n">
        <v>194826746</v>
      </c>
      <c r="J273" s="79" t="inlineStr">
        <is>
          <t>រៀល</t>
        </is>
      </c>
    </row>
    <row r="274" ht="25.2" customHeight="1" s="408">
      <c r="A274" s="79" t="inlineStr">
        <is>
          <t>ចំនួនវិក្កយបត្រសរុបៈ ៤.៣៣៥</t>
        </is>
      </c>
      <c r="B274" s="604" t="n"/>
      <c r="C274" s="605" t="n"/>
      <c r="D274" s="79" t="inlineStr">
        <is>
          <t>សរុបទឹកប្រាក់នៅសល់ត្រូវបង្វិលសង</t>
        </is>
      </c>
      <c r="E274" s="584" t="n"/>
      <c r="F274" s="584" t="n"/>
      <c r="G274" s="584" t="n"/>
      <c r="H274" s="573" t="n"/>
      <c r="I274" s="681" t="n">
        <v>295697769</v>
      </c>
      <c r="J274" s="79" t="inlineStr">
        <is>
          <t>រៀល</t>
        </is>
      </c>
    </row>
    <row r="275" ht="25.2" customHeight="1" s="408">
      <c r="A275" s="682" t="n"/>
      <c r="C275" s="683" t="n"/>
      <c r="D275" s="82" t="inlineStr">
        <is>
          <t>សរុបទឹកប្រាក់ស្នើសុំបង្វិលសងតាមទម្រង់ អតប ២០០</t>
        </is>
      </c>
      <c r="E275" s="584" t="n"/>
      <c r="F275" s="584" t="n"/>
      <c r="G275" s="584" t="n"/>
      <c r="H275" s="573" t="n"/>
      <c r="I275" s="684" t="n">
        <v>297231546</v>
      </c>
      <c r="J275" s="82" t="inlineStr">
        <is>
          <t>រៀល</t>
        </is>
      </c>
    </row>
    <row r="276" ht="25.2" customHeight="1" s="408">
      <c r="A276" s="682" t="n"/>
      <c r="C276" s="683" t="n"/>
      <c r="D276" s="82" t="inlineStr">
        <is>
          <t>សរុបទឹកប្រាក់កាត់ចេញ (ការគណនាខុស វិក្កយបត្រមិនត្រឹមត្រូវនិងកត់ត្រាស្ទួន )</t>
        </is>
      </c>
      <c r="E276" s="584" t="n"/>
      <c r="F276" s="584" t="n"/>
      <c r="G276" s="584" t="n"/>
      <c r="H276" s="573" t="n"/>
      <c r="I276" s="684" t="n">
        <v>1533777</v>
      </c>
      <c r="J276" s="82" t="inlineStr">
        <is>
          <t>រៀល</t>
        </is>
      </c>
    </row>
    <row r="277" ht="25.2" customHeight="1" s="408">
      <c r="A277" s="610" t="n"/>
      <c r="B277" s="590" t="n"/>
      <c r="C277" s="611" t="n"/>
      <c r="D277" s="82" t="inlineStr">
        <is>
          <t>សរុបទឹកប្រាក់នៅសល់ត្រូវបង្វិលសង</t>
        </is>
      </c>
      <c r="E277" s="584" t="n"/>
      <c r="F277" s="584" t="n"/>
      <c r="G277" s="584" t="n"/>
      <c r="H277" s="573" t="n"/>
      <c r="I277" s="684" t="n">
        <v>295697769</v>
      </c>
      <c r="J277" s="82" t="inlineStr">
        <is>
          <t>រៀល</t>
        </is>
      </c>
    </row>
    <row r="278" ht="25.2" customHeight="1" s="408">
      <c r="H278" s="504" t="inlineStr">
        <is>
          <t>ធ្វើនៅរាជធានីភ្នំពេញ.ថ្ងៃទី១១ ខែធ្នូ ឆ្នាំ២០១៥</t>
        </is>
      </c>
      <c r="I278" s="604" t="n"/>
      <c r="J278" s="604" t="n"/>
    </row>
    <row r="279" ht="25.2" customHeight="1" s="408">
      <c r="H279" s="505" t="inlineStr">
        <is>
          <t>មន្ត្រីសវនកម្ម</t>
        </is>
      </c>
    </row>
    <row r="286" ht="25.2" customHeight="1" s="408">
      <c r="H286" s="505" t="inlineStr">
        <is>
          <t>ហុង ចំរើន                          កៅ សុលាភ</t>
        </is>
      </c>
    </row>
  </sheetData>
  <mergeCells count="90">
    <mergeCell ref="A128:C128"/>
    <mergeCell ref="A37:C37"/>
    <mergeCell ref="A273:C273"/>
    <mergeCell ref="A136:C136"/>
    <mergeCell ref="E5:I5"/>
    <mergeCell ref="A26:C26"/>
    <mergeCell ref="D276:H276"/>
    <mergeCell ref="A272:C272"/>
    <mergeCell ref="H278:J278"/>
    <mergeCell ref="A179:C179"/>
    <mergeCell ref="J5:J7"/>
    <mergeCell ref="B6:D6"/>
    <mergeCell ref="A43:C43"/>
    <mergeCell ref="A156:C156"/>
    <mergeCell ref="A52:C52"/>
    <mergeCell ref="A229:C229"/>
    <mergeCell ref="D273:H273"/>
    <mergeCell ref="A148:C148"/>
    <mergeCell ref="A270:C270"/>
    <mergeCell ref="A157:C157"/>
    <mergeCell ref="A256:C256"/>
    <mergeCell ref="A205:C205"/>
    <mergeCell ref="G6:I6"/>
    <mergeCell ref="A75:C75"/>
    <mergeCell ref="A198:C198"/>
    <mergeCell ref="A5:A7"/>
    <mergeCell ref="D275:H275"/>
    <mergeCell ref="A263:C263"/>
    <mergeCell ref="A32:C32"/>
    <mergeCell ref="A219:C219"/>
    <mergeCell ref="A97:C97"/>
    <mergeCell ref="A224:C224"/>
    <mergeCell ref="D277:H277"/>
    <mergeCell ref="A38:C38"/>
    <mergeCell ref="A147:C147"/>
    <mergeCell ref="A3:E3"/>
    <mergeCell ref="A161:C161"/>
    <mergeCell ref="B5:D5"/>
    <mergeCell ref="A170:C170"/>
    <mergeCell ref="A44:C44"/>
    <mergeCell ref="A249:C249"/>
    <mergeCell ref="A211:C211"/>
    <mergeCell ref="A257:C257"/>
    <mergeCell ref="A250:C250"/>
    <mergeCell ref="A197:C197"/>
    <mergeCell ref="A237:C237"/>
    <mergeCell ref="A2:J2"/>
    <mergeCell ref="A212:C212"/>
    <mergeCell ref="A243:C243"/>
    <mergeCell ref="A25:C25"/>
    <mergeCell ref="A108:C108"/>
    <mergeCell ref="A236:C236"/>
    <mergeCell ref="A189:C189"/>
    <mergeCell ref="A18:C18"/>
    <mergeCell ref="A223:C223"/>
    <mergeCell ref="A204:C204"/>
    <mergeCell ref="A86:C86"/>
    <mergeCell ref="A188:C188"/>
    <mergeCell ref="A135:C135"/>
    <mergeCell ref="A262:C262"/>
    <mergeCell ref="D272:H272"/>
    <mergeCell ref="D274:H274"/>
    <mergeCell ref="A64:C64"/>
    <mergeCell ref="A98:C98"/>
    <mergeCell ref="A169:C169"/>
    <mergeCell ref="A107:C107"/>
    <mergeCell ref="A178:C178"/>
    <mergeCell ref="H286:J286"/>
    <mergeCell ref="A162:C162"/>
    <mergeCell ref="F6:F7"/>
    <mergeCell ref="H279:J279"/>
    <mergeCell ref="A268:C268"/>
    <mergeCell ref="A274:C277"/>
    <mergeCell ref="A4:D4"/>
    <mergeCell ref="A74:C74"/>
    <mergeCell ref="A242:C242"/>
    <mergeCell ref="A129:C129"/>
    <mergeCell ref="A33:C33"/>
    <mergeCell ref="A85:C85"/>
    <mergeCell ref="A116:C116"/>
    <mergeCell ref="A269:C269"/>
    <mergeCell ref="E6:E7"/>
    <mergeCell ref="A53:C53"/>
    <mergeCell ref="A1:J1"/>
    <mergeCell ref="A19:C19"/>
    <mergeCell ref="A230:C230"/>
    <mergeCell ref="A117:C117"/>
    <mergeCell ref="A271:C271"/>
    <mergeCell ref="A65:C65"/>
    <mergeCell ref="A218:C218"/>
  </mergeCells>
  <printOptions horizontalCentered="1"/>
  <pageMargins left="0.2" right="0.2" top="0.35" bottom="0.5" header="0.5" footer="0.3"/>
  <pageSetup orientation="portrait" paperSize="9" scale="70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44"/>
  <sheetViews>
    <sheetView workbookViewId="0">
      <selection activeCell="C8" sqref="C8"/>
    </sheetView>
  </sheetViews>
  <sheetFormatPr baseColWidth="8" defaultRowHeight="13.2"/>
  <cols>
    <col width="7" customWidth="1" style="408" min="1" max="1"/>
    <col width="14.33203125" customWidth="1" style="408" min="2" max="2"/>
    <col width="10.6640625" customWidth="1" style="408" min="3" max="3"/>
    <col width="11.109375" customWidth="1" style="408" min="4" max="4"/>
    <col width="20.33203125" customWidth="1" style="408" min="5" max="5"/>
    <col width="13.109375" customWidth="1" style="408" min="6" max="6"/>
    <col width="10.6640625" customWidth="1" style="408" min="7" max="7"/>
    <col width="11.5546875" customWidth="1" style="408" min="8" max="8"/>
    <col width="12.6640625" customWidth="1" style="408" min="9" max="9"/>
    <col width="10.88671875" customWidth="1" style="408" min="10" max="10"/>
  </cols>
  <sheetData>
    <row r="1" ht="33.6" customHeight="1" s="408">
      <c r="A1" s="484" t="inlineStr">
        <is>
          <t>តារាងឧបសម្ព័ន្ឋ</t>
        </is>
      </c>
    </row>
    <row r="2" ht="33.6" customHeight="1" s="408">
      <c r="A2" s="484" t="inlineStr">
        <is>
          <t>តារាងប្រៀធៀបវិក្ក័យប័ត្រស្នើសុំបង្វិលសងអាករលើតំលៃបន្ថែម  ( Cross checking )</t>
        </is>
      </c>
    </row>
    <row r="3" ht="27" customHeight="1" s="408">
      <c r="A3" s="527" t="inlineStr">
        <is>
          <t>នាមករណ៏សហគ្រាស  :  Maurea Garments Corp</t>
        </is>
      </c>
      <c r="F3" s="4" t="n"/>
      <c r="G3" s="4" t="n"/>
      <c r="H3" s="4" t="n"/>
      <c r="I3" s="4" t="n"/>
      <c r="J3" s="4" t="n"/>
    </row>
    <row r="4" ht="27" customHeight="1" s="408">
      <c r="A4" s="486" t="inlineStr">
        <is>
          <t>VAT TIN  : 1 0 0 0 5 2 9 6 7</t>
        </is>
      </c>
      <c r="B4" s="590" t="n"/>
      <c r="C4" s="590" t="n"/>
      <c r="D4" s="590" t="n"/>
      <c r="E4" s="5" t="n"/>
      <c r="F4" s="4" t="n"/>
      <c r="G4" s="4" t="n"/>
      <c r="H4" s="4" t="n"/>
      <c r="I4" s="4" t="n"/>
      <c r="J4" s="4" t="n"/>
    </row>
    <row r="5" ht="25.2" customHeight="1" s="408">
      <c r="A5" s="685" t="inlineStr">
        <is>
          <t>ល.រ</t>
        </is>
      </c>
      <c r="B5" s="536" t="inlineStr">
        <is>
          <t>ក្រុមហ៊ុនស្នើសុំបង្វិលសង</t>
        </is>
      </c>
      <c r="C5" s="604" t="n"/>
      <c r="D5" s="605" t="n"/>
      <c r="E5" s="534" t="inlineStr">
        <is>
          <t>អ្នកផ្គត់ផ្គង់</t>
        </is>
      </c>
      <c r="F5" s="584" t="n"/>
      <c r="G5" s="584" t="n"/>
      <c r="H5" s="584" t="n"/>
      <c r="I5" s="573" t="n"/>
      <c r="J5" s="543" t="inlineStr">
        <is>
          <t>ផ្សេងៗ</t>
        </is>
      </c>
    </row>
    <row r="6" ht="25.2" customHeight="1" s="408">
      <c r="A6" s="618" t="n"/>
      <c r="B6" s="538" t="inlineStr">
        <is>
          <t>វិក័យបត្រ័</t>
        </is>
      </c>
      <c r="C6" s="590" t="n"/>
      <c r="D6" s="611" t="n"/>
      <c r="E6" s="542" t="inlineStr">
        <is>
          <t>សហគ្រាស</t>
        </is>
      </c>
      <c r="F6" s="543" t="inlineStr">
        <is>
          <t>លេខអតប</t>
        </is>
      </c>
      <c r="G6" s="538" t="inlineStr">
        <is>
          <t>វិក័យបត្រ័</t>
        </is>
      </c>
      <c r="H6" s="590" t="n"/>
      <c r="I6" s="611" t="n"/>
      <c r="J6" s="618" t="n"/>
    </row>
    <row r="7" ht="25.2" customHeight="1" s="408">
      <c r="A7" s="574" t="n"/>
      <c r="B7" s="538" t="inlineStr">
        <is>
          <t>លេខ</t>
        </is>
      </c>
      <c r="C7" s="538" t="inlineStr">
        <is>
          <t>ថ្ងៃទី ខែ ឆ្នាំ</t>
        </is>
      </c>
      <c r="D7" s="538" t="inlineStr">
        <is>
          <t>ប្រាក់អាករ</t>
        </is>
      </c>
      <c r="E7" s="611" t="n"/>
      <c r="F7" s="574" t="n"/>
      <c r="G7" s="538" t="inlineStr">
        <is>
          <t>លេខ</t>
        </is>
      </c>
      <c r="H7" s="538" t="inlineStr">
        <is>
          <t>ថ្ងៃទី ខែ ឆ្នាំ</t>
        </is>
      </c>
      <c r="I7" s="538" t="inlineStr">
        <is>
          <t>ប្រាក់អាករ</t>
        </is>
      </c>
      <c r="J7" s="574" t="n"/>
    </row>
    <row r="8" ht="18" customHeight="1" s="408">
      <c r="A8" s="33" t="n">
        <v>1</v>
      </c>
      <c r="B8" s="24" t="inlineStr">
        <is>
          <t>07-0360</t>
        </is>
      </c>
      <c r="C8" s="670" t="n">
        <v>41842</v>
      </c>
      <c r="D8" s="662" t="n">
        <v>41.5</v>
      </c>
      <c r="E8" s="10" t="inlineStr">
        <is>
          <t>YUSEN LOGISTICS</t>
        </is>
      </c>
      <c r="F8" s="24" t="inlineStr">
        <is>
          <t>104015799</t>
        </is>
      </c>
      <c r="G8" s="24" t="inlineStr">
        <is>
          <t>07-0360</t>
        </is>
      </c>
      <c r="H8" s="670" t="n">
        <v>41842</v>
      </c>
      <c r="I8" s="662" t="n">
        <v>41.5</v>
      </c>
      <c r="J8" s="9" t="n"/>
    </row>
    <row r="9" ht="18" customHeight="1" s="408">
      <c r="A9" s="33" t="n">
        <v>2</v>
      </c>
      <c r="B9" s="24" t="inlineStr">
        <is>
          <t>07-0367</t>
        </is>
      </c>
      <c r="C9" s="670" t="n">
        <v>41842</v>
      </c>
      <c r="D9" s="662" t="n">
        <v>64.56999999999999</v>
      </c>
      <c r="E9" s="10" t="inlineStr">
        <is>
          <t>YUSEN LOGISTICS</t>
        </is>
      </c>
      <c r="F9" s="24" t="inlineStr">
        <is>
          <t>104015799</t>
        </is>
      </c>
      <c r="G9" s="24" t="inlineStr">
        <is>
          <t>07-0367</t>
        </is>
      </c>
      <c r="H9" s="670" t="n">
        <v>41842</v>
      </c>
      <c r="I9" s="662" t="n">
        <v>64.56999999999999</v>
      </c>
      <c r="J9" s="9" t="n"/>
    </row>
    <row r="10" ht="18" customHeight="1" s="408">
      <c r="A10" s="33" t="n">
        <v>3</v>
      </c>
      <c r="B10" s="24" t="inlineStr">
        <is>
          <t>07-0368</t>
        </is>
      </c>
      <c r="C10" s="670" t="n">
        <v>41842</v>
      </c>
      <c r="D10" s="662" t="n">
        <v>59.11</v>
      </c>
      <c r="E10" s="10" t="inlineStr">
        <is>
          <t>YUSEN LOGISTICS</t>
        </is>
      </c>
      <c r="F10" s="24" t="inlineStr">
        <is>
          <t>104015799</t>
        </is>
      </c>
      <c r="G10" s="24" t="inlineStr">
        <is>
          <t>07-0368</t>
        </is>
      </c>
      <c r="H10" s="670" t="n">
        <v>41842</v>
      </c>
      <c r="I10" s="662" t="n">
        <v>59.11</v>
      </c>
      <c r="J10" s="9" t="n"/>
    </row>
    <row r="11" ht="18" customHeight="1" s="408">
      <c r="A11" s="33" t="n">
        <v>4</v>
      </c>
      <c r="B11" s="24" t="inlineStr">
        <is>
          <t>07-0517</t>
        </is>
      </c>
      <c r="C11" s="670" t="n">
        <v>41849</v>
      </c>
      <c r="D11" s="662" t="n">
        <v>75.93000000000001</v>
      </c>
      <c r="E11" s="10" t="inlineStr">
        <is>
          <t>YUSEN LOGISTICS</t>
        </is>
      </c>
      <c r="F11" s="24" t="inlineStr">
        <is>
          <t>104015799</t>
        </is>
      </c>
      <c r="G11" s="24" t="inlineStr">
        <is>
          <t>07-0517</t>
        </is>
      </c>
      <c r="H11" s="670" t="n">
        <v>41849</v>
      </c>
      <c r="I11" s="662" t="n">
        <v>75.93000000000001</v>
      </c>
      <c r="J11" s="9" t="n"/>
    </row>
    <row r="12" ht="18" customHeight="1" s="408">
      <c r="A12" s="33" t="n">
        <v>5</v>
      </c>
      <c r="B12" s="24" t="inlineStr">
        <is>
          <t>08-0039</t>
        </is>
      </c>
      <c r="C12" s="670" t="n">
        <v>41856</v>
      </c>
      <c r="D12" s="662" t="n">
        <v>46.05</v>
      </c>
      <c r="E12" s="10" t="inlineStr">
        <is>
          <t>YUSEN LOGISTICS</t>
        </is>
      </c>
      <c r="F12" s="24" t="inlineStr">
        <is>
          <t>104015799</t>
        </is>
      </c>
      <c r="G12" s="24" t="inlineStr">
        <is>
          <t>08-0039</t>
        </is>
      </c>
      <c r="H12" s="670" t="n">
        <v>41856</v>
      </c>
      <c r="I12" s="662" t="n">
        <v>46.05</v>
      </c>
      <c r="J12" s="9" t="n"/>
    </row>
    <row r="13" ht="18" customHeight="1" s="408">
      <c r="A13" s="33" t="n">
        <v>6</v>
      </c>
      <c r="B13" s="24" t="inlineStr">
        <is>
          <t>08-0044</t>
        </is>
      </c>
      <c r="C13" s="670" t="n">
        <v>41856</v>
      </c>
      <c r="D13" s="662" t="n">
        <v>41.5</v>
      </c>
      <c r="E13" s="10" t="inlineStr">
        <is>
          <t>YUSEN LOGISTICS</t>
        </is>
      </c>
      <c r="F13" s="24" t="inlineStr">
        <is>
          <t>104015799</t>
        </is>
      </c>
      <c r="G13" s="24" t="inlineStr">
        <is>
          <t>08-0044</t>
        </is>
      </c>
      <c r="H13" s="670" t="n">
        <v>41856</v>
      </c>
      <c r="I13" s="662" t="n">
        <v>41.5</v>
      </c>
      <c r="J13" s="9" t="n"/>
    </row>
    <row r="14" ht="18" customHeight="1" s="408">
      <c r="A14" s="33" t="n">
        <v>7</v>
      </c>
      <c r="B14" s="24" t="inlineStr">
        <is>
          <t>08-0185</t>
        </is>
      </c>
      <c r="C14" s="670" t="n">
        <v>41864</v>
      </c>
      <c r="D14" s="662" t="n">
        <v>27.9</v>
      </c>
      <c r="E14" s="10" t="inlineStr">
        <is>
          <t>YUSEN LOGISTICS</t>
        </is>
      </c>
      <c r="F14" s="24" t="inlineStr">
        <is>
          <t>104015799</t>
        </is>
      </c>
      <c r="G14" s="24" t="inlineStr">
        <is>
          <t>08-0185</t>
        </is>
      </c>
      <c r="H14" s="670" t="n">
        <v>41864</v>
      </c>
      <c r="I14" s="662" t="n">
        <v>27.9</v>
      </c>
      <c r="J14" s="9" t="n"/>
    </row>
    <row r="15" ht="18" customHeight="1" s="408">
      <c r="A15" s="33" t="n">
        <v>8</v>
      </c>
      <c r="B15" s="24" t="inlineStr">
        <is>
          <t>08-0677</t>
        </is>
      </c>
      <c r="C15" s="670" t="n">
        <v>41882</v>
      </c>
      <c r="D15" s="662" t="n">
        <v>143</v>
      </c>
      <c r="E15" s="10" t="inlineStr">
        <is>
          <t>YUSEN LOGISTICS</t>
        </is>
      </c>
      <c r="F15" s="24" t="inlineStr">
        <is>
          <t>104015799</t>
        </is>
      </c>
      <c r="G15" s="24" t="inlineStr">
        <is>
          <t>08-0677</t>
        </is>
      </c>
      <c r="H15" s="670" t="n">
        <v>41882</v>
      </c>
      <c r="I15" s="662" t="n">
        <v>143</v>
      </c>
      <c r="J15" s="9" t="n"/>
    </row>
    <row r="16" ht="18" customHeight="1" s="408">
      <c r="A16" s="33" t="n">
        <v>9</v>
      </c>
      <c r="B16" s="24" t="inlineStr">
        <is>
          <t>08-0685</t>
        </is>
      </c>
      <c r="C16" s="670" t="n">
        <v>41882</v>
      </c>
      <c r="D16" s="662" t="n">
        <v>60.33</v>
      </c>
      <c r="E16" s="10" t="inlineStr">
        <is>
          <t>YUSEN LOGISTICS</t>
        </is>
      </c>
      <c r="F16" s="24" t="inlineStr">
        <is>
          <t>104015799</t>
        </is>
      </c>
      <c r="G16" s="24" t="inlineStr">
        <is>
          <t>08-0685</t>
        </is>
      </c>
      <c r="H16" s="670" t="n">
        <v>41882</v>
      </c>
      <c r="I16" s="662" t="n">
        <v>60.33</v>
      </c>
      <c r="J16" s="9" t="n"/>
    </row>
    <row r="17" ht="18" customHeight="1" s="408">
      <c r="A17" s="33" t="n">
        <v>10</v>
      </c>
      <c r="B17" s="24" t="inlineStr">
        <is>
          <t>09-0111</t>
        </is>
      </c>
      <c r="C17" s="670" t="n">
        <v>41892</v>
      </c>
      <c r="D17" s="662" t="n">
        <v>27.53</v>
      </c>
      <c r="E17" s="10" t="inlineStr">
        <is>
          <t>YUSEN LOGISTICS</t>
        </is>
      </c>
      <c r="F17" s="24" t="inlineStr">
        <is>
          <t>104015799</t>
        </is>
      </c>
      <c r="G17" s="24" t="inlineStr">
        <is>
          <t>09-0111</t>
        </is>
      </c>
      <c r="H17" s="670" t="n">
        <v>41892</v>
      </c>
      <c r="I17" s="662" t="n">
        <v>27.53</v>
      </c>
      <c r="J17" s="9" t="n"/>
    </row>
    <row r="18" ht="18" customHeight="1" s="408">
      <c r="A18" s="33" t="n">
        <v>11</v>
      </c>
      <c r="B18" s="24" t="inlineStr">
        <is>
          <t>09-0117</t>
        </is>
      </c>
      <c r="C18" s="670" t="n">
        <v>41892</v>
      </c>
      <c r="D18" s="662" t="n">
        <v>53.64</v>
      </c>
      <c r="E18" s="10" t="inlineStr">
        <is>
          <t>YUSEN LOGISTICS</t>
        </is>
      </c>
      <c r="F18" s="24" t="inlineStr">
        <is>
          <t>104015799</t>
        </is>
      </c>
      <c r="G18" s="24" t="inlineStr">
        <is>
          <t>09-0117</t>
        </is>
      </c>
      <c r="H18" s="670" t="n">
        <v>41892</v>
      </c>
      <c r="I18" s="662" t="n">
        <v>53.64</v>
      </c>
      <c r="J18" s="9" t="n"/>
    </row>
    <row r="19" ht="18" customHeight="1" s="408">
      <c r="A19" s="33" t="n">
        <v>12</v>
      </c>
      <c r="B19" s="24" t="inlineStr">
        <is>
          <t>09-0199</t>
        </is>
      </c>
      <c r="C19" s="670" t="n">
        <v>41898</v>
      </c>
      <c r="D19" s="662" t="n">
        <v>34.77</v>
      </c>
      <c r="E19" s="10" t="inlineStr">
        <is>
          <t>YUSEN LOGISTICS</t>
        </is>
      </c>
      <c r="F19" s="24" t="inlineStr">
        <is>
          <t>104015799</t>
        </is>
      </c>
      <c r="G19" s="24" t="inlineStr">
        <is>
          <t>09-0199</t>
        </is>
      </c>
      <c r="H19" s="670" t="n">
        <v>41898</v>
      </c>
      <c r="I19" s="662" t="n">
        <v>34.77</v>
      </c>
      <c r="J19" s="9" t="n"/>
    </row>
    <row r="20" ht="18" customHeight="1" s="408">
      <c r="A20" s="33" t="n">
        <v>13</v>
      </c>
      <c r="B20" s="24" t="inlineStr">
        <is>
          <t>09-0332</t>
        </is>
      </c>
      <c r="C20" s="670" t="n">
        <v>41908</v>
      </c>
      <c r="D20" s="662" t="n">
        <v>68.5</v>
      </c>
      <c r="E20" s="10" t="inlineStr">
        <is>
          <t>YUSEN LOGISTICS</t>
        </is>
      </c>
      <c r="F20" s="24" t="inlineStr">
        <is>
          <t>104015799</t>
        </is>
      </c>
      <c r="G20" s="24" t="inlineStr">
        <is>
          <t>09-0332</t>
        </is>
      </c>
      <c r="H20" s="670" t="n">
        <v>41908</v>
      </c>
      <c r="I20" s="662" t="n">
        <v>68.5</v>
      </c>
      <c r="J20" s="9" t="n"/>
    </row>
    <row r="21" ht="18" customHeight="1" s="408">
      <c r="A21" s="33" t="n">
        <v>14</v>
      </c>
      <c r="B21" s="24" t="inlineStr">
        <is>
          <t>09-0439</t>
        </is>
      </c>
      <c r="C21" s="670" t="n">
        <v>41912</v>
      </c>
      <c r="D21" s="662" t="n">
        <v>32</v>
      </c>
      <c r="E21" s="10" t="inlineStr">
        <is>
          <t>YUSEN LOGISTICS</t>
        </is>
      </c>
      <c r="F21" s="24" t="inlineStr">
        <is>
          <t>104015799</t>
        </is>
      </c>
      <c r="G21" s="24" t="inlineStr">
        <is>
          <t>09-0439</t>
        </is>
      </c>
      <c r="H21" s="670" t="n">
        <v>41912</v>
      </c>
      <c r="I21" s="662" t="n">
        <v>32</v>
      </c>
      <c r="J21" s="9" t="n"/>
    </row>
    <row r="22" ht="18" customHeight="1" s="408">
      <c r="A22" s="33" t="n">
        <v>15</v>
      </c>
      <c r="B22" s="24" t="inlineStr">
        <is>
          <t>09-0445</t>
        </is>
      </c>
      <c r="C22" s="670" t="n">
        <v>41912</v>
      </c>
      <c r="D22" s="662" t="n">
        <v>26.65</v>
      </c>
      <c r="E22" s="10" t="inlineStr">
        <is>
          <t>YUSEN LOGISTICS</t>
        </is>
      </c>
      <c r="F22" s="24" t="inlineStr">
        <is>
          <t>104015799</t>
        </is>
      </c>
      <c r="G22" s="24" t="inlineStr">
        <is>
          <t>09-0445</t>
        </is>
      </c>
      <c r="H22" s="670" t="n">
        <v>41912</v>
      </c>
      <c r="I22" s="662" t="n">
        <v>26.65</v>
      </c>
      <c r="J22" s="9" t="n"/>
    </row>
    <row r="23" ht="18" customHeight="1" s="408">
      <c r="A23" s="33" t="n">
        <v>16</v>
      </c>
      <c r="B23" s="24" t="inlineStr">
        <is>
          <t>09-0454</t>
        </is>
      </c>
      <c r="C23" s="670" t="n">
        <v>41912</v>
      </c>
      <c r="D23" s="662" t="n">
        <v>34.86</v>
      </c>
      <c r="E23" s="10" t="inlineStr">
        <is>
          <t>YUSEN LOGISTICS</t>
        </is>
      </c>
      <c r="F23" s="24" t="inlineStr">
        <is>
          <t>104015799</t>
        </is>
      </c>
      <c r="G23" s="24" t="inlineStr">
        <is>
          <t>09-0454</t>
        </is>
      </c>
      <c r="H23" s="670" t="n">
        <v>41912</v>
      </c>
      <c r="I23" s="662" t="n">
        <v>34.86</v>
      </c>
      <c r="J23" s="9" t="n"/>
    </row>
    <row r="24" ht="18" customHeight="1" s="408">
      <c r="A24" s="33" t="n">
        <v>17</v>
      </c>
      <c r="B24" s="24" t="inlineStr">
        <is>
          <t>10-0058</t>
        </is>
      </c>
      <c r="C24" s="670" t="n">
        <v>41919</v>
      </c>
      <c r="D24" s="662" t="n">
        <v>26.44</v>
      </c>
      <c r="E24" s="10" t="inlineStr">
        <is>
          <t>YUSEN LOGISTICS</t>
        </is>
      </c>
      <c r="F24" s="24" t="inlineStr">
        <is>
          <t>104015799</t>
        </is>
      </c>
      <c r="G24" s="24" t="inlineStr">
        <is>
          <t>10-0058</t>
        </is>
      </c>
      <c r="H24" s="670" t="n">
        <v>41919</v>
      </c>
      <c r="I24" s="662" t="n">
        <v>26.44</v>
      </c>
      <c r="J24" s="9" t="n"/>
    </row>
    <row r="25" ht="18" customHeight="1" s="408">
      <c r="A25" s="33" t="n">
        <v>18</v>
      </c>
      <c r="B25" s="24" t="inlineStr">
        <is>
          <t>10-0180</t>
        </is>
      </c>
      <c r="C25" s="670" t="n">
        <v>41928</v>
      </c>
      <c r="D25" s="662" t="n">
        <v>44.22</v>
      </c>
      <c r="E25" s="10" t="inlineStr">
        <is>
          <t>YUSEN LOGISTICS</t>
        </is>
      </c>
      <c r="F25" s="24" t="inlineStr">
        <is>
          <t>104015799</t>
        </is>
      </c>
      <c r="G25" s="24" t="inlineStr">
        <is>
          <t>10-0180</t>
        </is>
      </c>
      <c r="H25" s="670" t="n">
        <v>41928</v>
      </c>
      <c r="I25" s="662" t="n">
        <v>44.22</v>
      </c>
      <c r="J25" s="9" t="n"/>
    </row>
    <row r="26" ht="18" customHeight="1" s="408">
      <c r="A26" s="33" t="n">
        <v>19</v>
      </c>
      <c r="B26" s="24" t="inlineStr">
        <is>
          <t>10-0336</t>
        </is>
      </c>
      <c r="C26" s="670" t="n">
        <v>41939</v>
      </c>
      <c r="D26" s="662" t="n">
        <v>27.75</v>
      </c>
      <c r="E26" s="10" t="inlineStr">
        <is>
          <t>YUSEN LOGISTICS</t>
        </is>
      </c>
      <c r="F26" s="24" t="inlineStr">
        <is>
          <t>104015799</t>
        </is>
      </c>
      <c r="G26" s="24" t="inlineStr">
        <is>
          <t>10-0336</t>
        </is>
      </c>
      <c r="H26" s="670" t="n">
        <v>41939</v>
      </c>
      <c r="I26" s="662" t="n">
        <v>27.75</v>
      </c>
      <c r="J26" s="9" t="n"/>
    </row>
    <row r="27" ht="18" customHeight="1" s="408">
      <c r="A27" s="33" t="n">
        <v>20</v>
      </c>
      <c r="B27" s="24" t="inlineStr">
        <is>
          <t>11-0038</t>
        </is>
      </c>
      <c r="C27" s="670" t="n">
        <v>41946</v>
      </c>
      <c r="D27" s="662" t="n">
        <v>90.92</v>
      </c>
      <c r="E27" s="10" t="inlineStr">
        <is>
          <t>YUSEN LOGISTICS</t>
        </is>
      </c>
      <c r="F27" s="24" t="inlineStr">
        <is>
          <t>104015799</t>
        </is>
      </c>
      <c r="G27" s="24" t="inlineStr">
        <is>
          <t>11-0038</t>
        </is>
      </c>
      <c r="H27" s="670" t="n">
        <v>41946</v>
      </c>
      <c r="I27" s="662" t="n">
        <v>90.92</v>
      </c>
      <c r="J27" s="9" t="n"/>
    </row>
    <row r="28" ht="18" customHeight="1" s="408">
      <c r="A28" s="33" t="n">
        <v>21</v>
      </c>
      <c r="B28" s="24" t="inlineStr">
        <is>
          <t>11-0130</t>
        </is>
      </c>
      <c r="C28" s="670" t="n">
        <v>41956</v>
      </c>
      <c r="D28" s="662" t="n">
        <v>110.34</v>
      </c>
      <c r="E28" s="10" t="inlineStr">
        <is>
          <t>YUSEN LOGISTICS</t>
        </is>
      </c>
      <c r="F28" s="24" t="inlineStr">
        <is>
          <t>104015799</t>
        </is>
      </c>
      <c r="G28" s="24" t="inlineStr">
        <is>
          <t>11-0130</t>
        </is>
      </c>
      <c r="H28" s="670" t="n">
        <v>41956</v>
      </c>
      <c r="I28" s="662" t="n">
        <v>110.34</v>
      </c>
      <c r="J28" s="9" t="n"/>
    </row>
    <row r="29" ht="18" customHeight="1" s="408">
      <c r="A29" s="33" t="n">
        <v>22</v>
      </c>
      <c r="B29" s="24" t="inlineStr">
        <is>
          <t>11-0278</t>
        </is>
      </c>
      <c r="C29" s="670" t="n">
        <v>41967</v>
      </c>
      <c r="D29" s="662" t="n">
        <v>26.98</v>
      </c>
      <c r="E29" s="10" t="inlineStr">
        <is>
          <t>YUSEN LOGISTICS</t>
        </is>
      </c>
      <c r="F29" s="24" t="inlineStr">
        <is>
          <t>104015799</t>
        </is>
      </c>
      <c r="G29" s="24" t="inlineStr">
        <is>
          <t>11-0278</t>
        </is>
      </c>
      <c r="H29" s="670" t="n">
        <v>41967</v>
      </c>
      <c r="I29" s="662" t="n">
        <v>26.98</v>
      </c>
      <c r="J29" s="9" t="n"/>
    </row>
    <row r="30" ht="18" customHeight="1" s="408">
      <c r="A30" s="33" t="n">
        <v>23</v>
      </c>
      <c r="B30" s="24" t="inlineStr">
        <is>
          <t>11-0513</t>
        </is>
      </c>
      <c r="C30" s="670" t="n">
        <v>41973</v>
      </c>
      <c r="D30" s="662" t="n">
        <v>36.35</v>
      </c>
      <c r="E30" s="10" t="inlineStr">
        <is>
          <t>YUSEN LOGISTICS</t>
        </is>
      </c>
      <c r="F30" s="24" t="inlineStr">
        <is>
          <t>104015799</t>
        </is>
      </c>
      <c r="G30" s="24" t="inlineStr">
        <is>
          <t>11-0513</t>
        </is>
      </c>
      <c r="H30" s="670" t="n">
        <v>41973</v>
      </c>
      <c r="I30" s="662" t="n">
        <v>36.35</v>
      </c>
      <c r="J30" s="670" t="n"/>
      <c r="K30" s="686" t="n"/>
    </row>
    <row r="31" ht="18" customHeight="1" s="408">
      <c r="A31" s="33" t="n">
        <v>24</v>
      </c>
      <c r="B31" s="24" t="inlineStr">
        <is>
          <t>12-0222</t>
        </is>
      </c>
      <c r="C31" s="670" t="n">
        <v>41988</v>
      </c>
      <c r="D31" s="662" t="n">
        <v>61.63</v>
      </c>
      <c r="E31" s="10" t="inlineStr">
        <is>
          <t>YUSEN LOGISTICS</t>
        </is>
      </c>
      <c r="F31" s="24" t="inlineStr">
        <is>
          <t>104015799</t>
        </is>
      </c>
      <c r="G31" s="24" t="inlineStr">
        <is>
          <t>12-0222</t>
        </is>
      </c>
      <c r="H31" s="670" t="n">
        <v>41988</v>
      </c>
      <c r="I31" s="662" t="n">
        <v>61.63</v>
      </c>
      <c r="J31" s="9" t="n"/>
    </row>
    <row r="32" ht="18" customHeight="1" s="408">
      <c r="A32" s="33" t="n">
        <v>25</v>
      </c>
      <c r="B32" s="24" t="inlineStr">
        <is>
          <t>12-0327</t>
        </is>
      </c>
      <c r="C32" s="670" t="n">
        <v>41995</v>
      </c>
      <c r="D32" s="662" t="n">
        <v>47.71</v>
      </c>
      <c r="E32" s="10" t="inlineStr">
        <is>
          <t>YUSEN LOGISTICS</t>
        </is>
      </c>
      <c r="F32" s="24" t="inlineStr">
        <is>
          <t>104015799</t>
        </is>
      </c>
      <c r="G32" s="24" t="inlineStr">
        <is>
          <t>12-0327</t>
        </is>
      </c>
      <c r="H32" s="670" t="n">
        <v>41995</v>
      </c>
      <c r="I32" s="662" t="n">
        <v>47.71</v>
      </c>
      <c r="J32" s="9" t="n"/>
    </row>
    <row r="33" ht="18" customHeight="1" s="408">
      <c r="A33" s="33" t="n">
        <v>26</v>
      </c>
      <c r="B33" s="24" t="inlineStr">
        <is>
          <t>12-0554</t>
        </is>
      </c>
      <c r="C33" s="670" t="n">
        <v>42003</v>
      </c>
      <c r="D33" s="662" t="n">
        <v>54.5</v>
      </c>
      <c r="E33" s="10" t="inlineStr">
        <is>
          <t>YUSEN LOGISTICS</t>
        </is>
      </c>
      <c r="F33" s="24" t="inlineStr">
        <is>
          <t>104015799</t>
        </is>
      </c>
      <c r="G33" s="24" t="inlineStr">
        <is>
          <t>12-0554</t>
        </is>
      </c>
      <c r="H33" s="670" t="n">
        <v>42003</v>
      </c>
      <c r="I33" s="662" t="n">
        <v>54.5</v>
      </c>
      <c r="J33" s="9" t="n"/>
    </row>
    <row r="34" ht="18" customHeight="1" s="408">
      <c r="A34" s="33" t="n">
        <v>27</v>
      </c>
      <c r="B34" s="24" t="inlineStr">
        <is>
          <t>01-0018</t>
        </is>
      </c>
      <c r="C34" s="670" t="n">
        <v>42009</v>
      </c>
      <c r="D34" s="662" t="n">
        <v>73.5</v>
      </c>
      <c r="E34" s="10" t="inlineStr">
        <is>
          <t>YUSEN LOGISTICS</t>
        </is>
      </c>
      <c r="F34" s="24" t="inlineStr">
        <is>
          <t>104015799</t>
        </is>
      </c>
      <c r="G34" s="24" t="inlineStr">
        <is>
          <t>01-0018</t>
        </is>
      </c>
      <c r="H34" s="670" t="n">
        <v>42009</v>
      </c>
      <c r="I34" s="662" t="n">
        <v>73.5</v>
      </c>
      <c r="J34" s="9" t="n"/>
    </row>
    <row r="35" ht="18" customHeight="1" s="408">
      <c r="A35" s="33" t="n">
        <v>28</v>
      </c>
      <c r="B35" s="24" t="inlineStr">
        <is>
          <t>01-0137</t>
        </is>
      </c>
      <c r="C35" s="670" t="n">
        <v>42016</v>
      </c>
      <c r="D35" s="662" t="n">
        <v>102.28</v>
      </c>
      <c r="E35" s="10" t="inlineStr">
        <is>
          <t>YUSEN LOGISTICS</t>
        </is>
      </c>
      <c r="F35" s="24" t="inlineStr">
        <is>
          <t>104015799</t>
        </is>
      </c>
      <c r="G35" s="24" t="inlineStr">
        <is>
          <t>01-0137</t>
        </is>
      </c>
      <c r="H35" s="670" t="n">
        <v>42016</v>
      </c>
      <c r="I35" s="662" t="n">
        <v>102.28</v>
      </c>
      <c r="J35" s="9" t="n"/>
    </row>
    <row r="36" ht="18" customHeight="1" s="408">
      <c r="A36" s="33" t="n">
        <v>29</v>
      </c>
      <c r="B36" s="24" t="inlineStr">
        <is>
          <t>01-0286</t>
        </is>
      </c>
      <c r="C36" s="670" t="n">
        <v>42024</v>
      </c>
      <c r="D36" s="662" t="n">
        <v>39.92</v>
      </c>
      <c r="E36" s="10" t="inlineStr">
        <is>
          <t>YUSEN LOGISTICS</t>
        </is>
      </c>
      <c r="F36" s="24" t="inlineStr">
        <is>
          <t>104015799</t>
        </is>
      </c>
      <c r="G36" s="24" t="inlineStr">
        <is>
          <t>01-0286</t>
        </is>
      </c>
      <c r="H36" s="670" t="n">
        <v>42024</v>
      </c>
      <c r="I36" s="662" t="n">
        <v>39.92</v>
      </c>
      <c r="J36" s="9" t="n"/>
    </row>
    <row r="37" ht="18" customHeight="1" s="408">
      <c r="A37" s="33" t="n">
        <v>30</v>
      </c>
      <c r="B37" s="24" t="inlineStr">
        <is>
          <t>01-0420</t>
        </is>
      </c>
      <c r="C37" s="670" t="n">
        <v>42031</v>
      </c>
      <c r="D37" s="662" t="n">
        <v>62.39</v>
      </c>
      <c r="E37" s="10" t="inlineStr">
        <is>
          <t>YUSEN LOGISTICS</t>
        </is>
      </c>
      <c r="F37" s="24" t="inlineStr">
        <is>
          <t>104015799</t>
        </is>
      </c>
      <c r="G37" s="24" t="inlineStr">
        <is>
          <t>01-0420</t>
        </is>
      </c>
      <c r="H37" s="670" t="n">
        <v>42031</v>
      </c>
      <c r="I37" s="662" t="n">
        <v>62.39</v>
      </c>
      <c r="J37" s="9" t="n"/>
    </row>
    <row r="38" ht="18" customHeight="1" s="408">
      <c r="A38" s="33" t="n">
        <v>31</v>
      </c>
      <c r="B38" s="24" t="inlineStr">
        <is>
          <t>02-0095</t>
        </is>
      </c>
      <c r="C38" s="670" t="n">
        <v>42040</v>
      </c>
      <c r="D38" s="662" t="n">
        <v>56.55</v>
      </c>
      <c r="E38" s="10" t="inlineStr">
        <is>
          <t>YUSEN LOGISTICS</t>
        </is>
      </c>
      <c r="F38" s="24" t="inlineStr">
        <is>
          <t>104015799</t>
        </is>
      </c>
      <c r="G38" s="24" t="inlineStr">
        <is>
          <t>02-0095</t>
        </is>
      </c>
      <c r="H38" s="670" t="n">
        <v>42040</v>
      </c>
      <c r="I38" s="662" t="n">
        <v>56.55</v>
      </c>
      <c r="J38" s="9" t="n"/>
    </row>
    <row r="39" ht="18" customHeight="1" s="408">
      <c r="A39" s="33" t="n">
        <v>32</v>
      </c>
      <c r="B39" s="24" t="inlineStr">
        <is>
          <t>02-0175</t>
        </is>
      </c>
      <c r="C39" s="670" t="n">
        <v>42045</v>
      </c>
      <c r="D39" s="662" t="n">
        <v>29.21</v>
      </c>
      <c r="E39" s="10" t="inlineStr">
        <is>
          <t>YUSEN LOGISTICS</t>
        </is>
      </c>
      <c r="F39" s="24" t="inlineStr">
        <is>
          <t>104015799</t>
        </is>
      </c>
      <c r="G39" s="24" t="inlineStr">
        <is>
          <t>02-0175</t>
        </is>
      </c>
      <c r="H39" s="670" t="n">
        <v>42045</v>
      </c>
      <c r="I39" s="662" t="n">
        <v>29.21</v>
      </c>
      <c r="J39" s="9" t="n"/>
    </row>
    <row r="40" ht="18" customHeight="1" s="408">
      <c r="A40" s="33" t="n">
        <v>33</v>
      </c>
      <c r="B40" s="24" t="inlineStr">
        <is>
          <t>502-0531</t>
        </is>
      </c>
      <c r="C40" s="670" t="n">
        <v>42059</v>
      </c>
      <c r="D40" s="662" t="n">
        <v>102.92</v>
      </c>
      <c r="E40" s="10" t="inlineStr">
        <is>
          <t>YUSEN LOGISTICS</t>
        </is>
      </c>
      <c r="F40" s="24" t="inlineStr">
        <is>
          <t>104015799</t>
        </is>
      </c>
      <c r="G40" s="24" t="inlineStr">
        <is>
          <t>502-0531</t>
        </is>
      </c>
      <c r="H40" s="670" t="n">
        <v>42059</v>
      </c>
      <c r="I40" s="662" t="n">
        <v>102.92</v>
      </c>
      <c r="J40" s="9" t="n"/>
    </row>
    <row r="41" ht="24" customHeight="1" s="408">
      <c r="A41" s="687" t="inlineStr">
        <is>
          <t>TOTAL 7/2012-02/2015</t>
        </is>
      </c>
      <c r="B41" s="573" t="n"/>
      <c r="C41" s="688" t="n"/>
      <c r="D41" s="689">
        <f>SUM(D8:D40)</f>
        <v/>
      </c>
      <c r="E41" s="690" t="n"/>
      <c r="F41" s="690" t="n"/>
      <c r="G41" s="691" t="n"/>
      <c r="H41" s="688" t="n"/>
      <c r="I41" s="689">
        <f>SUM(I8:I40)</f>
        <v/>
      </c>
      <c r="J41" s="32" t="n"/>
    </row>
    <row r="44" ht="21" customHeight="1" s="408">
      <c r="E44" s="11" t="inlineStr">
        <is>
          <t>YUSEN LOGISTICS</t>
        </is>
      </c>
      <c r="F44" s="16" t="inlineStr">
        <is>
          <t>104015799</t>
        </is>
      </c>
      <c r="G44" s="17" t="inlineStr">
        <is>
          <t>2-00309</t>
        </is>
      </c>
      <c r="H44" s="18" t="n">
        <v>41619</v>
      </c>
      <c r="I44" s="692" t="n">
        <v>5</v>
      </c>
    </row>
  </sheetData>
  <mergeCells count="13">
    <mergeCell ref="A1:J1"/>
    <mergeCell ref="B5:D5"/>
    <mergeCell ref="G6:I6"/>
    <mergeCell ref="A41:B41"/>
    <mergeCell ref="A4:D4"/>
    <mergeCell ref="A5:A7"/>
    <mergeCell ref="E5:I5"/>
    <mergeCell ref="E6:E7"/>
    <mergeCell ref="A2:J2"/>
    <mergeCell ref="J5:J7"/>
    <mergeCell ref="B6:D6"/>
    <mergeCell ref="F6:F7"/>
    <mergeCell ref="A3:E3"/>
  </mergeCells>
  <pageMargins left="0.7" right="0.7" top="0.75" bottom="0.75" header="0.3" footer="0.3"/>
  <pageSetup orientation="portrait" paperSize="9" verticalDpi="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459"/>
  <sheetViews>
    <sheetView workbookViewId="0">
      <selection activeCell="A11" sqref="A11"/>
    </sheetView>
  </sheetViews>
  <sheetFormatPr baseColWidth="8" defaultRowHeight="13.2"/>
  <cols>
    <col width="6.6640625" customWidth="1" style="408" min="1" max="1"/>
    <col width="12.33203125" customWidth="1" style="408" min="2" max="2"/>
    <col width="12.44140625" customWidth="1" style="408" min="3" max="3"/>
    <col width="13.33203125" customWidth="1" style="408" min="4" max="4"/>
    <col width="16.88671875" customWidth="1" style="408" min="5" max="5"/>
    <col width="14" customWidth="1" style="408" min="6" max="6"/>
    <col width="11" customWidth="1" style="408" min="7" max="7"/>
    <col width="12.88671875" customWidth="1" style="408" min="9" max="9"/>
  </cols>
  <sheetData>
    <row r="1" ht="33.6" customHeight="1" s="408">
      <c r="A1" s="484" t="inlineStr">
        <is>
          <t>តារាងឧបសម្ព័ន្ឋ</t>
        </is>
      </c>
    </row>
    <row r="2" ht="33.6" customHeight="1" s="408">
      <c r="A2" s="484" t="inlineStr">
        <is>
          <t>តារាងប្រៀធៀបវិក្ក័យប័ត្រស្នើសុំបង្វិលសងអាករលើតំលៃបន្ថែម  ( Cross checking )</t>
        </is>
      </c>
    </row>
    <row r="3" ht="27" customHeight="1" s="408">
      <c r="A3" s="527" t="inlineStr">
        <is>
          <t>នាមករណ៏សហគ្រាស  :  Maurea Garments Corp</t>
        </is>
      </c>
      <c r="F3" s="4" t="n"/>
      <c r="G3" s="4" t="n"/>
      <c r="H3" s="4" t="n"/>
      <c r="I3" s="4" t="n"/>
      <c r="J3" s="4" t="n"/>
    </row>
    <row r="4" ht="27" customHeight="1" s="408">
      <c r="A4" s="486" t="inlineStr">
        <is>
          <t>VAT TIN  : 1 0 0 0 5 2 9 6 7</t>
        </is>
      </c>
      <c r="B4" s="590" t="n"/>
      <c r="C4" s="590" t="n"/>
      <c r="D4" s="590" t="n"/>
      <c r="E4" s="5" t="n"/>
      <c r="F4" s="4" t="n"/>
      <c r="G4" s="4" t="n"/>
      <c r="H4" s="4" t="n"/>
      <c r="I4" s="4" t="n"/>
      <c r="J4" s="4" t="n"/>
    </row>
    <row r="5" ht="25.2" customHeight="1" s="408">
      <c r="A5" s="685" t="inlineStr">
        <is>
          <t>ល.រ</t>
        </is>
      </c>
      <c r="B5" s="536" t="inlineStr">
        <is>
          <t>ក្រុមហ៊ុនស្នើសុំបង្វិលសង</t>
        </is>
      </c>
      <c r="C5" s="604" t="n"/>
      <c r="D5" s="605" t="n"/>
      <c r="E5" s="534" t="inlineStr">
        <is>
          <t>អ្នកផ្គត់ផ្គង់</t>
        </is>
      </c>
      <c r="F5" s="584" t="n"/>
      <c r="G5" s="584" t="n"/>
      <c r="H5" s="584" t="n"/>
      <c r="I5" s="573" t="n"/>
      <c r="J5" s="543" t="inlineStr">
        <is>
          <t>ផ្សេងៗ</t>
        </is>
      </c>
    </row>
    <row r="6" ht="25.2" customHeight="1" s="408">
      <c r="A6" s="618" t="n"/>
      <c r="B6" s="538" t="inlineStr">
        <is>
          <t>វិក័យបត្រ័</t>
        </is>
      </c>
      <c r="C6" s="590" t="n"/>
      <c r="D6" s="611" t="n"/>
      <c r="E6" s="542" t="inlineStr">
        <is>
          <t>សហគ្រាស</t>
        </is>
      </c>
      <c r="F6" s="543" t="inlineStr">
        <is>
          <t>លេខអតប</t>
        </is>
      </c>
      <c r="G6" s="538" t="inlineStr">
        <is>
          <t>វិក័យបត្រ័</t>
        </is>
      </c>
      <c r="H6" s="590" t="n"/>
      <c r="I6" s="611" t="n"/>
      <c r="J6" s="618" t="n"/>
    </row>
    <row r="7" ht="25.2" customHeight="1" s="408">
      <c r="A7" s="574" t="n"/>
      <c r="B7" s="538" t="inlineStr">
        <is>
          <t>លេខ</t>
        </is>
      </c>
      <c r="C7" s="538" t="inlineStr">
        <is>
          <t>ថ្ងៃទី ខែ ឆ្នាំ</t>
        </is>
      </c>
      <c r="D7" s="538" t="inlineStr">
        <is>
          <t>ប្រាក់អាករ</t>
        </is>
      </c>
      <c r="E7" s="611" t="n"/>
      <c r="F7" s="574" t="n"/>
      <c r="G7" s="538" t="inlineStr">
        <is>
          <t>លេខ</t>
        </is>
      </c>
      <c r="H7" s="538" t="inlineStr">
        <is>
          <t>ថ្ងៃទី ខែ ឆ្នាំ</t>
        </is>
      </c>
      <c r="I7" s="538" t="inlineStr">
        <is>
          <t>ប្រាក់អាករ</t>
        </is>
      </c>
      <c r="J7" s="574" t="n"/>
    </row>
    <row r="8" ht="18" customHeight="1" s="408">
      <c r="A8" s="33" t="n">
        <v>1</v>
      </c>
      <c r="B8" s="12" t="inlineStr">
        <is>
          <t>227231</t>
        </is>
      </c>
      <c r="C8" s="13" t="n">
        <v>41246</v>
      </c>
      <c r="D8" s="693" t="n">
        <v>8.5</v>
      </c>
      <c r="E8" s="11" t="inlineStr">
        <is>
          <t>S G L CAMBODIA</t>
        </is>
      </c>
      <c r="F8" s="10" t="inlineStr">
        <is>
          <t>100119816</t>
        </is>
      </c>
      <c r="G8" s="12" t="inlineStr">
        <is>
          <t>227231</t>
        </is>
      </c>
      <c r="H8" s="13" t="n">
        <v>41246</v>
      </c>
      <c r="I8" s="693" t="n">
        <v>8.5</v>
      </c>
      <c r="J8" s="9" t="n"/>
    </row>
    <row r="9" ht="18" customHeight="1" s="408">
      <c r="A9" s="33" t="n">
        <v>2</v>
      </c>
      <c r="B9" s="12" t="inlineStr">
        <is>
          <t>227288</t>
        </is>
      </c>
      <c r="C9" s="13" t="n">
        <v>41246</v>
      </c>
      <c r="D9" s="693" t="n">
        <v>52.36</v>
      </c>
      <c r="E9" s="11" t="inlineStr">
        <is>
          <t>S G L CAMBODIA</t>
        </is>
      </c>
      <c r="F9" s="10" t="inlineStr">
        <is>
          <t>100119816</t>
        </is>
      </c>
      <c r="G9" s="12" t="inlineStr">
        <is>
          <t>227288</t>
        </is>
      </c>
      <c r="H9" s="13" t="n">
        <v>41246</v>
      </c>
      <c r="I9" s="693" t="n">
        <v>52.36</v>
      </c>
      <c r="J9" s="9" t="n"/>
    </row>
    <row r="10" ht="18" customHeight="1" s="408">
      <c r="A10" s="33" t="n">
        <v>3</v>
      </c>
      <c r="B10" s="12" t="inlineStr">
        <is>
          <t>227430</t>
        </is>
      </c>
      <c r="C10" s="13" t="n">
        <v>41255</v>
      </c>
      <c r="D10" s="693" t="n">
        <v>21.2</v>
      </c>
      <c r="E10" s="11" t="inlineStr">
        <is>
          <t>S G L CAMBODIA</t>
        </is>
      </c>
      <c r="F10" s="10" t="inlineStr">
        <is>
          <t>100119816</t>
        </is>
      </c>
      <c r="G10" s="12" t="inlineStr">
        <is>
          <t>227430</t>
        </is>
      </c>
      <c r="H10" s="13" t="n">
        <v>41255</v>
      </c>
      <c r="I10" s="693" t="n">
        <v>21.2</v>
      </c>
      <c r="J10" s="9" t="n"/>
    </row>
    <row r="11" ht="18" customHeight="1" s="408">
      <c r="A11" s="33" t="n">
        <v>4</v>
      </c>
      <c r="B11" s="12" t="inlineStr">
        <is>
          <t>227461</t>
        </is>
      </c>
      <c r="C11" s="13" t="n">
        <v>41255</v>
      </c>
      <c r="D11" s="693" t="n">
        <v>29.57</v>
      </c>
      <c r="E11" s="11" t="inlineStr">
        <is>
          <t>S G L CAMBODIA</t>
        </is>
      </c>
      <c r="F11" s="10" t="inlineStr">
        <is>
          <t>100119816</t>
        </is>
      </c>
      <c r="G11" s="12" t="inlineStr">
        <is>
          <t>227461</t>
        </is>
      </c>
      <c r="H11" s="13" t="n">
        <v>41255</v>
      </c>
      <c r="I11" s="693" t="n">
        <v>29.57</v>
      </c>
      <c r="J11" s="9" t="n"/>
    </row>
    <row r="12" ht="18" customHeight="1" s="408">
      <c r="A12" s="33" t="n">
        <v>5</v>
      </c>
      <c r="B12" s="12" t="inlineStr">
        <is>
          <t>227539</t>
        </is>
      </c>
      <c r="C12" s="13" t="n">
        <v>41260</v>
      </c>
      <c r="D12" s="693" t="n">
        <v>34.24</v>
      </c>
      <c r="E12" s="11" t="inlineStr">
        <is>
          <t>S G L CAMBODIA</t>
        </is>
      </c>
      <c r="F12" s="10" t="inlineStr">
        <is>
          <t>100119816</t>
        </is>
      </c>
      <c r="G12" s="12" t="inlineStr">
        <is>
          <t>227539</t>
        </is>
      </c>
      <c r="H12" s="13" t="n">
        <v>41260</v>
      </c>
      <c r="I12" s="693" t="n">
        <v>34.24</v>
      </c>
      <c r="J12" s="9" t="n"/>
    </row>
    <row r="13" ht="18" customHeight="1" s="408">
      <c r="A13" s="33" t="n">
        <v>6</v>
      </c>
      <c r="B13" s="12" t="inlineStr">
        <is>
          <t>227543</t>
        </is>
      </c>
      <c r="C13" s="13" t="n">
        <v>41260</v>
      </c>
      <c r="D13" s="693" t="n">
        <v>8.93</v>
      </c>
      <c r="E13" s="11" t="inlineStr">
        <is>
          <t>S G L CAMBODIA</t>
        </is>
      </c>
      <c r="F13" s="10" t="inlineStr">
        <is>
          <t>100119816</t>
        </is>
      </c>
      <c r="G13" s="12" t="inlineStr">
        <is>
          <t>227543</t>
        </is>
      </c>
      <c r="H13" s="13" t="n">
        <v>41260</v>
      </c>
      <c r="I13" s="693" t="n">
        <v>8.93</v>
      </c>
      <c r="J13" s="9" t="n"/>
    </row>
    <row r="14" ht="18" customHeight="1" s="408">
      <c r="A14" s="33" t="n">
        <v>7</v>
      </c>
      <c r="B14" s="12" t="inlineStr">
        <is>
          <t>227552</t>
        </is>
      </c>
      <c r="C14" s="13" t="n">
        <v>41260</v>
      </c>
      <c r="D14" s="693" t="n">
        <v>27.62</v>
      </c>
      <c r="E14" s="11" t="inlineStr">
        <is>
          <t>S G L CAMBODIA</t>
        </is>
      </c>
      <c r="F14" s="10" t="inlineStr">
        <is>
          <t>100119816</t>
        </is>
      </c>
      <c r="G14" s="12" t="inlineStr">
        <is>
          <t>227552</t>
        </is>
      </c>
      <c r="H14" s="13" t="n">
        <v>41260</v>
      </c>
      <c r="I14" s="693" t="n">
        <v>27.62</v>
      </c>
      <c r="J14" s="9" t="n"/>
    </row>
    <row r="15" ht="18" customHeight="1" s="408">
      <c r="A15" s="33" t="n">
        <v>8</v>
      </c>
      <c r="B15" s="12" t="inlineStr">
        <is>
          <t>227583</t>
        </is>
      </c>
      <c r="C15" s="13" t="n">
        <v>41261</v>
      </c>
      <c r="D15" s="693" t="n">
        <v>57.77</v>
      </c>
      <c r="E15" s="11" t="inlineStr">
        <is>
          <t>S G L CAMBODIA</t>
        </is>
      </c>
      <c r="F15" s="10" t="inlineStr">
        <is>
          <t>100119816</t>
        </is>
      </c>
      <c r="G15" s="12" t="inlineStr">
        <is>
          <t>227583</t>
        </is>
      </c>
      <c r="H15" s="13" t="n">
        <v>41261</v>
      </c>
      <c r="I15" s="693" t="n">
        <v>57.77</v>
      </c>
      <c r="J15" s="9" t="n"/>
    </row>
    <row r="16" ht="18" customHeight="1" s="408">
      <c r="A16" s="33" t="n">
        <v>9</v>
      </c>
      <c r="B16" s="12" t="inlineStr">
        <is>
          <t>227586</t>
        </is>
      </c>
      <c r="C16" s="13" t="n">
        <v>41261</v>
      </c>
      <c r="D16" s="693" t="n">
        <v>24</v>
      </c>
      <c r="E16" s="11" t="inlineStr">
        <is>
          <t>S G L CAMBODIA</t>
        </is>
      </c>
      <c r="F16" s="10" t="inlineStr">
        <is>
          <t>100119816</t>
        </is>
      </c>
      <c r="G16" s="12" t="inlineStr">
        <is>
          <t>227586</t>
        </is>
      </c>
      <c r="H16" s="13" t="n">
        <v>41261</v>
      </c>
      <c r="I16" s="693" t="n">
        <v>24</v>
      </c>
      <c r="J16" s="9" t="n"/>
    </row>
    <row r="17" ht="18" customHeight="1" s="408">
      <c r="A17" s="33" t="n">
        <v>10</v>
      </c>
      <c r="B17" s="12" t="inlineStr">
        <is>
          <t>227605</t>
        </is>
      </c>
      <c r="C17" s="13" t="n">
        <v>41261</v>
      </c>
      <c r="D17" s="693" t="n">
        <v>28.88</v>
      </c>
      <c r="E17" s="11" t="inlineStr">
        <is>
          <t>S G L CAMBODIA</t>
        </is>
      </c>
      <c r="F17" s="10" t="inlineStr">
        <is>
          <t>100119816</t>
        </is>
      </c>
      <c r="G17" s="12" t="inlineStr">
        <is>
          <t>227605</t>
        </is>
      </c>
      <c r="H17" s="13" t="n">
        <v>41261</v>
      </c>
      <c r="I17" s="693" t="n">
        <v>28.88</v>
      </c>
      <c r="J17" s="9" t="n"/>
    </row>
    <row r="18" ht="18" customHeight="1" s="408">
      <c r="A18" s="33" t="n">
        <v>11</v>
      </c>
      <c r="B18" s="12" t="inlineStr">
        <is>
          <t>227826</t>
        </is>
      </c>
      <c r="C18" s="13" t="n">
        <v>41274</v>
      </c>
      <c r="D18" s="693" t="n">
        <v>24</v>
      </c>
      <c r="E18" s="11" t="inlineStr">
        <is>
          <t>S G L CAMBODIA</t>
        </is>
      </c>
      <c r="F18" s="10" t="inlineStr">
        <is>
          <t>100119816</t>
        </is>
      </c>
      <c r="G18" s="12" t="inlineStr">
        <is>
          <t>227826</t>
        </is>
      </c>
      <c r="H18" s="13" t="n">
        <v>41274</v>
      </c>
      <c r="I18" s="693" t="n">
        <v>24</v>
      </c>
      <c r="J18" s="9" t="n"/>
    </row>
    <row r="19" ht="18" customHeight="1" s="408">
      <c r="A19" s="33" t="n">
        <v>12</v>
      </c>
      <c r="B19" s="12" t="inlineStr">
        <is>
          <t>227862</t>
        </is>
      </c>
      <c r="C19" s="13" t="n">
        <v>41274</v>
      </c>
      <c r="D19" s="693" t="n">
        <v>36.26</v>
      </c>
      <c r="E19" s="11" t="inlineStr">
        <is>
          <t>S G L CAMBODIA</t>
        </is>
      </c>
      <c r="F19" s="10" t="inlineStr">
        <is>
          <t>100119816</t>
        </is>
      </c>
      <c r="G19" s="12" t="inlineStr">
        <is>
          <t>227862</t>
        </is>
      </c>
      <c r="H19" s="13" t="n">
        <v>41274</v>
      </c>
      <c r="I19" s="693" t="n">
        <v>36.26</v>
      </c>
      <c r="J19" s="9" t="n"/>
    </row>
    <row r="20" ht="18" customHeight="1" s="408">
      <c r="A20" s="33" t="n">
        <v>13</v>
      </c>
      <c r="B20" s="12" t="inlineStr">
        <is>
          <t>226904</t>
        </is>
      </c>
      <c r="C20" s="13" t="n">
        <v>41225</v>
      </c>
      <c r="D20" s="693" t="n">
        <v>24.64</v>
      </c>
      <c r="E20" s="11" t="inlineStr">
        <is>
          <t>S G L CAMBODIA</t>
        </is>
      </c>
      <c r="F20" s="10" t="inlineStr">
        <is>
          <t>100119816</t>
        </is>
      </c>
      <c r="G20" s="12" t="inlineStr">
        <is>
          <t>226904</t>
        </is>
      </c>
      <c r="H20" s="13" t="n">
        <v>41225</v>
      </c>
      <c r="I20" s="693" t="n">
        <v>24.64</v>
      </c>
      <c r="J20" s="9" t="n"/>
    </row>
    <row r="21" ht="18" customHeight="1" s="408">
      <c r="A21" s="33" t="n">
        <v>14</v>
      </c>
      <c r="B21" s="12" t="inlineStr">
        <is>
          <t>227107</t>
        </is>
      </c>
      <c r="C21" s="13" t="n">
        <v>41237</v>
      </c>
      <c r="D21" s="693" t="n">
        <v>49.82</v>
      </c>
      <c r="E21" s="11" t="inlineStr">
        <is>
          <t>S G L CAMBODIA</t>
        </is>
      </c>
      <c r="F21" s="10" t="inlineStr">
        <is>
          <t>100119816</t>
        </is>
      </c>
      <c r="G21" s="12" t="inlineStr">
        <is>
          <t>227107</t>
        </is>
      </c>
      <c r="H21" s="13" t="n">
        <v>41237</v>
      </c>
      <c r="I21" s="693" t="n">
        <v>49.82</v>
      </c>
      <c r="J21" s="9" t="n"/>
    </row>
    <row r="22" ht="18" customHeight="1" s="408">
      <c r="A22" s="33" t="n">
        <v>15</v>
      </c>
      <c r="B22" s="12" t="inlineStr">
        <is>
          <t>226301</t>
        </is>
      </c>
      <c r="C22" s="13" t="n">
        <v>41190</v>
      </c>
      <c r="D22" s="693" t="n">
        <v>26.3</v>
      </c>
      <c r="E22" s="11" t="inlineStr">
        <is>
          <t>S G L CAMBODIA</t>
        </is>
      </c>
      <c r="F22" s="10" t="inlineStr">
        <is>
          <t>100119816</t>
        </is>
      </c>
      <c r="G22" s="12" t="inlineStr">
        <is>
          <t>226301</t>
        </is>
      </c>
      <c r="H22" s="13" t="n">
        <v>41190</v>
      </c>
      <c r="I22" s="693" t="n">
        <v>26.3</v>
      </c>
      <c r="J22" s="9" t="n"/>
    </row>
    <row r="23" ht="18" customHeight="1" s="408">
      <c r="A23" s="33" t="n">
        <v>16</v>
      </c>
      <c r="B23" s="12" t="inlineStr">
        <is>
          <t>226324</t>
        </is>
      </c>
      <c r="C23" s="13" t="n">
        <v>41190</v>
      </c>
      <c r="D23" s="693" t="n">
        <v>26.01</v>
      </c>
      <c r="E23" s="11" t="inlineStr">
        <is>
          <t>S G L CAMBODIA</t>
        </is>
      </c>
      <c r="F23" s="10" t="inlineStr">
        <is>
          <t>100119816</t>
        </is>
      </c>
      <c r="G23" s="12" t="inlineStr">
        <is>
          <t>226324</t>
        </is>
      </c>
      <c r="H23" s="13" t="n">
        <v>41190</v>
      </c>
      <c r="I23" s="693" t="n">
        <v>26.01</v>
      </c>
      <c r="J23" s="9" t="n"/>
    </row>
    <row r="24" ht="18" customHeight="1" s="408">
      <c r="A24" s="33" t="n">
        <v>18</v>
      </c>
      <c r="B24" s="12" t="inlineStr">
        <is>
          <t>226428</t>
        </is>
      </c>
      <c r="C24" s="13" t="n">
        <v>41194</v>
      </c>
      <c r="D24" s="693" t="n">
        <v>31.78</v>
      </c>
      <c r="E24" s="11" t="inlineStr">
        <is>
          <t>S G L CAMBODIA</t>
        </is>
      </c>
      <c r="F24" s="10" t="inlineStr">
        <is>
          <t>100119816</t>
        </is>
      </c>
      <c r="G24" s="12" t="inlineStr">
        <is>
          <t>226428</t>
        </is>
      </c>
      <c r="H24" s="13" t="n">
        <v>41194</v>
      </c>
      <c r="I24" s="693" t="n">
        <v>31.78</v>
      </c>
      <c r="J24" s="9" t="n"/>
    </row>
    <row r="25" ht="18" customHeight="1" s="408">
      <c r="A25" s="33" t="n">
        <v>19</v>
      </c>
      <c r="B25" s="12" t="inlineStr">
        <is>
          <t>226446</t>
        </is>
      </c>
      <c r="C25" s="13" t="n">
        <v>41194</v>
      </c>
      <c r="D25" s="693" t="n">
        <v>5</v>
      </c>
      <c r="E25" s="11" t="inlineStr">
        <is>
          <t>S G L CAMBODIA</t>
        </is>
      </c>
      <c r="F25" s="10" t="inlineStr">
        <is>
          <t>100119816</t>
        </is>
      </c>
      <c r="G25" s="12" t="inlineStr">
        <is>
          <t>226446</t>
        </is>
      </c>
      <c r="H25" s="13" t="n">
        <v>41194</v>
      </c>
      <c r="I25" s="693" t="n">
        <v>5</v>
      </c>
      <c r="J25" s="9" t="n"/>
    </row>
    <row r="26" ht="18" customHeight="1" s="408">
      <c r="A26" s="33" t="n">
        <v>20</v>
      </c>
      <c r="B26" s="12" t="inlineStr">
        <is>
          <t>226552</t>
        </is>
      </c>
      <c r="C26" s="13" t="n">
        <v>41204</v>
      </c>
      <c r="D26" s="693" t="n">
        <v>22.41</v>
      </c>
      <c r="E26" s="11" t="inlineStr">
        <is>
          <t>S G L CAMBODIA</t>
        </is>
      </c>
      <c r="F26" s="10" t="inlineStr">
        <is>
          <t>100119816</t>
        </is>
      </c>
      <c r="G26" s="12" t="inlineStr">
        <is>
          <t>226552</t>
        </is>
      </c>
      <c r="H26" s="13" t="n">
        <v>41204</v>
      </c>
      <c r="I26" s="693" t="n">
        <v>22.41</v>
      </c>
      <c r="J26" s="9" t="n"/>
    </row>
    <row r="27" ht="18" customHeight="1" s="408">
      <c r="A27" s="33" t="n">
        <v>21</v>
      </c>
      <c r="B27" s="12" t="inlineStr">
        <is>
          <t>226571</t>
        </is>
      </c>
      <c r="C27" s="13" t="n">
        <v>41204</v>
      </c>
      <c r="D27" s="693" t="n">
        <v>21.7</v>
      </c>
      <c r="E27" s="11" t="inlineStr">
        <is>
          <t>S G L CAMBODIA</t>
        </is>
      </c>
      <c r="F27" s="10" t="inlineStr">
        <is>
          <t>100119816</t>
        </is>
      </c>
      <c r="G27" s="12" t="inlineStr">
        <is>
          <t>226571</t>
        </is>
      </c>
      <c r="H27" s="13" t="n">
        <v>41204</v>
      </c>
      <c r="I27" s="693" t="n">
        <v>21.7</v>
      </c>
      <c r="J27" s="9" t="n"/>
    </row>
    <row r="28" ht="18" customHeight="1" s="408">
      <c r="A28" s="33" t="n">
        <v>22</v>
      </c>
      <c r="B28" s="12" t="inlineStr">
        <is>
          <t>226648</t>
        </is>
      </c>
      <c r="C28" s="13" t="n">
        <v>41212</v>
      </c>
      <c r="D28" s="693" t="n">
        <v>25.12</v>
      </c>
      <c r="E28" s="11" t="inlineStr">
        <is>
          <t>S G L CAMBODIA</t>
        </is>
      </c>
      <c r="F28" s="10" t="inlineStr">
        <is>
          <t>100119816</t>
        </is>
      </c>
      <c r="G28" s="12" t="inlineStr">
        <is>
          <t>226648</t>
        </is>
      </c>
      <c r="H28" s="13" t="n">
        <v>41212</v>
      </c>
      <c r="I28" s="693" t="n">
        <v>25.12</v>
      </c>
      <c r="J28" s="9" t="n"/>
    </row>
    <row r="29" ht="18" customHeight="1" s="408">
      <c r="A29" s="33" t="n">
        <v>23</v>
      </c>
      <c r="B29" s="12" t="inlineStr">
        <is>
          <t>226720</t>
        </is>
      </c>
      <c r="C29" s="13" t="n">
        <v>41212</v>
      </c>
      <c r="D29" s="693" t="n">
        <v>33.19</v>
      </c>
      <c r="E29" s="11" t="inlineStr">
        <is>
          <t>S G L CAMBODIA</t>
        </is>
      </c>
      <c r="F29" s="10" t="inlineStr">
        <is>
          <t>100119816</t>
        </is>
      </c>
      <c r="G29" s="12" t="inlineStr">
        <is>
          <t>226720</t>
        </is>
      </c>
      <c r="H29" s="13" t="n">
        <v>41212</v>
      </c>
      <c r="I29" s="693" t="n">
        <v>33.19</v>
      </c>
      <c r="J29" s="9" t="n"/>
    </row>
    <row r="30" ht="18" customHeight="1" s="408">
      <c r="A30" s="33" t="n">
        <v>24</v>
      </c>
      <c r="B30" s="12" t="inlineStr">
        <is>
          <t>225606</t>
        </is>
      </c>
      <c r="C30" s="13" t="n">
        <v>41156</v>
      </c>
      <c r="D30" s="693" t="n">
        <v>15.08</v>
      </c>
      <c r="E30" s="11" t="inlineStr">
        <is>
          <t>S G L CAMBODIA</t>
        </is>
      </c>
      <c r="F30" s="10" t="inlineStr">
        <is>
          <t>100119816</t>
        </is>
      </c>
      <c r="G30" s="12" t="inlineStr">
        <is>
          <t>225606</t>
        </is>
      </c>
      <c r="H30" s="13" t="n">
        <v>41156</v>
      </c>
      <c r="I30" s="693" t="n">
        <v>15.08</v>
      </c>
      <c r="J30" s="9" t="n"/>
    </row>
    <row r="31" ht="18" customHeight="1" s="408">
      <c r="A31" s="33" t="n">
        <v>25</v>
      </c>
      <c r="B31" s="12" t="inlineStr">
        <is>
          <t>225707</t>
        </is>
      </c>
      <c r="C31" s="13" t="n">
        <v>41163</v>
      </c>
      <c r="D31" s="693" t="n">
        <v>9.619999999999999</v>
      </c>
      <c r="E31" s="11" t="inlineStr">
        <is>
          <t>S G L CAMBODIA</t>
        </is>
      </c>
      <c r="F31" s="10" t="inlineStr">
        <is>
          <t>100119816</t>
        </is>
      </c>
      <c r="G31" s="12" t="inlineStr">
        <is>
          <t>225707</t>
        </is>
      </c>
      <c r="H31" s="13" t="n">
        <v>41163</v>
      </c>
      <c r="I31" s="693" t="n">
        <v>9.619999999999999</v>
      </c>
      <c r="J31" s="9" t="n"/>
    </row>
    <row r="32" ht="18" customHeight="1" s="408">
      <c r="A32" s="33" t="n">
        <v>26</v>
      </c>
      <c r="B32" s="12" t="inlineStr">
        <is>
          <t>225805</t>
        </is>
      </c>
      <c r="C32" s="13" t="n">
        <v>41164</v>
      </c>
      <c r="D32" s="693" t="n">
        <v>9.24</v>
      </c>
      <c r="E32" s="11" t="inlineStr">
        <is>
          <t>S G L CAMBODIA</t>
        </is>
      </c>
      <c r="F32" s="10" t="inlineStr">
        <is>
          <t>100119816</t>
        </is>
      </c>
      <c r="G32" s="12" t="inlineStr">
        <is>
          <t>225805</t>
        </is>
      </c>
      <c r="H32" s="13" t="n">
        <v>41164</v>
      </c>
      <c r="I32" s="693" t="n">
        <v>9.24</v>
      </c>
      <c r="J32" s="9" t="n"/>
    </row>
    <row r="33" ht="18" customHeight="1" s="408">
      <c r="A33" s="33" t="n">
        <v>27</v>
      </c>
      <c r="B33" s="12" t="inlineStr">
        <is>
          <t>225895</t>
        </is>
      </c>
      <c r="C33" s="13" t="n">
        <v>41170</v>
      </c>
      <c r="D33" s="693" t="n">
        <v>26.71</v>
      </c>
      <c r="E33" s="11" t="inlineStr">
        <is>
          <t>S G L CAMBODIA</t>
        </is>
      </c>
      <c r="F33" s="10" t="inlineStr">
        <is>
          <t>100119816</t>
        </is>
      </c>
      <c r="G33" s="12" t="inlineStr">
        <is>
          <t>225895</t>
        </is>
      </c>
      <c r="H33" s="13" t="n">
        <v>41170</v>
      </c>
      <c r="I33" s="693" t="n">
        <v>26.71</v>
      </c>
      <c r="J33" s="9" t="n"/>
    </row>
    <row r="34" ht="18" customHeight="1" s="408">
      <c r="A34" s="33" t="n">
        <v>28</v>
      </c>
      <c r="B34" s="12" t="inlineStr">
        <is>
          <t>225929</t>
        </is>
      </c>
      <c r="C34" s="13" t="n">
        <v>41170</v>
      </c>
      <c r="D34" s="693" t="n">
        <v>34.48</v>
      </c>
      <c r="E34" s="11" t="inlineStr">
        <is>
          <t>S G L CAMBODIA</t>
        </is>
      </c>
      <c r="F34" s="10" t="inlineStr">
        <is>
          <t>100119816</t>
        </is>
      </c>
      <c r="G34" s="12" t="inlineStr">
        <is>
          <t>225929</t>
        </is>
      </c>
      <c r="H34" s="13" t="n">
        <v>41170</v>
      </c>
      <c r="I34" s="693" t="n">
        <v>34.48</v>
      </c>
      <c r="J34" s="9" t="n"/>
    </row>
    <row r="35" ht="18" customHeight="1" s="408">
      <c r="A35" s="33" t="n">
        <v>29</v>
      </c>
      <c r="B35" s="12" t="inlineStr">
        <is>
          <t>226064</t>
        </is>
      </c>
      <c r="C35" s="13" t="n">
        <v>41177</v>
      </c>
      <c r="D35" s="693" t="n">
        <v>48.74</v>
      </c>
      <c r="E35" s="11" t="inlineStr">
        <is>
          <t>S G L CAMBODIA</t>
        </is>
      </c>
      <c r="F35" s="10" t="inlineStr">
        <is>
          <t>100119816</t>
        </is>
      </c>
      <c r="G35" s="12" t="inlineStr">
        <is>
          <t>226064</t>
        </is>
      </c>
      <c r="H35" s="13" t="n">
        <v>41177</v>
      </c>
      <c r="I35" s="693" t="n">
        <v>48.74</v>
      </c>
      <c r="J35" s="9" t="n"/>
    </row>
    <row r="36" ht="18" customHeight="1" s="408">
      <c r="A36" s="33" t="n">
        <v>30</v>
      </c>
      <c r="B36" s="12" t="inlineStr">
        <is>
          <t>226090</t>
        </is>
      </c>
      <c r="C36" s="13" t="n">
        <v>41178</v>
      </c>
      <c r="D36" s="693" t="n">
        <v>23.06</v>
      </c>
      <c r="E36" s="11" t="inlineStr">
        <is>
          <t>S G L CAMBODIA</t>
        </is>
      </c>
      <c r="F36" s="10" t="inlineStr">
        <is>
          <t>100119816</t>
        </is>
      </c>
      <c r="G36" s="12" t="inlineStr">
        <is>
          <t>226090</t>
        </is>
      </c>
      <c r="H36" s="13" t="n">
        <v>41178</v>
      </c>
      <c r="I36" s="693" t="n">
        <v>23.06</v>
      </c>
      <c r="J36" s="9" t="n"/>
    </row>
    <row r="37" ht="18" customHeight="1" s="408">
      <c r="A37" s="33" t="n">
        <v>31</v>
      </c>
      <c r="B37" s="12" t="inlineStr">
        <is>
          <t>226161</t>
        </is>
      </c>
      <c r="C37" s="13" t="n">
        <v>41182</v>
      </c>
      <c r="D37" s="693" t="n">
        <v>22.2</v>
      </c>
      <c r="E37" s="11" t="inlineStr">
        <is>
          <t>S G L CAMBODIA</t>
        </is>
      </c>
      <c r="F37" s="10" t="inlineStr">
        <is>
          <t>100119816</t>
        </is>
      </c>
      <c r="G37" s="12" t="inlineStr">
        <is>
          <t>226161</t>
        </is>
      </c>
      <c r="H37" s="13" t="n">
        <v>41182</v>
      </c>
      <c r="I37" s="693" t="n">
        <v>22.2</v>
      </c>
      <c r="J37" s="9" t="n"/>
    </row>
    <row r="38" ht="18" customHeight="1" s="408">
      <c r="A38" s="33" t="n">
        <v>32</v>
      </c>
      <c r="B38" s="12" t="inlineStr">
        <is>
          <t>226168</t>
        </is>
      </c>
      <c r="C38" s="13" t="n">
        <v>41182</v>
      </c>
      <c r="D38" s="693" t="n">
        <v>2.5</v>
      </c>
      <c r="E38" s="11" t="inlineStr">
        <is>
          <t>S G L CAMBODIA</t>
        </is>
      </c>
      <c r="F38" s="10" t="inlineStr">
        <is>
          <t>100119816</t>
        </is>
      </c>
      <c r="G38" s="12" t="inlineStr">
        <is>
          <t>226168</t>
        </is>
      </c>
      <c r="H38" s="13" t="n">
        <v>41182</v>
      </c>
      <c r="I38" s="693" t="n">
        <v>2.5</v>
      </c>
      <c r="J38" s="9" t="n"/>
    </row>
    <row r="39" ht="18" customHeight="1" s="408">
      <c r="A39" s="33" t="n">
        <v>33</v>
      </c>
      <c r="B39" s="12" t="inlineStr">
        <is>
          <t>226176</t>
        </is>
      </c>
      <c r="C39" s="13" t="n">
        <v>41182</v>
      </c>
      <c r="D39" s="693" t="n">
        <v>18.09</v>
      </c>
      <c r="E39" s="11" t="inlineStr">
        <is>
          <t>S G L CAMBODIA</t>
        </is>
      </c>
      <c r="F39" s="10" t="inlineStr">
        <is>
          <t>100119816</t>
        </is>
      </c>
      <c r="G39" s="12" t="inlineStr">
        <is>
          <t>226176</t>
        </is>
      </c>
      <c r="H39" s="13" t="n">
        <v>41182</v>
      </c>
      <c r="I39" s="693" t="n">
        <v>18.09</v>
      </c>
      <c r="J39" s="9" t="n"/>
    </row>
    <row r="40" ht="18" customHeight="1" s="408">
      <c r="A40" s="33" t="n">
        <v>34</v>
      </c>
      <c r="B40" s="12" t="inlineStr">
        <is>
          <t>224986</t>
        </is>
      </c>
      <c r="C40" s="13" t="n">
        <v>41128</v>
      </c>
      <c r="D40" s="693" t="n">
        <v>2.7</v>
      </c>
      <c r="E40" s="11" t="inlineStr">
        <is>
          <t>S G L CAMBODIA</t>
        </is>
      </c>
      <c r="F40" s="10" t="inlineStr">
        <is>
          <t>100119816</t>
        </is>
      </c>
      <c r="G40" s="12" t="inlineStr">
        <is>
          <t>224986</t>
        </is>
      </c>
      <c r="H40" s="13" t="n">
        <v>41128</v>
      </c>
      <c r="I40" s="693" t="n">
        <v>2.7</v>
      </c>
      <c r="J40" s="9" t="n"/>
    </row>
    <row r="41" ht="18" customHeight="1" s="408">
      <c r="A41" s="33" t="n">
        <v>35</v>
      </c>
      <c r="B41" s="12" t="inlineStr">
        <is>
          <t>225135</t>
        </is>
      </c>
      <c r="C41" s="13" t="n">
        <v>41135</v>
      </c>
      <c r="D41" s="693" t="n">
        <v>3.87</v>
      </c>
      <c r="E41" s="11" t="inlineStr">
        <is>
          <t>S G L CAMBODIA</t>
        </is>
      </c>
      <c r="F41" s="10" t="inlineStr">
        <is>
          <t>100119816</t>
        </is>
      </c>
      <c r="G41" s="12" t="inlineStr">
        <is>
          <t>225135</t>
        </is>
      </c>
      <c r="H41" s="13" t="n">
        <v>41135</v>
      </c>
      <c r="I41" s="693" t="n">
        <v>3.87</v>
      </c>
      <c r="J41" s="9" t="n"/>
    </row>
    <row r="42" ht="18" customHeight="1" s="408">
      <c r="A42" s="33" t="n">
        <v>36</v>
      </c>
      <c r="B42" s="12" t="inlineStr">
        <is>
          <t>225313</t>
        </is>
      </c>
      <c r="C42" s="13" t="n">
        <v>41142</v>
      </c>
      <c r="D42" s="693" t="n">
        <v>11.58</v>
      </c>
      <c r="E42" s="11" t="inlineStr">
        <is>
          <t>S G L CAMBODIA</t>
        </is>
      </c>
      <c r="F42" s="10" t="inlineStr">
        <is>
          <t>100119816</t>
        </is>
      </c>
      <c r="G42" s="12" t="inlineStr">
        <is>
          <t>225313</t>
        </is>
      </c>
      <c r="H42" s="13" t="n">
        <v>41142</v>
      </c>
      <c r="I42" s="693" t="n">
        <v>11.58</v>
      </c>
      <c r="J42" s="9" t="n"/>
    </row>
    <row r="43" ht="18" customHeight="1" s="408">
      <c r="A43" s="33" t="n">
        <v>37</v>
      </c>
      <c r="B43" s="12" t="inlineStr">
        <is>
          <t>224307</t>
        </is>
      </c>
      <c r="C43" s="13" t="n">
        <v>41100</v>
      </c>
      <c r="D43" s="693" t="n">
        <v>5.09</v>
      </c>
      <c r="E43" s="11" t="inlineStr">
        <is>
          <t>S G L CAMBODIA</t>
        </is>
      </c>
      <c r="F43" s="10" t="inlineStr">
        <is>
          <t>100119816</t>
        </is>
      </c>
      <c r="G43" s="12" t="inlineStr">
        <is>
          <t>224307</t>
        </is>
      </c>
      <c r="H43" s="13" t="n">
        <v>41100</v>
      </c>
      <c r="I43" s="693" t="n">
        <v>5.09</v>
      </c>
      <c r="J43" s="9" t="n"/>
    </row>
    <row r="44" ht="18" customHeight="1" s="408">
      <c r="A44" s="33" t="n">
        <v>38</v>
      </c>
      <c r="B44" s="12" t="inlineStr">
        <is>
          <t>224464</t>
        </is>
      </c>
      <c r="C44" s="13" t="n">
        <v>41106</v>
      </c>
      <c r="D44" s="693" t="n">
        <v>8.140000000000001</v>
      </c>
      <c r="E44" s="11" t="inlineStr">
        <is>
          <t>S G L CAMBODIA</t>
        </is>
      </c>
      <c r="F44" s="10" t="inlineStr">
        <is>
          <t>100119816</t>
        </is>
      </c>
      <c r="G44" s="12" t="inlineStr">
        <is>
          <t>224464</t>
        </is>
      </c>
      <c r="H44" s="13" t="n">
        <v>41106</v>
      </c>
      <c r="I44" s="693" t="n">
        <v>8.140000000000001</v>
      </c>
      <c r="J44" s="9" t="n"/>
    </row>
    <row r="45" ht="18" customHeight="1" s="408">
      <c r="A45" s="33" t="n">
        <v>39</v>
      </c>
      <c r="B45" s="12" t="inlineStr">
        <is>
          <t>224506</t>
        </is>
      </c>
      <c r="C45" s="13" t="n">
        <v>41107</v>
      </c>
      <c r="D45" s="693" t="n">
        <v>21.57</v>
      </c>
      <c r="E45" s="11" t="inlineStr">
        <is>
          <t>S G L CAMBODIA</t>
        </is>
      </c>
      <c r="F45" s="10" t="inlineStr">
        <is>
          <t>100119816</t>
        </is>
      </c>
      <c r="G45" s="12" t="inlineStr">
        <is>
          <t>224506</t>
        </is>
      </c>
      <c r="H45" s="13" t="n">
        <v>41107</v>
      </c>
      <c r="I45" s="693" t="n">
        <v>21.57</v>
      </c>
      <c r="J45" s="9" t="n"/>
    </row>
    <row r="46" ht="18" customHeight="1" s="408">
      <c r="A46" s="33" t="n">
        <v>40</v>
      </c>
      <c r="B46" s="12" t="inlineStr">
        <is>
          <t>224593</t>
        </is>
      </c>
      <c r="C46" s="13" t="n">
        <v>41113</v>
      </c>
      <c r="D46" s="693" t="n">
        <v>8.869999999999999</v>
      </c>
      <c r="E46" s="11" t="inlineStr">
        <is>
          <t>S G L CAMBODIA</t>
        </is>
      </c>
      <c r="F46" s="10" t="inlineStr">
        <is>
          <t>100119816</t>
        </is>
      </c>
      <c r="G46" s="12" t="inlineStr">
        <is>
          <t>224593</t>
        </is>
      </c>
      <c r="H46" s="13" t="n">
        <v>41113</v>
      </c>
      <c r="I46" s="693" t="n">
        <v>8.869999999999999</v>
      </c>
      <c r="J46" s="9" t="n"/>
    </row>
    <row r="47" ht="18" customHeight="1" s="408">
      <c r="A47" s="33" t="n">
        <v>41</v>
      </c>
      <c r="B47" s="12" t="inlineStr">
        <is>
          <t>224600</t>
        </is>
      </c>
      <c r="C47" s="13" t="n">
        <v>41113</v>
      </c>
      <c r="D47" s="693" t="n">
        <v>3.88</v>
      </c>
      <c r="E47" s="11" t="inlineStr">
        <is>
          <t>S G L CAMBODIA</t>
        </is>
      </c>
      <c r="F47" s="10" t="inlineStr">
        <is>
          <t>100119816</t>
        </is>
      </c>
      <c r="G47" s="12" t="inlineStr">
        <is>
          <t>224600</t>
        </is>
      </c>
      <c r="H47" s="13" t="n">
        <v>41113</v>
      </c>
      <c r="I47" s="693" t="n">
        <v>3.88</v>
      </c>
      <c r="J47" s="9" t="n"/>
    </row>
    <row r="48" ht="18" customHeight="1" s="408">
      <c r="A48" s="33" t="n">
        <v>42</v>
      </c>
      <c r="B48" s="12" t="inlineStr">
        <is>
          <t>224808</t>
        </is>
      </c>
      <c r="C48" s="13" t="n">
        <v>41121</v>
      </c>
      <c r="D48" s="693" t="n">
        <v>23.99</v>
      </c>
      <c r="E48" s="11" t="inlineStr">
        <is>
          <t>S G L CAMBODIA</t>
        </is>
      </c>
      <c r="F48" s="10" t="inlineStr">
        <is>
          <t>100119816</t>
        </is>
      </c>
      <c r="G48" s="12" t="inlineStr">
        <is>
          <t>224808</t>
        </is>
      </c>
      <c r="H48" s="13" t="n">
        <v>41121</v>
      </c>
      <c r="I48" s="693" t="n">
        <v>23.99</v>
      </c>
      <c r="J48" s="9" t="n"/>
    </row>
    <row r="49" ht="18" customHeight="1" s="408">
      <c r="A49" s="33" t="n">
        <v>43</v>
      </c>
      <c r="B49" s="17" t="inlineStr">
        <is>
          <t>227722</t>
        </is>
      </c>
      <c r="C49" s="18" t="n">
        <v>41267</v>
      </c>
      <c r="D49" s="694" t="n">
        <v>86.04000000000001</v>
      </c>
      <c r="E49" s="11" t="inlineStr">
        <is>
          <t>S G L CAMBODIA</t>
        </is>
      </c>
      <c r="F49" s="10" t="inlineStr">
        <is>
          <t>100119816</t>
        </is>
      </c>
      <c r="G49" s="17" t="inlineStr">
        <is>
          <t>227722</t>
        </is>
      </c>
      <c r="H49" s="18" t="n">
        <v>41267</v>
      </c>
      <c r="I49" s="694" t="n">
        <v>86.04000000000001</v>
      </c>
      <c r="J49" s="9" t="n"/>
    </row>
    <row r="50" ht="18" customHeight="1" s="408">
      <c r="A50" s="33" t="n">
        <v>44</v>
      </c>
      <c r="B50" s="17" t="inlineStr">
        <is>
          <t>227769</t>
        </is>
      </c>
      <c r="C50" s="18" t="n">
        <v>41268</v>
      </c>
      <c r="D50" s="694" t="n">
        <v>21.2</v>
      </c>
      <c r="E50" s="11" t="inlineStr">
        <is>
          <t>S G L CAMBODIA</t>
        </is>
      </c>
      <c r="F50" s="10" t="inlineStr">
        <is>
          <t>100119816</t>
        </is>
      </c>
      <c r="G50" s="17" t="inlineStr">
        <is>
          <t>227769</t>
        </is>
      </c>
      <c r="H50" s="18" t="n">
        <v>41268</v>
      </c>
      <c r="I50" s="694" t="n">
        <v>21.2</v>
      </c>
      <c r="J50" s="9" t="n"/>
    </row>
    <row r="51" ht="18" customHeight="1" s="408">
      <c r="A51" s="33" t="n">
        <v>45</v>
      </c>
      <c r="B51" s="17" t="inlineStr">
        <is>
          <t>328007</t>
        </is>
      </c>
      <c r="C51" s="18" t="n">
        <v>41281</v>
      </c>
      <c r="D51" s="694" t="n">
        <v>23.7</v>
      </c>
      <c r="E51" s="11" t="inlineStr">
        <is>
          <t>S G L CAMBODIA</t>
        </is>
      </c>
      <c r="F51" s="10" t="inlineStr">
        <is>
          <t>100119816</t>
        </is>
      </c>
      <c r="G51" s="17" t="inlineStr">
        <is>
          <t>328007</t>
        </is>
      </c>
      <c r="H51" s="18" t="n">
        <v>41281</v>
      </c>
      <c r="I51" s="694" t="n">
        <v>23.7</v>
      </c>
      <c r="J51" s="9" t="n"/>
    </row>
    <row r="52" ht="18" customHeight="1" s="408">
      <c r="A52" s="33" t="n">
        <v>46</v>
      </c>
      <c r="B52" s="17" t="inlineStr">
        <is>
          <t>327989</t>
        </is>
      </c>
      <c r="C52" s="18" t="n">
        <v>41281</v>
      </c>
      <c r="D52" s="694" t="n">
        <v>28.45</v>
      </c>
      <c r="E52" s="11" t="inlineStr">
        <is>
          <t>S G L CAMBODIA</t>
        </is>
      </c>
      <c r="F52" s="10" t="inlineStr">
        <is>
          <t>100119816</t>
        </is>
      </c>
      <c r="G52" s="17" t="inlineStr">
        <is>
          <t>327989</t>
        </is>
      </c>
      <c r="H52" s="18" t="n">
        <v>41281</v>
      </c>
      <c r="I52" s="694" t="n">
        <v>28.45</v>
      </c>
      <c r="J52" s="9" t="n"/>
    </row>
    <row r="53" ht="18" customHeight="1" s="408">
      <c r="A53" s="33" t="n">
        <v>47</v>
      </c>
      <c r="B53" s="17" t="inlineStr">
        <is>
          <t>328007</t>
        </is>
      </c>
      <c r="C53" s="18" t="n">
        <v>41281</v>
      </c>
      <c r="D53" s="694" t="n">
        <v>23.7</v>
      </c>
      <c r="E53" s="11" t="inlineStr">
        <is>
          <t>S G L CAMBODIA</t>
        </is>
      </c>
      <c r="F53" s="10" t="inlineStr">
        <is>
          <t>100119816</t>
        </is>
      </c>
      <c r="G53" s="17" t="inlineStr">
        <is>
          <t>328007</t>
        </is>
      </c>
      <c r="H53" s="18" t="n">
        <v>41281</v>
      </c>
      <c r="I53" s="694" t="n">
        <v>23.7</v>
      </c>
      <c r="J53" s="9" t="n"/>
    </row>
    <row r="54" ht="18" customHeight="1" s="408">
      <c r="A54" s="33" t="n">
        <v>48</v>
      </c>
      <c r="B54" s="17" t="inlineStr">
        <is>
          <t>328028</t>
        </is>
      </c>
      <c r="C54" s="18" t="n">
        <v>41282</v>
      </c>
      <c r="D54" s="694" t="n">
        <v>28.76</v>
      </c>
      <c r="E54" s="11" t="inlineStr">
        <is>
          <t>S G L CAMBODIA</t>
        </is>
      </c>
      <c r="F54" s="10" t="inlineStr">
        <is>
          <t>100119816</t>
        </is>
      </c>
      <c r="G54" s="17" t="inlineStr">
        <is>
          <t>328028</t>
        </is>
      </c>
      <c r="H54" s="18" t="n">
        <v>41282</v>
      </c>
      <c r="I54" s="694" t="n">
        <v>28.76</v>
      </c>
      <c r="J54" s="9" t="n"/>
    </row>
    <row r="55" ht="18" customHeight="1" s="408">
      <c r="A55" s="33" t="n">
        <v>49</v>
      </c>
      <c r="B55" s="17" t="inlineStr">
        <is>
          <t>328148</t>
        </is>
      </c>
      <c r="C55" s="18" t="n">
        <v>41289</v>
      </c>
      <c r="D55" s="694" t="n">
        <v>27.42</v>
      </c>
      <c r="E55" s="11" t="inlineStr">
        <is>
          <t>S G L CAMBODIA</t>
        </is>
      </c>
      <c r="F55" s="10" t="inlineStr">
        <is>
          <t>100119816</t>
        </is>
      </c>
      <c r="G55" s="17" t="inlineStr">
        <is>
          <t>328148</t>
        </is>
      </c>
      <c r="H55" s="18" t="n">
        <v>41289</v>
      </c>
      <c r="I55" s="694" t="n">
        <v>27.42</v>
      </c>
      <c r="J55" s="9" t="n"/>
    </row>
    <row r="56" ht="18" customHeight="1" s="408">
      <c r="A56" s="33" t="n">
        <v>50</v>
      </c>
      <c r="B56" s="17" t="inlineStr">
        <is>
          <t>328162</t>
        </is>
      </c>
      <c r="C56" s="18" t="n">
        <v>41289</v>
      </c>
      <c r="D56" s="694" t="n">
        <v>21.46</v>
      </c>
      <c r="E56" s="11" t="inlineStr">
        <is>
          <t>S G L CAMBODIA</t>
        </is>
      </c>
      <c r="F56" s="10" t="inlineStr">
        <is>
          <t>100119816</t>
        </is>
      </c>
      <c r="G56" s="17" t="inlineStr">
        <is>
          <t>328162</t>
        </is>
      </c>
      <c r="H56" s="18" t="n">
        <v>41289</v>
      </c>
      <c r="I56" s="694" t="n">
        <v>21.46</v>
      </c>
      <c r="J56" s="9" t="n"/>
    </row>
    <row r="57" ht="18" customHeight="1" s="408">
      <c r="A57" s="33" t="n">
        <v>51</v>
      </c>
      <c r="B57" s="17" t="inlineStr">
        <is>
          <t>328177</t>
        </is>
      </c>
      <c r="C57" s="18" t="n">
        <v>41289</v>
      </c>
      <c r="D57" s="694" t="n">
        <v>35.64</v>
      </c>
      <c r="E57" s="11" t="inlineStr">
        <is>
          <t>S G L CAMBODIA</t>
        </is>
      </c>
      <c r="F57" s="10" t="inlineStr">
        <is>
          <t>100119816</t>
        </is>
      </c>
      <c r="G57" s="17" t="inlineStr">
        <is>
          <t>328177</t>
        </is>
      </c>
      <c r="H57" s="18" t="n">
        <v>41289</v>
      </c>
      <c r="I57" s="694" t="n">
        <v>35.64</v>
      </c>
      <c r="J57" s="9" t="n"/>
    </row>
    <row r="58" ht="18" customHeight="1" s="408">
      <c r="A58" s="33" t="n">
        <v>52</v>
      </c>
      <c r="B58" s="17" t="inlineStr">
        <is>
          <t>328264</t>
        </is>
      </c>
      <c r="C58" s="18" t="n">
        <v>41295</v>
      </c>
      <c r="D58" s="694" t="n">
        <v>21</v>
      </c>
      <c r="E58" s="11" t="inlineStr">
        <is>
          <t>S G L CAMBODIA</t>
        </is>
      </c>
      <c r="F58" s="10" t="inlineStr">
        <is>
          <t>100119816</t>
        </is>
      </c>
      <c r="G58" s="17" t="inlineStr">
        <is>
          <t>328264</t>
        </is>
      </c>
      <c r="H58" s="18" t="n">
        <v>41295</v>
      </c>
      <c r="I58" s="694" t="n">
        <v>21</v>
      </c>
      <c r="J58" s="9" t="n"/>
    </row>
    <row r="59" ht="18" customHeight="1" s="408">
      <c r="A59" s="33" t="n">
        <v>53</v>
      </c>
      <c r="B59" s="17" t="inlineStr">
        <is>
          <t>328305</t>
        </is>
      </c>
      <c r="C59" s="18" t="n">
        <v>41296</v>
      </c>
      <c r="D59" s="694" t="n">
        <v>36.19</v>
      </c>
      <c r="E59" s="11" t="inlineStr">
        <is>
          <t>S G L CAMBODIA</t>
        </is>
      </c>
      <c r="F59" s="10" t="inlineStr">
        <is>
          <t>100119816</t>
        </is>
      </c>
      <c r="G59" s="17" t="inlineStr">
        <is>
          <t>328305</t>
        </is>
      </c>
      <c r="H59" s="18" t="n">
        <v>41296</v>
      </c>
      <c r="I59" s="694" t="n">
        <v>36.19</v>
      </c>
      <c r="J59" s="9" t="n"/>
    </row>
    <row r="60" ht="18" customHeight="1" s="408">
      <c r="A60" s="33" t="n">
        <v>54</v>
      </c>
      <c r="B60" s="17" t="inlineStr">
        <is>
          <t>328387</t>
        </is>
      </c>
      <c r="C60" s="18" t="n">
        <v>41302</v>
      </c>
      <c r="D60" s="694" t="n">
        <v>2.7</v>
      </c>
      <c r="E60" s="11" t="inlineStr">
        <is>
          <t>S G L CAMBODIA</t>
        </is>
      </c>
      <c r="F60" s="10" t="inlineStr">
        <is>
          <t>100119816</t>
        </is>
      </c>
      <c r="G60" s="17" t="inlineStr">
        <is>
          <t>328387</t>
        </is>
      </c>
      <c r="H60" s="18" t="n">
        <v>41302</v>
      </c>
      <c r="I60" s="694" t="n">
        <v>2.7</v>
      </c>
      <c r="J60" s="9" t="n"/>
    </row>
    <row r="61" ht="18" customHeight="1" s="408">
      <c r="A61" s="33" t="n">
        <v>55</v>
      </c>
      <c r="B61" s="17" t="inlineStr">
        <is>
          <t>328423</t>
        </is>
      </c>
      <c r="C61" s="18" t="n">
        <v>41302</v>
      </c>
      <c r="D61" s="694" t="n">
        <v>24.92</v>
      </c>
      <c r="E61" s="11" t="inlineStr">
        <is>
          <t>S G L CAMBODIA</t>
        </is>
      </c>
      <c r="F61" s="10" t="inlineStr">
        <is>
          <t>100119816</t>
        </is>
      </c>
      <c r="G61" s="17" t="inlineStr">
        <is>
          <t>328423</t>
        </is>
      </c>
      <c r="H61" s="18" t="n">
        <v>41302</v>
      </c>
      <c r="I61" s="694" t="n">
        <v>24.92</v>
      </c>
      <c r="J61" s="9" t="n"/>
    </row>
    <row r="62" ht="18" customHeight="1" s="408">
      <c r="A62" s="33" t="n">
        <v>56</v>
      </c>
      <c r="B62" s="17" t="inlineStr">
        <is>
          <t>328441</t>
        </is>
      </c>
      <c r="C62" s="18" t="n">
        <v>41302</v>
      </c>
      <c r="D62" s="694" t="n">
        <v>40.06</v>
      </c>
      <c r="E62" s="11" t="inlineStr">
        <is>
          <t>S G L CAMBODIA</t>
        </is>
      </c>
      <c r="F62" s="10" t="inlineStr">
        <is>
          <t>100119816</t>
        </is>
      </c>
      <c r="G62" s="17" t="inlineStr">
        <is>
          <t>328441</t>
        </is>
      </c>
      <c r="H62" s="18" t="n">
        <v>41302</v>
      </c>
      <c r="I62" s="694" t="n">
        <v>40.06</v>
      </c>
      <c r="J62" s="9" t="n"/>
    </row>
    <row r="63" ht="18" customHeight="1" s="408">
      <c r="A63" s="33" t="n">
        <v>57</v>
      </c>
      <c r="B63" s="17" t="inlineStr">
        <is>
          <t>328460</t>
        </is>
      </c>
      <c r="C63" s="18" t="n">
        <v>41303</v>
      </c>
      <c r="D63" s="694" t="n">
        <v>25.36</v>
      </c>
      <c r="E63" s="11" t="inlineStr">
        <is>
          <t>S G L CAMBODIA</t>
        </is>
      </c>
      <c r="F63" s="10" t="inlineStr">
        <is>
          <t>100119816</t>
        </is>
      </c>
      <c r="G63" s="17" t="inlineStr">
        <is>
          <t>328460</t>
        </is>
      </c>
      <c r="H63" s="18" t="n">
        <v>41303</v>
      </c>
      <c r="I63" s="694" t="n">
        <v>25.36</v>
      </c>
      <c r="J63" s="9" t="n"/>
    </row>
    <row r="64" ht="18" customHeight="1" s="408">
      <c r="A64" s="33" t="n">
        <v>58</v>
      </c>
      <c r="B64" s="17" t="inlineStr">
        <is>
          <t>328477</t>
        </is>
      </c>
      <c r="C64" s="18" t="n">
        <v>41303</v>
      </c>
      <c r="D64" s="694" t="n">
        <v>5.8</v>
      </c>
      <c r="E64" s="11" t="inlineStr">
        <is>
          <t>S G L CAMBODIA</t>
        </is>
      </c>
      <c r="F64" s="10" t="inlineStr">
        <is>
          <t>100119816</t>
        </is>
      </c>
      <c r="G64" s="17" t="inlineStr">
        <is>
          <t>328477</t>
        </is>
      </c>
      <c r="H64" s="18" t="n">
        <v>41303</v>
      </c>
      <c r="I64" s="694" t="n">
        <v>5.8</v>
      </c>
      <c r="J64" s="9" t="n"/>
    </row>
    <row r="65" ht="18" customHeight="1" s="408">
      <c r="A65" s="33" t="n">
        <v>59</v>
      </c>
      <c r="B65" s="17" t="inlineStr">
        <is>
          <t>328529</t>
        </is>
      </c>
      <c r="C65" s="18" t="n">
        <v>41310</v>
      </c>
      <c r="D65" s="694" t="n">
        <v>41.05</v>
      </c>
      <c r="E65" s="11" t="inlineStr">
        <is>
          <t>S G L CAMBODIA</t>
        </is>
      </c>
      <c r="F65" s="10" t="inlineStr">
        <is>
          <t>100119816</t>
        </is>
      </c>
      <c r="G65" s="17" t="inlineStr">
        <is>
          <t>328529</t>
        </is>
      </c>
      <c r="H65" s="18" t="n">
        <v>41310</v>
      </c>
      <c r="I65" s="694" t="n">
        <v>41.05</v>
      </c>
      <c r="J65" s="9" t="n"/>
    </row>
    <row r="66" ht="18" customHeight="1" s="408">
      <c r="A66" s="33" t="n">
        <v>60</v>
      </c>
      <c r="B66" s="17" t="inlineStr">
        <is>
          <t>328576</t>
        </is>
      </c>
      <c r="C66" s="18" t="n">
        <v>41310</v>
      </c>
      <c r="D66" s="694" t="n">
        <v>29.35</v>
      </c>
      <c r="E66" s="11" t="inlineStr">
        <is>
          <t>S G L CAMBODIA</t>
        </is>
      </c>
      <c r="F66" s="10" t="inlineStr">
        <is>
          <t>100119816</t>
        </is>
      </c>
      <c r="G66" s="17" t="inlineStr">
        <is>
          <t>328576</t>
        </is>
      </c>
      <c r="H66" s="18" t="n">
        <v>41310</v>
      </c>
      <c r="I66" s="694" t="n">
        <v>29.35</v>
      </c>
      <c r="J66" s="9" t="n"/>
    </row>
    <row r="67" ht="18" customHeight="1" s="408">
      <c r="A67" s="33" t="n">
        <v>61</v>
      </c>
      <c r="B67" s="17" t="inlineStr">
        <is>
          <t>328574</t>
        </is>
      </c>
      <c r="C67" s="18" t="n">
        <v>41310</v>
      </c>
      <c r="D67" s="694" t="n">
        <v>5</v>
      </c>
      <c r="E67" s="11" t="inlineStr">
        <is>
          <t>S G L CAMBODIA</t>
        </is>
      </c>
      <c r="F67" s="10" t="inlineStr">
        <is>
          <t>100119816</t>
        </is>
      </c>
      <c r="G67" s="17" t="inlineStr">
        <is>
          <t>328574</t>
        </is>
      </c>
      <c r="H67" s="18" t="n">
        <v>41310</v>
      </c>
      <c r="I67" s="694" t="n">
        <v>5</v>
      </c>
      <c r="J67" s="9" t="n"/>
    </row>
    <row r="68" ht="18" customHeight="1" s="408">
      <c r="A68" s="33" t="n">
        <v>62</v>
      </c>
      <c r="B68" s="17" t="inlineStr">
        <is>
          <t>328588</t>
        </is>
      </c>
      <c r="C68" s="18" t="n">
        <v>41311</v>
      </c>
      <c r="D68" s="694" t="n">
        <v>38.02</v>
      </c>
      <c r="E68" s="11" t="inlineStr">
        <is>
          <t>S G L CAMBODIA</t>
        </is>
      </c>
      <c r="F68" s="10" t="inlineStr">
        <is>
          <t>100119816</t>
        </is>
      </c>
      <c r="G68" s="17" t="inlineStr">
        <is>
          <t>328588</t>
        </is>
      </c>
      <c r="H68" s="18" t="n">
        <v>41311</v>
      </c>
      <c r="I68" s="694" t="n">
        <v>38.02</v>
      </c>
      <c r="J68" s="9" t="n"/>
    </row>
    <row r="69" ht="18" customHeight="1" s="408">
      <c r="A69" s="33" t="n">
        <v>63</v>
      </c>
      <c r="B69" s="17" t="inlineStr">
        <is>
          <t>328598</t>
        </is>
      </c>
      <c r="C69" s="18" t="n">
        <v>41311</v>
      </c>
      <c r="D69" s="694" t="n">
        <v>27.42</v>
      </c>
      <c r="E69" s="11" t="inlineStr">
        <is>
          <t>S G L CAMBODIA</t>
        </is>
      </c>
      <c r="F69" s="10" t="inlineStr">
        <is>
          <t>100119816</t>
        </is>
      </c>
      <c r="G69" s="17" t="inlineStr">
        <is>
          <t>328598</t>
        </is>
      </c>
      <c r="H69" s="18" t="n">
        <v>41311</v>
      </c>
      <c r="I69" s="694" t="n">
        <v>27.42</v>
      </c>
      <c r="J69" s="9" t="n"/>
    </row>
    <row r="70" ht="18" customHeight="1" s="408">
      <c r="A70" s="33" t="n">
        <v>64</v>
      </c>
      <c r="B70" s="17" t="inlineStr">
        <is>
          <t>328600</t>
        </is>
      </c>
      <c r="C70" s="18" t="n">
        <v>41311</v>
      </c>
      <c r="D70" s="694" t="n">
        <v>65.59999999999999</v>
      </c>
      <c r="E70" s="11" t="inlineStr">
        <is>
          <t>S G L CAMBODIA</t>
        </is>
      </c>
      <c r="F70" s="10" t="inlineStr">
        <is>
          <t>100119816</t>
        </is>
      </c>
      <c r="G70" s="17" t="inlineStr">
        <is>
          <t>328600</t>
        </is>
      </c>
      <c r="H70" s="18" t="n">
        <v>41311</v>
      </c>
      <c r="I70" s="694" t="n">
        <v>65.59999999999999</v>
      </c>
      <c r="J70" s="9" t="n"/>
    </row>
    <row r="71" ht="18" customHeight="1" s="408">
      <c r="A71" s="33" t="n">
        <v>65</v>
      </c>
      <c r="B71" s="17" t="inlineStr">
        <is>
          <t>328657</t>
        </is>
      </c>
      <c r="C71" s="18" t="n">
        <v>41317</v>
      </c>
      <c r="D71" s="694" t="n">
        <v>21.5</v>
      </c>
      <c r="E71" s="11" t="inlineStr">
        <is>
          <t>S G L CAMBODIA</t>
        </is>
      </c>
      <c r="F71" s="10" t="inlineStr">
        <is>
          <t>100119816</t>
        </is>
      </c>
      <c r="G71" s="17" t="inlineStr">
        <is>
          <t>328657</t>
        </is>
      </c>
      <c r="H71" s="18" t="n">
        <v>41317</v>
      </c>
      <c r="I71" s="694" t="n">
        <v>21.5</v>
      </c>
      <c r="J71" s="9" t="n"/>
    </row>
    <row r="72" ht="18" customHeight="1" s="408">
      <c r="A72" s="33" t="n">
        <v>66</v>
      </c>
      <c r="B72" s="17" t="inlineStr">
        <is>
          <t>328732</t>
        </is>
      </c>
      <c r="C72" s="18" t="n">
        <v>41323</v>
      </c>
      <c r="D72" s="694" t="n">
        <v>72.52</v>
      </c>
      <c r="E72" s="11" t="inlineStr">
        <is>
          <t>S G L CAMBODIA</t>
        </is>
      </c>
      <c r="F72" s="10" t="inlineStr">
        <is>
          <t>100119816</t>
        </is>
      </c>
      <c r="G72" s="17" t="inlineStr">
        <is>
          <t>328732</t>
        </is>
      </c>
      <c r="H72" s="18" t="n">
        <v>41323</v>
      </c>
      <c r="I72" s="694" t="n">
        <v>72.52</v>
      </c>
      <c r="J72" s="9" t="n"/>
    </row>
    <row r="73" ht="18" customHeight="1" s="408">
      <c r="A73" s="33" t="n">
        <v>67</v>
      </c>
      <c r="B73" s="17" t="inlineStr">
        <is>
          <t>328734</t>
        </is>
      </c>
      <c r="C73" s="18" t="n">
        <v>41323</v>
      </c>
      <c r="D73" s="694" t="n">
        <v>35.5</v>
      </c>
      <c r="E73" s="11" t="inlineStr">
        <is>
          <t>S G L CAMBODIA</t>
        </is>
      </c>
      <c r="F73" s="10" t="inlineStr">
        <is>
          <t>100119816</t>
        </is>
      </c>
      <c r="G73" s="17" t="inlineStr">
        <is>
          <t>328734</t>
        </is>
      </c>
      <c r="H73" s="18" t="n">
        <v>41323</v>
      </c>
      <c r="I73" s="694" t="n">
        <v>35.5</v>
      </c>
      <c r="J73" s="9" t="n"/>
    </row>
    <row r="74" ht="18" customHeight="1" s="408">
      <c r="A74" s="33" t="n">
        <v>68</v>
      </c>
      <c r="B74" s="17" t="inlineStr">
        <is>
          <t>328784</t>
        </is>
      </c>
      <c r="C74" s="18" t="n">
        <v>41324</v>
      </c>
      <c r="D74" s="694" t="n">
        <v>33.53</v>
      </c>
      <c r="E74" s="11" t="inlineStr">
        <is>
          <t>S G L CAMBODIA</t>
        </is>
      </c>
      <c r="F74" s="10" t="inlineStr">
        <is>
          <t>100119816</t>
        </is>
      </c>
      <c r="G74" s="17" t="inlineStr">
        <is>
          <t>328784</t>
        </is>
      </c>
      <c r="H74" s="18" t="n">
        <v>41324</v>
      </c>
      <c r="I74" s="694" t="n">
        <v>33.53</v>
      </c>
      <c r="J74" s="9" t="n"/>
    </row>
    <row r="75" ht="18" customHeight="1" s="408">
      <c r="A75" s="33" t="n">
        <v>69</v>
      </c>
      <c r="B75" s="17" t="inlineStr">
        <is>
          <t>328788</t>
        </is>
      </c>
      <c r="C75" s="18" t="n">
        <v>41324</v>
      </c>
      <c r="D75" s="694" t="n">
        <v>5.8</v>
      </c>
      <c r="E75" s="11" t="inlineStr">
        <is>
          <t>S G L CAMBODIA</t>
        </is>
      </c>
      <c r="F75" s="10" t="inlineStr">
        <is>
          <t>100119816</t>
        </is>
      </c>
      <c r="G75" s="17" t="inlineStr">
        <is>
          <t>328788</t>
        </is>
      </c>
      <c r="H75" s="18" t="n">
        <v>41324</v>
      </c>
      <c r="I75" s="694" t="n">
        <v>5.8</v>
      </c>
      <c r="J75" s="9" t="n"/>
    </row>
    <row r="76" ht="18" customHeight="1" s="408">
      <c r="A76" s="33" t="n">
        <v>70</v>
      </c>
      <c r="B76" s="17" t="inlineStr">
        <is>
          <t>328859</t>
        </is>
      </c>
      <c r="C76" s="18" t="n">
        <v>41330</v>
      </c>
      <c r="D76" s="694" t="n">
        <v>24.95</v>
      </c>
      <c r="E76" s="11" t="inlineStr">
        <is>
          <t>S G L CAMBODIA</t>
        </is>
      </c>
      <c r="F76" s="10" t="inlineStr">
        <is>
          <t>100119816</t>
        </is>
      </c>
      <c r="G76" s="17" t="inlineStr">
        <is>
          <t>328859</t>
        </is>
      </c>
      <c r="H76" s="18" t="n">
        <v>41330</v>
      </c>
      <c r="I76" s="694" t="n">
        <v>24.95</v>
      </c>
      <c r="J76" s="9" t="n"/>
    </row>
    <row r="77" ht="18" customHeight="1" s="408">
      <c r="A77" s="33" t="n">
        <v>71</v>
      </c>
      <c r="B77" s="17" t="inlineStr">
        <is>
          <t>328868</t>
        </is>
      </c>
      <c r="C77" s="18" t="n">
        <v>41330</v>
      </c>
      <c r="D77" s="694" t="n">
        <v>24.2</v>
      </c>
      <c r="E77" s="11" t="inlineStr">
        <is>
          <t>S G L CAMBODIA</t>
        </is>
      </c>
      <c r="F77" s="10" t="inlineStr">
        <is>
          <t>100119816</t>
        </is>
      </c>
      <c r="G77" s="17" t="inlineStr">
        <is>
          <t>328868</t>
        </is>
      </c>
      <c r="H77" s="18" t="n">
        <v>41330</v>
      </c>
      <c r="I77" s="694" t="n">
        <v>24.2</v>
      </c>
      <c r="J77" s="9" t="n"/>
    </row>
    <row r="78" ht="18" customHeight="1" s="408">
      <c r="A78" s="33" t="n">
        <v>72</v>
      </c>
      <c r="B78" s="17" t="inlineStr">
        <is>
          <t>328869</t>
        </is>
      </c>
      <c r="C78" s="18" t="n">
        <v>41330</v>
      </c>
      <c r="D78" s="694" t="n">
        <v>76.52</v>
      </c>
      <c r="E78" s="11" t="inlineStr">
        <is>
          <t>S G L CAMBODIA</t>
        </is>
      </c>
      <c r="F78" s="10" t="inlineStr">
        <is>
          <t>100119816</t>
        </is>
      </c>
      <c r="G78" s="17" t="inlineStr">
        <is>
          <t>328869</t>
        </is>
      </c>
      <c r="H78" s="18" t="n">
        <v>41330</v>
      </c>
      <c r="I78" s="694" t="n">
        <v>76.52</v>
      </c>
      <c r="J78" s="9" t="n"/>
    </row>
    <row r="79" ht="18" customHeight="1" s="408">
      <c r="A79" s="33" t="n">
        <v>73</v>
      </c>
      <c r="B79" s="17" t="inlineStr">
        <is>
          <t>328936</t>
        </is>
      </c>
      <c r="C79" s="18" t="n">
        <v>41337</v>
      </c>
      <c r="D79" s="694" t="n">
        <v>55.26</v>
      </c>
      <c r="E79" s="11" t="inlineStr">
        <is>
          <t>S G L CAMBODIA</t>
        </is>
      </c>
      <c r="F79" s="10" t="inlineStr">
        <is>
          <t>100119816</t>
        </is>
      </c>
      <c r="G79" s="17" t="inlineStr">
        <is>
          <t>328936</t>
        </is>
      </c>
      <c r="H79" s="18" t="n">
        <v>41337</v>
      </c>
      <c r="I79" s="694" t="n">
        <v>55.26</v>
      </c>
      <c r="J79" s="9" t="n"/>
    </row>
    <row r="80" ht="18" customHeight="1" s="408">
      <c r="A80" s="33" t="n">
        <v>74</v>
      </c>
      <c r="B80" s="17" t="inlineStr">
        <is>
          <t>329060</t>
        </is>
      </c>
      <c r="C80" s="18" t="n">
        <v>41345</v>
      </c>
      <c r="D80" s="694" t="n">
        <v>24.57</v>
      </c>
      <c r="E80" s="11" t="inlineStr">
        <is>
          <t>S G L CAMBODIA</t>
        </is>
      </c>
      <c r="F80" s="10" t="inlineStr">
        <is>
          <t>100119816</t>
        </is>
      </c>
      <c r="G80" s="17" t="inlineStr">
        <is>
          <t>329060</t>
        </is>
      </c>
      <c r="H80" s="18" t="n">
        <v>41345</v>
      </c>
      <c r="I80" s="694" t="n">
        <v>24.57</v>
      </c>
      <c r="J80" s="9" t="n"/>
    </row>
    <row r="81" ht="18" customHeight="1" s="408">
      <c r="A81" s="33" t="n">
        <v>75</v>
      </c>
      <c r="B81" s="17" t="inlineStr">
        <is>
          <t>329063</t>
        </is>
      </c>
      <c r="C81" s="18" t="n">
        <v>41345</v>
      </c>
      <c r="D81" s="694" t="n">
        <v>32.3</v>
      </c>
      <c r="E81" s="11" t="inlineStr">
        <is>
          <t>S G L CAMBODIA</t>
        </is>
      </c>
      <c r="F81" s="10" t="inlineStr">
        <is>
          <t>100119816</t>
        </is>
      </c>
      <c r="G81" s="17" t="inlineStr">
        <is>
          <t>329063</t>
        </is>
      </c>
      <c r="H81" s="18" t="n">
        <v>41345</v>
      </c>
      <c r="I81" s="694" t="n">
        <v>32.3</v>
      </c>
      <c r="J81" s="9" t="n"/>
    </row>
    <row r="82" ht="18" customHeight="1" s="408">
      <c r="A82" s="33" t="n">
        <v>76</v>
      </c>
      <c r="B82" s="17" t="inlineStr">
        <is>
          <t>329096</t>
        </is>
      </c>
      <c r="C82" s="18" t="n">
        <v>41345</v>
      </c>
      <c r="D82" s="694" t="n">
        <v>21.2</v>
      </c>
      <c r="E82" s="11" t="inlineStr">
        <is>
          <t>S G L CAMBODIA</t>
        </is>
      </c>
      <c r="F82" s="10" t="inlineStr">
        <is>
          <t>100119816</t>
        </is>
      </c>
      <c r="G82" s="17" t="inlineStr">
        <is>
          <t>329096</t>
        </is>
      </c>
      <c r="H82" s="18" t="n">
        <v>41345</v>
      </c>
      <c r="I82" s="694" t="n">
        <v>21.2</v>
      </c>
      <c r="J82" s="9" t="n"/>
    </row>
    <row r="83" ht="18" customHeight="1" s="408">
      <c r="A83" s="33" t="n">
        <v>77</v>
      </c>
      <c r="B83" s="17" t="inlineStr">
        <is>
          <t>329125</t>
        </is>
      </c>
      <c r="C83" s="18" t="n">
        <v>41345</v>
      </c>
      <c r="D83" s="694" t="n">
        <v>28.04</v>
      </c>
      <c r="E83" s="11" t="inlineStr">
        <is>
          <t>S G L CAMBODIA</t>
        </is>
      </c>
      <c r="F83" s="10" t="inlineStr">
        <is>
          <t>100119816</t>
        </is>
      </c>
      <c r="G83" s="17" t="inlineStr">
        <is>
          <t>329125</t>
        </is>
      </c>
      <c r="H83" s="18" t="n">
        <v>41345</v>
      </c>
      <c r="I83" s="694" t="n">
        <v>28.04</v>
      </c>
      <c r="J83" s="9" t="n"/>
    </row>
    <row r="84" ht="18" customHeight="1" s="408">
      <c r="A84" s="33" t="n">
        <v>78</v>
      </c>
      <c r="B84" s="17" t="inlineStr">
        <is>
          <t>329189</t>
        </is>
      </c>
      <c r="C84" s="18" t="n">
        <v>41352</v>
      </c>
      <c r="D84" s="694" t="n">
        <v>65.72</v>
      </c>
      <c r="E84" s="11" t="inlineStr">
        <is>
          <t>S G L CAMBODIA</t>
        </is>
      </c>
      <c r="F84" s="10" t="inlineStr">
        <is>
          <t>100119816</t>
        </is>
      </c>
      <c r="G84" s="17" t="inlineStr">
        <is>
          <t>329189</t>
        </is>
      </c>
      <c r="H84" s="18" t="n">
        <v>41352</v>
      </c>
      <c r="I84" s="694" t="n">
        <v>65.72</v>
      </c>
      <c r="J84" s="9" t="n"/>
    </row>
    <row r="85" ht="18" customHeight="1" s="408">
      <c r="A85" s="33" t="n">
        <v>79</v>
      </c>
      <c r="B85" s="17" t="inlineStr">
        <is>
          <t>329198</t>
        </is>
      </c>
      <c r="C85" s="18" t="n">
        <v>41352</v>
      </c>
      <c r="D85" s="694" t="n">
        <v>25.46</v>
      </c>
      <c r="E85" s="11" t="inlineStr">
        <is>
          <t>S G L CAMBODIA</t>
        </is>
      </c>
      <c r="F85" s="10" t="inlineStr">
        <is>
          <t>100119816</t>
        </is>
      </c>
      <c r="G85" s="17" t="inlineStr">
        <is>
          <t>329198</t>
        </is>
      </c>
      <c r="H85" s="18" t="n">
        <v>41352</v>
      </c>
      <c r="I85" s="694" t="n">
        <v>25.46</v>
      </c>
      <c r="J85" s="9" t="n"/>
    </row>
    <row r="86" ht="18" customHeight="1" s="408">
      <c r="A86" s="33" t="n">
        <v>80</v>
      </c>
      <c r="B86" s="17" t="inlineStr">
        <is>
          <t>329219</t>
        </is>
      </c>
      <c r="C86" s="18" t="n">
        <v>41352</v>
      </c>
      <c r="D86" s="694" t="n">
        <v>26.96</v>
      </c>
      <c r="E86" s="11" t="inlineStr">
        <is>
          <t>S G L CAMBODIA</t>
        </is>
      </c>
      <c r="F86" s="10" t="inlineStr">
        <is>
          <t>100119816</t>
        </is>
      </c>
      <c r="G86" s="17" t="inlineStr">
        <is>
          <t>329219</t>
        </is>
      </c>
      <c r="H86" s="18" t="n">
        <v>41352</v>
      </c>
      <c r="I86" s="694" t="n">
        <v>26.96</v>
      </c>
      <c r="J86" s="9" t="n"/>
    </row>
    <row r="87" ht="18" customHeight="1" s="408">
      <c r="A87" s="33" t="n">
        <v>81</v>
      </c>
      <c r="B87" s="17" t="inlineStr">
        <is>
          <t>329291</t>
        </is>
      </c>
      <c r="C87" s="18" t="n">
        <v>41358</v>
      </c>
      <c r="D87" s="694" t="n">
        <v>21.2</v>
      </c>
      <c r="E87" s="11" t="inlineStr">
        <is>
          <t>S G L CAMBODIA</t>
        </is>
      </c>
      <c r="F87" s="10" t="inlineStr">
        <is>
          <t>100119816</t>
        </is>
      </c>
      <c r="G87" s="17" t="inlineStr">
        <is>
          <t>329291</t>
        </is>
      </c>
      <c r="H87" s="18" t="n">
        <v>41358</v>
      </c>
      <c r="I87" s="694" t="n">
        <v>21.2</v>
      </c>
      <c r="J87" s="9" t="n"/>
    </row>
    <row r="88" ht="18" customHeight="1" s="408">
      <c r="A88" s="33" t="n">
        <v>82</v>
      </c>
      <c r="B88" s="17" t="inlineStr">
        <is>
          <t>329298</t>
        </is>
      </c>
      <c r="C88" s="18" t="n">
        <v>41358</v>
      </c>
      <c r="D88" s="694" t="n">
        <v>29.84</v>
      </c>
      <c r="E88" s="11" t="inlineStr">
        <is>
          <t>S G L CAMBODIA</t>
        </is>
      </c>
      <c r="F88" s="10" t="inlineStr">
        <is>
          <t>100119816</t>
        </is>
      </c>
      <c r="G88" s="17" t="inlineStr">
        <is>
          <t>329298</t>
        </is>
      </c>
      <c r="H88" s="18" t="n">
        <v>41358</v>
      </c>
      <c r="I88" s="694" t="n">
        <v>29.84</v>
      </c>
      <c r="J88" s="9" t="n"/>
    </row>
    <row r="89" ht="18" customHeight="1" s="408">
      <c r="A89" s="33" t="n">
        <v>83</v>
      </c>
      <c r="B89" s="17" t="inlineStr">
        <is>
          <t>329324</t>
        </is>
      </c>
      <c r="C89" s="18" t="n">
        <v>41358</v>
      </c>
      <c r="D89" s="694" t="n">
        <v>3</v>
      </c>
      <c r="E89" s="11" t="inlineStr">
        <is>
          <t>S G L CAMBODIA</t>
        </is>
      </c>
      <c r="F89" s="10" t="inlineStr">
        <is>
          <t>100119816</t>
        </is>
      </c>
      <c r="G89" s="17" t="inlineStr">
        <is>
          <t>329324</t>
        </is>
      </c>
      <c r="H89" s="18" t="n">
        <v>41358</v>
      </c>
      <c r="I89" s="694" t="n">
        <v>3</v>
      </c>
      <c r="J89" s="9" t="n"/>
    </row>
    <row r="90" ht="18" customHeight="1" s="408">
      <c r="A90" s="33" t="n">
        <v>84</v>
      </c>
      <c r="B90" s="17" t="inlineStr">
        <is>
          <t>329343</t>
        </is>
      </c>
      <c r="C90" s="18" t="n">
        <v>41359</v>
      </c>
      <c r="D90" s="694" t="n">
        <v>36.25</v>
      </c>
      <c r="E90" s="11" t="inlineStr">
        <is>
          <t>S G L CAMBODIA</t>
        </is>
      </c>
      <c r="F90" s="10" t="inlineStr">
        <is>
          <t>100119816</t>
        </is>
      </c>
      <c r="G90" s="17" t="inlineStr">
        <is>
          <t>329343</t>
        </is>
      </c>
      <c r="H90" s="18" t="n">
        <v>41359</v>
      </c>
      <c r="I90" s="694" t="n">
        <v>36.25</v>
      </c>
      <c r="J90" s="9" t="n"/>
    </row>
    <row r="91" ht="18" customHeight="1" s="408">
      <c r="A91" s="33" t="n">
        <v>85</v>
      </c>
      <c r="B91" s="17" t="inlineStr">
        <is>
          <t>329402</t>
        </is>
      </c>
      <c r="C91" s="18" t="n">
        <v>41363</v>
      </c>
      <c r="D91" s="694" t="n">
        <v>41.6</v>
      </c>
      <c r="E91" s="11" t="inlineStr">
        <is>
          <t>S G L CAMBODIA</t>
        </is>
      </c>
      <c r="F91" s="10" t="inlineStr">
        <is>
          <t>100119816</t>
        </is>
      </c>
      <c r="G91" s="17" t="inlineStr">
        <is>
          <t>329402</t>
        </is>
      </c>
      <c r="H91" s="18" t="n">
        <v>41363</v>
      </c>
      <c r="I91" s="694" t="n">
        <v>41.6</v>
      </c>
      <c r="J91" s="9" t="n"/>
    </row>
    <row r="92" ht="18" customHeight="1" s="408">
      <c r="A92" s="33" t="n">
        <v>86</v>
      </c>
      <c r="B92" s="17" t="inlineStr">
        <is>
          <t>329412</t>
        </is>
      </c>
      <c r="C92" s="18" t="n">
        <v>41363</v>
      </c>
      <c r="D92" s="694" t="n">
        <v>26.76</v>
      </c>
      <c r="E92" s="11" t="inlineStr">
        <is>
          <t>S G L CAMBODIA</t>
        </is>
      </c>
      <c r="F92" s="10" t="inlineStr">
        <is>
          <t>100119816</t>
        </is>
      </c>
      <c r="G92" s="17" t="inlineStr">
        <is>
          <t>329412</t>
        </is>
      </c>
      <c r="H92" s="18" t="n">
        <v>41363</v>
      </c>
      <c r="I92" s="694" t="n">
        <v>26.76</v>
      </c>
      <c r="J92" s="9" t="n"/>
    </row>
    <row r="93" ht="18" customHeight="1" s="408">
      <c r="A93" s="33" t="n">
        <v>87</v>
      </c>
      <c r="B93" s="17" t="inlineStr">
        <is>
          <t>329475</t>
        </is>
      </c>
      <c r="C93" s="18" t="n">
        <v>41364</v>
      </c>
      <c r="D93" s="694" t="n">
        <v>21.2</v>
      </c>
      <c r="E93" s="11" t="inlineStr">
        <is>
          <t>S G L CAMBODIA</t>
        </is>
      </c>
      <c r="F93" s="10" t="inlineStr">
        <is>
          <t>100119816</t>
        </is>
      </c>
      <c r="G93" s="17" t="inlineStr">
        <is>
          <t>329475</t>
        </is>
      </c>
      <c r="H93" s="18" t="n">
        <v>41364</v>
      </c>
      <c r="I93" s="694" t="n">
        <v>21.2</v>
      </c>
      <c r="J93" s="9" t="n"/>
    </row>
    <row r="94" ht="18" customHeight="1" s="408">
      <c r="A94" s="33" t="n">
        <v>88</v>
      </c>
      <c r="B94" s="17" t="inlineStr">
        <is>
          <t>329496</t>
        </is>
      </c>
      <c r="C94" s="18" t="n">
        <v>41364</v>
      </c>
      <c r="D94" s="694" t="n">
        <v>25.14</v>
      </c>
      <c r="E94" s="11" t="inlineStr">
        <is>
          <t>S G L CAMBODIA</t>
        </is>
      </c>
      <c r="F94" s="10" t="inlineStr">
        <is>
          <t>100119816</t>
        </is>
      </c>
      <c r="G94" s="17" t="inlineStr">
        <is>
          <t>329496</t>
        </is>
      </c>
      <c r="H94" s="18" t="n">
        <v>41364</v>
      </c>
      <c r="I94" s="694" t="n">
        <v>25.14</v>
      </c>
      <c r="J94" s="9" t="n"/>
    </row>
    <row r="95" ht="18" customHeight="1" s="408">
      <c r="A95" s="33" t="n">
        <v>89</v>
      </c>
      <c r="B95" s="17" t="inlineStr">
        <is>
          <t>329566</t>
        </is>
      </c>
      <c r="C95" s="18" t="n">
        <v>41372</v>
      </c>
      <c r="D95" s="694" t="n">
        <v>58.4</v>
      </c>
      <c r="E95" s="11" t="inlineStr">
        <is>
          <t>S G L CAMBODIA</t>
        </is>
      </c>
      <c r="F95" s="10" t="inlineStr">
        <is>
          <t>100119816</t>
        </is>
      </c>
      <c r="G95" s="17" t="inlineStr">
        <is>
          <t>329566</t>
        </is>
      </c>
      <c r="H95" s="18" t="n">
        <v>41372</v>
      </c>
      <c r="I95" s="694" t="n">
        <v>58.4</v>
      </c>
      <c r="J95" s="9" t="n"/>
    </row>
    <row r="96" ht="18" customHeight="1" s="408">
      <c r="A96" s="33" t="n">
        <v>90</v>
      </c>
      <c r="B96" s="17" t="inlineStr">
        <is>
          <t>329619</t>
        </is>
      </c>
      <c r="C96" s="18" t="n">
        <v>41373</v>
      </c>
      <c r="D96" s="694" t="n">
        <v>58.49</v>
      </c>
      <c r="E96" s="11" t="inlineStr">
        <is>
          <t>S G L CAMBODIA</t>
        </is>
      </c>
      <c r="F96" s="10" t="inlineStr">
        <is>
          <t>100119816</t>
        </is>
      </c>
      <c r="G96" s="17" t="inlineStr">
        <is>
          <t>329619</t>
        </is>
      </c>
      <c r="H96" s="18" t="n">
        <v>41373</v>
      </c>
      <c r="I96" s="694" t="n">
        <v>58.49</v>
      </c>
      <c r="J96" s="9" t="n"/>
    </row>
    <row r="97" ht="18" customHeight="1" s="408">
      <c r="A97" s="33" t="n">
        <v>91</v>
      </c>
      <c r="B97" s="17" t="inlineStr">
        <is>
          <t>329636</t>
        </is>
      </c>
      <c r="C97" s="18" t="n">
        <v>41373</v>
      </c>
      <c r="D97" s="694" t="n">
        <v>21.27</v>
      </c>
      <c r="E97" s="11" t="inlineStr">
        <is>
          <t>S G L CAMBODIA</t>
        </is>
      </c>
      <c r="F97" s="10" t="inlineStr">
        <is>
          <t>100119816</t>
        </is>
      </c>
      <c r="G97" s="17" t="inlineStr">
        <is>
          <t>329636</t>
        </is>
      </c>
      <c r="H97" s="18" t="n">
        <v>41373</v>
      </c>
      <c r="I97" s="694" t="n">
        <v>21.27</v>
      </c>
      <c r="J97" s="9" t="n"/>
    </row>
    <row r="98" ht="18" customHeight="1" s="408">
      <c r="A98" s="33" t="n">
        <v>92</v>
      </c>
      <c r="B98" s="17" t="inlineStr">
        <is>
          <t>329651</t>
        </is>
      </c>
      <c r="C98" s="18" t="n">
        <v>41373</v>
      </c>
      <c r="D98" s="694" t="n">
        <v>29.03</v>
      </c>
      <c r="E98" s="11" t="inlineStr">
        <is>
          <t>S G L CAMBODIA</t>
        </is>
      </c>
      <c r="F98" s="10" t="inlineStr">
        <is>
          <t>100119816</t>
        </is>
      </c>
      <c r="G98" s="17" t="inlineStr">
        <is>
          <t>329651</t>
        </is>
      </c>
      <c r="H98" s="18" t="n">
        <v>41373</v>
      </c>
      <c r="I98" s="694" t="n">
        <v>29.03</v>
      </c>
      <c r="J98" s="9" t="n"/>
    </row>
    <row r="99" ht="18" customHeight="1" s="408">
      <c r="A99" s="33" t="n">
        <v>93</v>
      </c>
      <c r="B99" s="17" t="inlineStr">
        <is>
          <t>329721</t>
        </is>
      </c>
      <c r="C99" s="18" t="n">
        <v>41382</v>
      </c>
      <c r="D99" s="694" t="n">
        <v>42.92</v>
      </c>
      <c r="E99" s="11" t="inlineStr">
        <is>
          <t>S G L CAMBODIA</t>
        </is>
      </c>
      <c r="F99" s="10" t="inlineStr">
        <is>
          <t>100119816</t>
        </is>
      </c>
      <c r="G99" s="17" t="inlineStr">
        <is>
          <t>329721</t>
        </is>
      </c>
      <c r="H99" s="18" t="n">
        <v>41382</v>
      </c>
      <c r="I99" s="694" t="n">
        <v>42.92</v>
      </c>
      <c r="J99" s="9" t="n"/>
    </row>
    <row r="100" ht="18" customHeight="1" s="408">
      <c r="A100" s="33" t="n">
        <v>94</v>
      </c>
      <c r="B100" s="17" t="inlineStr">
        <is>
          <t>329736</t>
        </is>
      </c>
      <c r="C100" s="18" t="n">
        <v>41382</v>
      </c>
      <c r="D100" s="694" t="n">
        <v>28.46</v>
      </c>
      <c r="E100" s="11" t="inlineStr">
        <is>
          <t>S G L CAMBODIA</t>
        </is>
      </c>
      <c r="F100" s="10" t="inlineStr">
        <is>
          <t>100119816</t>
        </is>
      </c>
      <c r="G100" s="17" t="inlineStr">
        <is>
          <t>329736</t>
        </is>
      </c>
      <c r="H100" s="18" t="n">
        <v>41382</v>
      </c>
      <c r="I100" s="694" t="n">
        <v>28.46</v>
      </c>
      <c r="J100" s="9" t="n"/>
    </row>
    <row r="101" ht="18" customHeight="1" s="408">
      <c r="A101" s="33" t="n">
        <v>95</v>
      </c>
      <c r="B101" s="17" t="inlineStr">
        <is>
          <t>329771</t>
        </is>
      </c>
      <c r="C101" s="18" t="n">
        <v>41382</v>
      </c>
      <c r="D101" s="694" t="n">
        <v>51.42</v>
      </c>
      <c r="E101" s="11" t="inlineStr">
        <is>
          <t>S G L CAMBODIA</t>
        </is>
      </c>
      <c r="F101" s="10" t="inlineStr">
        <is>
          <t>100119816</t>
        </is>
      </c>
      <c r="G101" s="17" t="inlineStr">
        <is>
          <t>329771</t>
        </is>
      </c>
      <c r="H101" s="18" t="n">
        <v>41382</v>
      </c>
      <c r="I101" s="694" t="n">
        <v>51.42</v>
      </c>
      <c r="J101" s="9" t="n"/>
    </row>
    <row r="102" ht="18" customHeight="1" s="408">
      <c r="A102" s="33" t="n">
        <v>96</v>
      </c>
      <c r="B102" s="17" t="inlineStr">
        <is>
          <t>329776</t>
        </is>
      </c>
      <c r="C102" s="18" t="n">
        <v>41382</v>
      </c>
      <c r="D102" s="694" t="n">
        <v>31.56</v>
      </c>
      <c r="E102" s="11" t="inlineStr">
        <is>
          <t>S G L CAMBODIA</t>
        </is>
      </c>
      <c r="F102" s="10" t="inlineStr">
        <is>
          <t>100119816</t>
        </is>
      </c>
      <c r="G102" s="17" t="inlineStr">
        <is>
          <t>329776</t>
        </is>
      </c>
      <c r="H102" s="18" t="n">
        <v>41382</v>
      </c>
      <c r="I102" s="694" t="n">
        <v>31.56</v>
      </c>
      <c r="J102" s="9" t="n"/>
    </row>
    <row r="103" ht="18" customHeight="1" s="408">
      <c r="A103" s="33" t="n">
        <v>97</v>
      </c>
      <c r="B103" s="17" t="inlineStr">
        <is>
          <t>329862</t>
        </is>
      </c>
      <c r="C103" s="18" t="n">
        <v>41387</v>
      </c>
      <c r="D103" s="694" t="n">
        <v>21.2</v>
      </c>
      <c r="E103" s="11" t="inlineStr">
        <is>
          <t>S G L CAMBODIA</t>
        </is>
      </c>
      <c r="F103" s="10" t="inlineStr">
        <is>
          <t>100119816</t>
        </is>
      </c>
      <c r="G103" s="17" t="inlineStr">
        <is>
          <t>329862</t>
        </is>
      </c>
      <c r="H103" s="18" t="n">
        <v>41387</v>
      </c>
      <c r="I103" s="694" t="n">
        <v>21.2</v>
      </c>
      <c r="J103" s="9" t="n"/>
    </row>
    <row r="104" ht="18" customHeight="1" s="408">
      <c r="A104" s="33" t="n">
        <v>98</v>
      </c>
      <c r="B104" s="17" t="inlineStr">
        <is>
          <t>329920</t>
        </is>
      </c>
      <c r="C104" s="18" t="n">
        <v>41387</v>
      </c>
      <c r="D104" s="694" t="n">
        <v>44.78</v>
      </c>
      <c r="E104" s="11" t="inlineStr">
        <is>
          <t>S G L CAMBODIA</t>
        </is>
      </c>
      <c r="F104" s="10" t="inlineStr">
        <is>
          <t>100119816</t>
        </is>
      </c>
      <c r="G104" s="17" t="inlineStr">
        <is>
          <t>329920</t>
        </is>
      </c>
      <c r="H104" s="18" t="n">
        <v>41387</v>
      </c>
      <c r="I104" s="694" t="n">
        <v>44.78</v>
      </c>
      <c r="J104" s="9" t="n"/>
    </row>
    <row r="105" ht="18" customHeight="1" s="408">
      <c r="A105" s="33" t="n">
        <v>99</v>
      </c>
      <c r="B105" s="17" t="inlineStr">
        <is>
          <t>329971</t>
        </is>
      </c>
      <c r="C105" s="18" t="n">
        <v>41393</v>
      </c>
      <c r="D105" s="694" t="n">
        <v>21.5</v>
      </c>
      <c r="E105" s="11" t="inlineStr">
        <is>
          <t>S G L CAMBODIA</t>
        </is>
      </c>
      <c r="F105" s="10" t="inlineStr">
        <is>
          <t>100119816</t>
        </is>
      </c>
      <c r="G105" s="17" t="inlineStr">
        <is>
          <t>329971</t>
        </is>
      </c>
      <c r="H105" s="18" t="n">
        <v>41393</v>
      </c>
      <c r="I105" s="694" t="n">
        <v>21.5</v>
      </c>
      <c r="J105" s="9" t="n"/>
    </row>
    <row r="106" ht="18" customHeight="1" s="408">
      <c r="A106" s="33" t="n">
        <v>100</v>
      </c>
      <c r="B106" s="17" t="inlineStr">
        <is>
          <t>329990</t>
        </is>
      </c>
      <c r="C106" s="18" t="n">
        <v>41393</v>
      </c>
      <c r="D106" s="694" t="n">
        <v>33.09</v>
      </c>
      <c r="E106" s="11" t="inlineStr">
        <is>
          <t>S G L CAMBODIA</t>
        </is>
      </c>
      <c r="F106" s="10" t="inlineStr">
        <is>
          <t>100119816</t>
        </is>
      </c>
      <c r="G106" s="17" t="inlineStr">
        <is>
          <t>329990</t>
        </is>
      </c>
      <c r="H106" s="18" t="n">
        <v>41393</v>
      </c>
      <c r="I106" s="694" t="n">
        <v>33.09</v>
      </c>
      <c r="J106" s="9" t="n"/>
    </row>
    <row r="107" ht="18" customHeight="1" s="408">
      <c r="A107" s="33" t="n">
        <v>101</v>
      </c>
      <c r="B107" s="17" t="inlineStr">
        <is>
          <t>330012</t>
        </is>
      </c>
      <c r="C107" s="18" t="n">
        <v>41394</v>
      </c>
      <c r="D107" s="694" t="n">
        <v>26.31</v>
      </c>
      <c r="E107" s="11" t="inlineStr">
        <is>
          <t>S G L CAMBODIA</t>
        </is>
      </c>
      <c r="F107" s="10" t="inlineStr">
        <is>
          <t>100119816</t>
        </is>
      </c>
      <c r="G107" s="17" t="inlineStr">
        <is>
          <t>330012</t>
        </is>
      </c>
      <c r="H107" s="18" t="n">
        <v>41394</v>
      </c>
      <c r="I107" s="694" t="n">
        <v>26.31</v>
      </c>
      <c r="J107" s="9" t="n"/>
    </row>
    <row r="108" ht="18" customHeight="1" s="408">
      <c r="A108" s="33" t="n">
        <v>102</v>
      </c>
      <c r="B108" s="17" t="inlineStr">
        <is>
          <t>330060</t>
        </is>
      </c>
      <c r="C108" s="18" t="n">
        <v>41394</v>
      </c>
      <c r="D108" s="694" t="n">
        <v>5</v>
      </c>
      <c r="E108" s="11" t="inlineStr">
        <is>
          <t>S G L CAMBODIA</t>
        </is>
      </c>
      <c r="F108" s="10" t="inlineStr">
        <is>
          <t>100119816</t>
        </is>
      </c>
      <c r="G108" s="17" t="inlineStr">
        <is>
          <t>330060</t>
        </is>
      </c>
      <c r="H108" s="18" t="n">
        <v>41394</v>
      </c>
      <c r="I108" s="694" t="n">
        <v>5</v>
      </c>
      <c r="J108" s="9" t="n"/>
    </row>
    <row r="109" ht="18" customHeight="1" s="408">
      <c r="A109" s="33" t="n">
        <v>103</v>
      </c>
      <c r="B109" s="17" t="inlineStr">
        <is>
          <t>330114</t>
        </is>
      </c>
      <c r="C109" s="18" t="n">
        <v>41400</v>
      </c>
      <c r="D109" s="694" t="n">
        <v>107.97</v>
      </c>
      <c r="E109" s="11" t="inlineStr">
        <is>
          <t>S G L CAMBODIA</t>
        </is>
      </c>
      <c r="F109" s="10" t="inlineStr">
        <is>
          <t>100119816</t>
        </is>
      </c>
      <c r="G109" s="17" t="inlineStr">
        <is>
          <t>330114</t>
        </is>
      </c>
      <c r="H109" s="18" t="n">
        <v>41400</v>
      </c>
      <c r="I109" s="694" t="n">
        <v>107.97</v>
      </c>
      <c r="J109" s="9" t="n"/>
    </row>
    <row r="110" ht="18" customHeight="1" s="408">
      <c r="A110" s="33" t="n">
        <v>104</v>
      </c>
      <c r="B110" s="17" t="inlineStr">
        <is>
          <t>330144</t>
        </is>
      </c>
      <c r="C110" s="18" t="n">
        <v>41400</v>
      </c>
      <c r="D110" s="694" t="n">
        <v>27.28</v>
      </c>
      <c r="E110" s="11" t="inlineStr">
        <is>
          <t>S G L CAMBODIA</t>
        </is>
      </c>
      <c r="F110" s="10" t="inlineStr">
        <is>
          <t>100119816</t>
        </is>
      </c>
      <c r="G110" s="17" t="inlineStr">
        <is>
          <t>330144</t>
        </is>
      </c>
      <c r="H110" s="18" t="n">
        <v>41400</v>
      </c>
      <c r="I110" s="694" t="n">
        <v>27.28</v>
      </c>
      <c r="J110" s="9" t="n"/>
    </row>
    <row r="111" ht="18" customHeight="1" s="408">
      <c r="A111" s="33" t="n">
        <v>105</v>
      </c>
      <c r="B111" s="17" t="inlineStr">
        <is>
          <t>330173</t>
        </is>
      </c>
      <c r="C111" s="18" t="n">
        <v>41401</v>
      </c>
      <c r="D111" s="694" t="n">
        <v>26.6</v>
      </c>
      <c r="E111" s="11" t="inlineStr">
        <is>
          <t>S G L CAMBODIA</t>
        </is>
      </c>
      <c r="F111" s="10" t="inlineStr">
        <is>
          <t>100119816</t>
        </is>
      </c>
      <c r="G111" s="17" t="inlineStr">
        <is>
          <t>330173</t>
        </is>
      </c>
      <c r="H111" s="18" t="n">
        <v>41401</v>
      </c>
      <c r="I111" s="694" t="n">
        <v>26.6</v>
      </c>
      <c r="J111" s="9" t="n"/>
    </row>
    <row r="112" ht="18" customHeight="1" s="408">
      <c r="A112" s="33" t="n">
        <v>106</v>
      </c>
      <c r="B112" s="17" t="inlineStr">
        <is>
          <t>330233</t>
        </is>
      </c>
      <c r="C112" s="18" t="n">
        <v>41401</v>
      </c>
      <c r="D112" s="694" t="n">
        <v>100.61</v>
      </c>
      <c r="E112" s="11" t="inlineStr">
        <is>
          <t>S G L CAMBODIA</t>
        </is>
      </c>
      <c r="F112" s="10" t="inlineStr">
        <is>
          <t>100119816</t>
        </is>
      </c>
      <c r="G112" s="17" t="inlineStr">
        <is>
          <t>330233</t>
        </is>
      </c>
      <c r="H112" s="18" t="n">
        <v>41401</v>
      </c>
      <c r="I112" s="694" t="n">
        <v>100.61</v>
      </c>
      <c r="J112" s="9" t="n"/>
    </row>
    <row r="113" ht="18" customHeight="1" s="408">
      <c r="A113" s="33" t="n">
        <v>107</v>
      </c>
      <c r="B113" s="17" t="inlineStr">
        <is>
          <t>330280</t>
        </is>
      </c>
      <c r="C113" s="18" t="n">
        <v>41405</v>
      </c>
      <c r="D113" s="694" t="n">
        <v>36.59</v>
      </c>
      <c r="E113" s="11" t="inlineStr">
        <is>
          <t>S G L CAMBODIA</t>
        </is>
      </c>
      <c r="F113" s="10" t="inlineStr">
        <is>
          <t>100119816</t>
        </is>
      </c>
      <c r="G113" s="17" t="inlineStr">
        <is>
          <t>330280</t>
        </is>
      </c>
      <c r="H113" s="18" t="n">
        <v>41405</v>
      </c>
      <c r="I113" s="694" t="n">
        <v>36.59</v>
      </c>
      <c r="J113" s="9" t="n"/>
    </row>
    <row r="114" ht="18" customHeight="1" s="408">
      <c r="A114" s="33" t="n">
        <v>108</v>
      </c>
      <c r="B114" s="17" t="inlineStr">
        <is>
          <t>330312</t>
        </is>
      </c>
      <c r="C114" s="18" t="n">
        <v>41409</v>
      </c>
      <c r="D114" s="694" t="n">
        <v>53.83</v>
      </c>
      <c r="E114" s="11" t="inlineStr">
        <is>
          <t>S G L CAMBODIA</t>
        </is>
      </c>
      <c r="F114" s="10" t="inlineStr">
        <is>
          <t>100119816</t>
        </is>
      </c>
      <c r="G114" s="17" t="inlineStr">
        <is>
          <t>330312</t>
        </is>
      </c>
      <c r="H114" s="18" t="n">
        <v>41409</v>
      </c>
      <c r="I114" s="694" t="n">
        <v>53.83</v>
      </c>
      <c r="J114" s="9" t="n"/>
    </row>
    <row r="115" ht="18" customHeight="1" s="408">
      <c r="A115" s="33" t="n">
        <v>109</v>
      </c>
      <c r="B115" s="17" t="inlineStr">
        <is>
          <t>330339</t>
        </is>
      </c>
      <c r="C115" s="18" t="n">
        <v>41409</v>
      </c>
      <c r="D115" s="694" t="n">
        <v>25.46</v>
      </c>
      <c r="E115" s="11" t="inlineStr">
        <is>
          <t>S G L CAMBODIA</t>
        </is>
      </c>
      <c r="F115" s="10" t="inlineStr">
        <is>
          <t>100119816</t>
        </is>
      </c>
      <c r="G115" s="17" t="inlineStr">
        <is>
          <t>330339</t>
        </is>
      </c>
      <c r="H115" s="18" t="n">
        <v>41409</v>
      </c>
      <c r="I115" s="694" t="n">
        <v>25.46</v>
      </c>
      <c r="J115" s="9" t="n"/>
    </row>
    <row r="116" ht="18" customHeight="1" s="408">
      <c r="A116" s="33" t="n">
        <v>110</v>
      </c>
      <c r="B116" s="17" t="inlineStr">
        <is>
          <t>330340</t>
        </is>
      </c>
      <c r="C116" s="18" t="n">
        <v>41410</v>
      </c>
      <c r="D116" s="694" t="n">
        <v>5</v>
      </c>
      <c r="E116" s="11" t="inlineStr">
        <is>
          <t>S G L CAMBODIA</t>
        </is>
      </c>
      <c r="F116" s="10" t="inlineStr">
        <is>
          <t>100119816</t>
        </is>
      </c>
      <c r="G116" s="17" t="inlineStr">
        <is>
          <t>330340</t>
        </is>
      </c>
      <c r="H116" s="18" t="n">
        <v>41410</v>
      </c>
      <c r="I116" s="694" t="n">
        <v>5</v>
      </c>
      <c r="J116" s="9" t="n"/>
    </row>
    <row r="117" ht="18" customHeight="1" s="408">
      <c r="A117" s="33" t="n">
        <v>111</v>
      </c>
      <c r="B117" s="17" t="inlineStr">
        <is>
          <t>330341</t>
        </is>
      </c>
      <c r="C117" s="18" t="n">
        <v>41410</v>
      </c>
      <c r="D117" s="694" t="n">
        <v>5</v>
      </c>
      <c r="E117" s="11" t="inlineStr">
        <is>
          <t>S G L CAMBODIA</t>
        </is>
      </c>
      <c r="F117" s="10" t="inlineStr">
        <is>
          <t>100119816</t>
        </is>
      </c>
      <c r="G117" s="17" t="inlineStr">
        <is>
          <t>330341</t>
        </is>
      </c>
      <c r="H117" s="18" t="n">
        <v>41410</v>
      </c>
      <c r="I117" s="694" t="n">
        <v>5</v>
      </c>
      <c r="J117" s="9" t="n"/>
    </row>
    <row r="118" ht="18" customHeight="1" s="408">
      <c r="A118" s="33" t="n">
        <v>112</v>
      </c>
      <c r="B118" s="17" t="inlineStr">
        <is>
          <t>330342</t>
        </is>
      </c>
      <c r="C118" s="18" t="n">
        <v>41410</v>
      </c>
      <c r="D118" s="694" t="n">
        <v>5</v>
      </c>
      <c r="E118" s="11" t="inlineStr">
        <is>
          <t>S G L CAMBODIA</t>
        </is>
      </c>
      <c r="F118" s="10" t="inlineStr">
        <is>
          <t>100119816</t>
        </is>
      </c>
      <c r="G118" s="17" t="inlineStr">
        <is>
          <t>330342</t>
        </is>
      </c>
      <c r="H118" s="18" t="n">
        <v>41410</v>
      </c>
      <c r="I118" s="694" t="n">
        <v>5</v>
      </c>
      <c r="J118" s="9" t="n"/>
    </row>
    <row r="119" ht="18" customHeight="1" s="408">
      <c r="A119" s="33" t="n">
        <v>113</v>
      </c>
      <c r="B119" s="17" t="inlineStr">
        <is>
          <t>330343</t>
        </is>
      </c>
      <c r="C119" s="18" t="n">
        <v>41410</v>
      </c>
      <c r="D119" s="694" t="n">
        <v>5</v>
      </c>
      <c r="E119" s="11" t="inlineStr">
        <is>
          <t>S G L CAMBODIA</t>
        </is>
      </c>
      <c r="F119" s="10" t="inlineStr">
        <is>
          <t>100119816</t>
        </is>
      </c>
      <c r="G119" s="17" t="inlineStr">
        <is>
          <t>330343</t>
        </is>
      </c>
      <c r="H119" s="18" t="n">
        <v>41410</v>
      </c>
      <c r="I119" s="694" t="n">
        <v>5</v>
      </c>
      <c r="J119" s="9" t="n"/>
    </row>
    <row r="120" ht="18" customHeight="1" s="408">
      <c r="A120" s="33" t="n">
        <v>114</v>
      </c>
      <c r="B120" s="17" t="inlineStr">
        <is>
          <t>133028</t>
        </is>
      </c>
      <c r="C120" s="18" t="n">
        <v>41414</v>
      </c>
      <c r="D120" s="694" t="n">
        <v>26.62</v>
      </c>
      <c r="E120" s="11" t="inlineStr">
        <is>
          <t>S G L CAMBODIA</t>
        </is>
      </c>
      <c r="F120" s="10" t="inlineStr">
        <is>
          <t>100119816</t>
        </is>
      </c>
      <c r="G120" s="17" t="inlineStr">
        <is>
          <t>133028</t>
        </is>
      </c>
      <c r="H120" s="18" t="n">
        <v>41414</v>
      </c>
      <c r="I120" s="694" t="n">
        <v>26.62</v>
      </c>
      <c r="J120" s="9" t="n"/>
    </row>
    <row r="121" ht="18" customHeight="1" s="408">
      <c r="A121" s="33" t="n">
        <v>115</v>
      </c>
      <c r="B121" s="17" t="inlineStr">
        <is>
          <t>330476</t>
        </is>
      </c>
      <c r="C121" s="18" t="n">
        <v>41415</v>
      </c>
      <c r="D121" s="694" t="n">
        <v>60.4</v>
      </c>
      <c r="E121" s="11" t="inlineStr">
        <is>
          <t>S G L CAMBODIA</t>
        </is>
      </c>
      <c r="F121" s="10" t="inlineStr">
        <is>
          <t>100119816</t>
        </is>
      </c>
      <c r="G121" s="17" t="inlineStr">
        <is>
          <t>330476</t>
        </is>
      </c>
      <c r="H121" s="18" t="n">
        <v>41415</v>
      </c>
      <c r="I121" s="694" t="n">
        <v>60.4</v>
      </c>
      <c r="J121" s="9" t="n"/>
    </row>
    <row r="122" ht="18" customHeight="1" s="408">
      <c r="A122" s="33" t="n">
        <v>116</v>
      </c>
      <c r="B122" s="17" t="inlineStr">
        <is>
          <t>330493</t>
        </is>
      </c>
      <c r="C122" s="18" t="n">
        <v>41419</v>
      </c>
      <c r="D122" s="694" t="n">
        <v>5.8</v>
      </c>
      <c r="E122" s="11" t="inlineStr">
        <is>
          <t>S G L CAMBODIA</t>
        </is>
      </c>
      <c r="F122" s="10" t="inlineStr">
        <is>
          <t>100119816</t>
        </is>
      </c>
      <c r="G122" s="17" t="inlineStr">
        <is>
          <t>330493</t>
        </is>
      </c>
      <c r="H122" s="18" t="n">
        <v>41419</v>
      </c>
      <c r="I122" s="694" t="n">
        <v>5.8</v>
      </c>
      <c r="J122" s="9" t="n"/>
    </row>
    <row r="123" ht="18" customHeight="1" s="408">
      <c r="A123" s="33" t="n">
        <v>117</v>
      </c>
      <c r="B123" s="17" t="inlineStr">
        <is>
          <t>330508</t>
        </is>
      </c>
      <c r="C123" s="18" t="n">
        <v>41421</v>
      </c>
      <c r="D123" s="694" t="n">
        <v>22.59</v>
      </c>
      <c r="E123" s="11" t="inlineStr">
        <is>
          <t>S G L CAMBODIA</t>
        </is>
      </c>
      <c r="F123" s="10" t="inlineStr">
        <is>
          <t>100119816</t>
        </is>
      </c>
      <c r="G123" s="17" t="inlineStr">
        <is>
          <t>330508</t>
        </is>
      </c>
      <c r="H123" s="18" t="n">
        <v>41421</v>
      </c>
      <c r="I123" s="694" t="n">
        <v>22.59</v>
      </c>
      <c r="J123" s="9" t="n"/>
    </row>
    <row r="124" ht="18" customHeight="1" s="408">
      <c r="A124" s="33" t="n">
        <v>118</v>
      </c>
      <c r="B124" s="17" t="inlineStr">
        <is>
          <t>330588</t>
        </is>
      </c>
      <c r="C124" s="18" t="n">
        <v>41422</v>
      </c>
      <c r="D124" s="694" t="n">
        <v>35.24</v>
      </c>
      <c r="E124" s="11" t="inlineStr">
        <is>
          <t>S G L CAMBODIA</t>
        </is>
      </c>
      <c r="F124" s="10" t="inlineStr">
        <is>
          <t>100119816</t>
        </is>
      </c>
      <c r="G124" s="17" t="inlineStr">
        <is>
          <t>330588</t>
        </is>
      </c>
      <c r="H124" s="18" t="n">
        <v>41422</v>
      </c>
      <c r="I124" s="694" t="n">
        <v>35.24</v>
      </c>
      <c r="J124" s="9" t="n"/>
    </row>
    <row r="125" ht="18" customHeight="1" s="408">
      <c r="A125" s="33" t="n">
        <v>120</v>
      </c>
      <c r="B125" s="17" t="inlineStr">
        <is>
          <t>330674</t>
        </is>
      </c>
      <c r="C125" s="18" t="n">
        <v>41429</v>
      </c>
      <c r="D125" s="694" t="n">
        <v>48.59</v>
      </c>
      <c r="E125" s="11" t="inlineStr">
        <is>
          <t>S G L CAMBODIA</t>
        </is>
      </c>
      <c r="F125" s="10" t="inlineStr">
        <is>
          <t>100119816</t>
        </is>
      </c>
      <c r="G125" s="17" t="inlineStr">
        <is>
          <t>330674</t>
        </is>
      </c>
      <c r="H125" s="18" t="n">
        <v>41429</v>
      </c>
      <c r="I125" s="694" t="n">
        <v>48.59</v>
      </c>
      <c r="J125" s="9" t="n"/>
    </row>
    <row r="126" ht="18" customHeight="1" s="408">
      <c r="A126" s="33" t="n">
        <v>121</v>
      </c>
      <c r="B126" s="17" t="inlineStr">
        <is>
          <t>330735</t>
        </is>
      </c>
      <c r="C126" s="18" t="n">
        <v>41430</v>
      </c>
      <c r="D126" s="694" t="n">
        <v>22.73</v>
      </c>
      <c r="E126" s="11" t="inlineStr">
        <is>
          <t>S G L CAMBODIA</t>
        </is>
      </c>
      <c r="F126" s="10" t="inlineStr">
        <is>
          <t>100119816</t>
        </is>
      </c>
      <c r="G126" s="17" t="inlineStr">
        <is>
          <t>330735</t>
        </is>
      </c>
      <c r="H126" s="18" t="n">
        <v>41430</v>
      </c>
      <c r="I126" s="694" t="n">
        <v>22.73</v>
      </c>
      <c r="J126" s="9" t="n"/>
    </row>
    <row r="127" ht="18" customHeight="1" s="408">
      <c r="A127" s="33" t="n">
        <v>122</v>
      </c>
      <c r="B127" s="17" t="inlineStr">
        <is>
          <t>330887</t>
        </is>
      </c>
      <c r="C127" s="18" t="n">
        <v>41436</v>
      </c>
      <c r="D127" s="694" t="n">
        <v>64.43000000000001</v>
      </c>
      <c r="E127" s="11" t="inlineStr">
        <is>
          <t>S G L CAMBODIA</t>
        </is>
      </c>
      <c r="F127" s="10" t="inlineStr">
        <is>
          <t>100119816</t>
        </is>
      </c>
      <c r="G127" s="17" t="inlineStr">
        <is>
          <t>330887</t>
        </is>
      </c>
      <c r="H127" s="18" t="n">
        <v>41436</v>
      </c>
      <c r="I127" s="694" t="n">
        <v>64.43000000000001</v>
      </c>
      <c r="J127" s="9" t="n"/>
    </row>
    <row r="128" ht="18" customHeight="1" s="408">
      <c r="A128" s="33" t="n">
        <v>123</v>
      </c>
      <c r="B128" s="17" t="inlineStr">
        <is>
          <t>330995</t>
        </is>
      </c>
      <c r="C128" s="18" t="n">
        <v>41444</v>
      </c>
      <c r="D128" s="694" t="n">
        <v>80.61</v>
      </c>
      <c r="E128" s="11" t="inlineStr">
        <is>
          <t>S G L CAMBODIA</t>
        </is>
      </c>
      <c r="F128" s="10" t="inlineStr">
        <is>
          <t>100119816</t>
        </is>
      </c>
      <c r="G128" s="17" t="inlineStr">
        <is>
          <t>330995</t>
        </is>
      </c>
      <c r="H128" s="18" t="n">
        <v>41444</v>
      </c>
      <c r="I128" s="694" t="n">
        <v>80.61</v>
      </c>
      <c r="J128" s="9" t="n"/>
    </row>
    <row r="129" ht="18" customHeight="1" s="408">
      <c r="A129" s="33" t="n">
        <v>124</v>
      </c>
      <c r="B129" s="17" t="inlineStr">
        <is>
          <t>331072</t>
        </is>
      </c>
      <c r="C129" s="18" t="n">
        <v>41444</v>
      </c>
      <c r="D129" s="694" t="n">
        <v>22.1</v>
      </c>
      <c r="E129" s="11" t="inlineStr">
        <is>
          <t>S G L CAMBODIA</t>
        </is>
      </c>
      <c r="F129" s="10" t="inlineStr">
        <is>
          <t>100119816</t>
        </is>
      </c>
      <c r="G129" s="17" t="inlineStr">
        <is>
          <t>331072</t>
        </is>
      </c>
      <c r="H129" s="18" t="n">
        <v>41444</v>
      </c>
      <c r="I129" s="694" t="n">
        <v>22.1</v>
      </c>
      <c r="J129" s="9" t="n"/>
    </row>
    <row r="130" ht="18" customHeight="1" s="408">
      <c r="A130" s="33" t="n">
        <v>125</v>
      </c>
      <c r="B130" s="17" t="inlineStr">
        <is>
          <t>331092</t>
        </is>
      </c>
      <c r="C130" s="18" t="n">
        <v>41444</v>
      </c>
      <c r="D130" s="694" t="n">
        <v>52.61</v>
      </c>
      <c r="E130" s="11" t="inlineStr">
        <is>
          <t>S G L CAMBODIA</t>
        </is>
      </c>
      <c r="F130" s="10" t="inlineStr">
        <is>
          <t>100119816</t>
        </is>
      </c>
      <c r="G130" s="17" t="inlineStr">
        <is>
          <t>331092</t>
        </is>
      </c>
      <c r="H130" s="18" t="n">
        <v>41444</v>
      </c>
      <c r="I130" s="694" t="n">
        <v>52.61</v>
      </c>
      <c r="J130" s="9" t="n"/>
    </row>
    <row r="131" ht="18" customHeight="1" s="408">
      <c r="A131" s="33" t="n">
        <v>126</v>
      </c>
      <c r="B131" s="17" t="inlineStr">
        <is>
          <t>331262</t>
        </is>
      </c>
      <c r="C131" s="18" t="n">
        <v>41454</v>
      </c>
      <c r="D131" s="694" t="n">
        <v>69.87</v>
      </c>
      <c r="E131" s="11" t="inlineStr">
        <is>
          <t>S G L CAMBODIA</t>
        </is>
      </c>
      <c r="F131" s="10" t="inlineStr">
        <is>
          <t>100119816</t>
        </is>
      </c>
      <c r="G131" s="17" t="inlineStr">
        <is>
          <t>331262</t>
        </is>
      </c>
      <c r="H131" s="18" t="n">
        <v>41454</v>
      </c>
      <c r="I131" s="694" t="n">
        <v>69.87</v>
      </c>
      <c r="J131" s="9" t="n"/>
    </row>
    <row r="132" ht="18" customHeight="1" s="408">
      <c r="A132" s="33" t="n">
        <v>127</v>
      </c>
      <c r="B132" s="17" t="inlineStr">
        <is>
          <t>331300</t>
        </is>
      </c>
      <c r="C132" s="18" t="n">
        <v>41454</v>
      </c>
      <c r="D132" s="694" t="n">
        <v>82.29000000000001</v>
      </c>
      <c r="E132" s="11" t="inlineStr">
        <is>
          <t>S G L CAMBODIA</t>
        </is>
      </c>
      <c r="F132" s="10" t="inlineStr">
        <is>
          <t>100119816</t>
        </is>
      </c>
      <c r="G132" s="17" t="inlineStr">
        <is>
          <t>331300</t>
        </is>
      </c>
      <c r="H132" s="18" t="n">
        <v>41454</v>
      </c>
      <c r="I132" s="694" t="n">
        <v>82.29000000000001</v>
      </c>
      <c r="J132" s="9" t="n"/>
    </row>
    <row r="133" ht="18" customHeight="1" s="408">
      <c r="A133" s="33" t="n">
        <v>128</v>
      </c>
      <c r="B133" s="17" t="inlineStr">
        <is>
          <t>331366</t>
        </is>
      </c>
      <c r="C133" s="18" t="n">
        <v>41455</v>
      </c>
      <c r="D133" s="694" t="n">
        <v>33.95</v>
      </c>
      <c r="E133" s="11" t="inlineStr">
        <is>
          <t>S G L CAMBODIA</t>
        </is>
      </c>
      <c r="F133" s="10" t="inlineStr">
        <is>
          <t>100119816</t>
        </is>
      </c>
      <c r="G133" s="17" t="inlineStr">
        <is>
          <t>331366</t>
        </is>
      </c>
      <c r="H133" s="18" t="n">
        <v>41455</v>
      </c>
      <c r="I133" s="694" t="n">
        <v>33.95</v>
      </c>
      <c r="J133" s="9" t="n"/>
    </row>
    <row r="134" ht="18" customHeight="1" s="408">
      <c r="A134" s="33" t="n">
        <v>129</v>
      </c>
      <c r="B134" s="17" t="inlineStr">
        <is>
          <t>331152</t>
        </is>
      </c>
      <c r="C134" s="18" t="n">
        <v>41449</v>
      </c>
      <c r="D134" s="694" t="n">
        <v>72.59</v>
      </c>
      <c r="E134" s="11" t="inlineStr">
        <is>
          <t>S G L CAMBODIA</t>
        </is>
      </c>
      <c r="F134" s="10" t="inlineStr">
        <is>
          <t>100119816</t>
        </is>
      </c>
      <c r="G134" s="17" t="inlineStr">
        <is>
          <t>331152</t>
        </is>
      </c>
      <c r="H134" s="18" t="n">
        <v>41449</v>
      </c>
      <c r="I134" s="694" t="n">
        <v>72.59</v>
      </c>
      <c r="J134" s="9" t="n"/>
    </row>
    <row r="135" ht="18" customHeight="1" s="408">
      <c r="A135" s="33" t="n">
        <v>130</v>
      </c>
      <c r="B135" s="17" t="inlineStr">
        <is>
          <t>331161</t>
        </is>
      </c>
      <c r="C135" s="18" t="n">
        <v>41449</v>
      </c>
      <c r="D135" s="694" t="n">
        <v>22.1</v>
      </c>
      <c r="E135" s="11" t="inlineStr">
        <is>
          <t>S G L CAMBODIA</t>
        </is>
      </c>
      <c r="F135" s="10" t="inlineStr">
        <is>
          <t>100119816</t>
        </is>
      </c>
      <c r="G135" s="17" t="inlineStr">
        <is>
          <t>331161</t>
        </is>
      </c>
      <c r="H135" s="18" t="n">
        <v>41449</v>
      </c>
      <c r="I135" s="694" t="n">
        <v>22.1</v>
      </c>
      <c r="J135" s="9" t="n"/>
    </row>
    <row r="136" ht="18" customHeight="1" s="408">
      <c r="A136" s="33" t="n">
        <v>131</v>
      </c>
      <c r="B136" s="17" t="inlineStr">
        <is>
          <t>331205</t>
        </is>
      </c>
      <c r="C136" s="18" t="n">
        <v>41450</v>
      </c>
      <c r="D136" s="694" t="n">
        <v>32.51</v>
      </c>
      <c r="E136" s="11" t="inlineStr">
        <is>
          <t>S G L CAMBODIA</t>
        </is>
      </c>
      <c r="F136" s="10" t="inlineStr">
        <is>
          <t>100119816</t>
        </is>
      </c>
      <c r="G136" s="17" t="inlineStr">
        <is>
          <t>331205</t>
        </is>
      </c>
      <c r="H136" s="18" t="n">
        <v>41450</v>
      </c>
      <c r="I136" s="694" t="n">
        <v>32.51</v>
      </c>
      <c r="J136" s="9" t="n"/>
    </row>
    <row r="137" ht="18" customHeight="1" s="408">
      <c r="A137" s="33" t="n">
        <v>132</v>
      </c>
      <c r="B137" s="17" t="inlineStr">
        <is>
          <t>331457</t>
        </is>
      </c>
      <c r="C137" s="18" t="n">
        <v>41464</v>
      </c>
      <c r="D137" s="694" t="n">
        <v>34.42</v>
      </c>
      <c r="E137" s="11" t="inlineStr">
        <is>
          <t>S G L CAMBODIA</t>
        </is>
      </c>
      <c r="F137" s="10" t="inlineStr">
        <is>
          <t>100119816</t>
        </is>
      </c>
      <c r="G137" s="17" t="inlineStr">
        <is>
          <t>331457</t>
        </is>
      </c>
      <c r="H137" s="18" t="n">
        <v>41464</v>
      </c>
      <c r="I137" s="694" t="n">
        <v>34.42</v>
      </c>
      <c r="J137" s="9" t="n"/>
    </row>
    <row r="138" ht="18" customHeight="1" s="408">
      <c r="A138" s="33" t="n">
        <v>133</v>
      </c>
      <c r="B138" s="17" t="inlineStr">
        <is>
          <t>331512</t>
        </is>
      </c>
      <c r="C138" s="18" t="n">
        <v>41464</v>
      </c>
      <c r="D138" s="694" t="n">
        <v>47.83</v>
      </c>
      <c r="E138" s="11" t="inlineStr">
        <is>
          <t>S G L CAMBODIA</t>
        </is>
      </c>
      <c r="F138" s="10" t="inlineStr">
        <is>
          <t>100119816</t>
        </is>
      </c>
      <c r="G138" s="17" t="inlineStr">
        <is>
          <t>331512</t>
        </is>
      </c>
      <c r="H138" s="18" t="n">
        <v>41464</v>
      </c>
      <c r="I138" s="694" t="n">
        <v>47.83</v>
      </c>
      <c r="J138" s="9" t="n"/>
    </row>
    <row r="139" ht="18" customHeight="1" s="408">
      <c r="A139" s="33" t="n">
        <v>134</v>
      </c>
      <c r="B139" s="17" t="inlineStr">
        <is>
          <t>331515</t>
        </is>
      </c>
      <c r="C139" s="18" t="n">
        <v>41464</v>
      </c>
      <c r="D139" s="694" t="n">
        <v>26.89</v>
      </c>
      <c r="E139" s="11" t="inlineStr">
        <is>
          <t>S G L CAMBODIA</t>
        </is>
      </c>
      <c r="F139" s="10" t="inlineStr">
        <is>
          <t>100119816</t>
        </is>
      </c>
      <c r="G139" s="17" t="inlineStr">
        <is>
          <t>331515</t>
        </is>
      </c>
      <c r="H139" s="18" t="n">
        <v>41464</v>
      </c>
      <c r="I139" s="694" t="n">
        <v>26.89</v>
      </c>
      <c r="J139" s="9" t="n"/>
    </row>
    <row r="140" ht="18" customHeight="1" s="408">
      <c r="A140" s="33" t="n">
        <v>135</v>
      </c>
      <c r="B140" s="17" t="inlineStr">
        <is>
          <t>331530</t>
        </is>
      </c>
      <c r="C140" s="18" t="n">
        <v>41464</v>
      </c>
      <c r="D140" s="694" t="n">
        <v>44.67</v>
      </c>
      <c r="E140" s="11" t="inlineStr">
        <is>
          <t>S G L CAMBODIA</t>
        </is>
      </c>
      <c r="F140" s="10" t="inlineStr">
        <is>
          <t>100119816</t>
        </is>
      </c>
      <c r="G140" s="17" t="inlineStr">
        <is>
          <t>331530</t>
        </is>
      </c>
      <c r="H140" s="18" t="n">
        <v>41464</v>
      </c>
      <c r="I140" s="694" t="n">
        <v>44.67</v>
      </c>
      <c r="J140" s="9" t="n"/>
    </row>
    <row r="141" ht="18" customHeight="1" s="408">
      <c r="A141" s="33" t="n">
        <v>136</v>
      </c>
      <c r="B141" s="17" t="inlineStr">
        <is>
          <t>331554</t>
        </is>
      </c>
      <c r="C141" s="18" t="n">
        <v>41464</v>
      </c>
      <c r="D141" s="694" t="n">
        <v>39.33</v>
      </c>
      <c r="E141" s="11" t="inlineStr">
        <is>
          <t>S G L CAMBODIA</t>
        </is>
      </c>
      <c r="F141" s="10" t="inlineStr">
        <is>
          <t>100119816</t>
        </is>
      </c>
      <c r="G141" s="17" t="inlineStr">
        <is>
          <t>331554</t>
        </is>
      </c>
      <c r="H141" s="18" t="n">
        <v>41464</v>
      </c>
      <c r="I141" s="694" t="n">
        <v>39.33</v>
      </c>
      <c r="J141" s="9" t="n"/>
    </row>
    <row r="142" ht="18" customHeight="1" s="408">
      <c r="A142" s="33" t="n">
        <v>137</v>
      </c>
      <c r="B142" s="17" t="inlineStr">
        <is>
          <t>331577</t>
        </is>
      </c>
      <c r="C142" s="18" t="n">
        <v>41465</v>
      </c>
      <c r="D142" s="694" t="n">
        <v>62.7</v>
      </c>
      <c r="E142" s="11" t="inlineStr">
        <is>
          <t>S G L CAMBODIA</t>
        </is>
      </c>
      <c r="F142" s="10" t="inlineStr">
        <is>
          <t>100119816</t>
        </is>
      </c>
      <c r="G142" s="17" t="inlineStr">
        <is>
          <t>331577</t>
        </is>
      </c>
      <c r="H142" s="18" t="n">
        <v>41465</v>
      </c>
      <c r="I142" s="694" t="n">
        <v>62.7</v>
      </c>
      <c r="J142" s="9" t="n"/>
    </row>
    <row r="143" ht="18" customHeight="1" s="408">
      <c r="A143" s="33" t="n">
        <v>138</v>
      </c>
      <c r="B143" s="17" t="inlineStr">
        <is>
          <t>331592</t>
        </is>
      </c>
      <c r="C143" s="18" t="n">
        <v>41465</v>
      </c>
      <c r="D143" s="694" t="n">
        <v>101.07</v>
      </c>
      <c r="E143" s="11" t="inlineStr">
        <is>
          <t>S G L CAMBODIA</t>
        </is>
      </c>
      <c r="F143" s="10" t="inlineStr">
        <is>
          <t>100119816</t>
        </is>
      </c>
      <c r="G143" s="17" t="inlineStr">
        <is>
          <t>331592</t>
        </is>
      </c>
      <c r="H143" s="18" t="n">
        <v>41465</v>
      </c>
      <c r="I143" s="694" t="n">
        <v>101.07</v>
      </c>
      <c r="J143" s="9" t="n"/>
    </row>
    <row r="144" ht="18" customHeight="1" s="408">
      <c r="A144" s="33" t="n">
        <v>139</v>
      </c>
      <c r="B144" s="17" t="inlineStr">
        <is>
          <t>331607</t>
        </is>
      </c>
      <c r="C144" s="18" t="n">
        <v>41465</v>
      </c>
      <c r="D144" s="694" t="n">
        <v>129.26</v>
      </c>
      <c r="E144" s="11" t="inlineStr">
        <is>
          <t>S G L CAMBODIA</t>
        </is>
      </c>
      <c r="F144" s="10" t="inlineStr">
        <is>
          <t>100119816</t>
        </is>
      </c>
      <c r="G144" s="17" t="inlineStr">
        <is>
          <t>331607</t>
        </is>
      </c>
      <c r="H144" s="18" t="n">
        <v>41465</v>
      </c>
      <c r="I144" s="694" t="n">
        <v>129.26</v>
      </c>
      <c r="J144" s="9" t="n"/>
    </row>
    <row r="145" ht="18" customHeight="1" s="408">
      <c r="A145" s="33" t="n">
        <v>140</v>
      </c>
      <c r="B145" s="17" t="inlineStr">
        <is>
          <t>331711</t>
        </is>
      </c>
      <c r="C145" s="18" t="n">
        <v>41471</v>
      </c>
      <c r="D145" s="694" t="n">
        <v>22.3</v>
      </c>
      <c r="E145" s="11" t="inlineStr">
        <is>
          <t>S G L CAMBODIA</t>
        </is>
      </c>
      <c r="F145" s="10" t="inlineStr">
        <is>
          <t>100119816</t>
        </is>
      </c>
      <c r="G145" s="17" t="inlineStr">
        <is>
          <t>331711</t>
        </is>
      </c>
      <c r="H145" s="18" t="n">
        <v>41471</v>
      </c>
      <c r="I145" s="694" t="n">
        <v>22.3</v>
      </c>
      <c r="J145" s="9" t="n"/>
    </row>
    <row r="146" ht="18" customHeight="1" s="408">
      <c r="A146" s="33" t="n">
        <v>141</v>
      </c>
      <c r="B146" s="17" t="inlineStr">
        <is>
          <t>331720</t>
        </is>
      </c>
      <c r="C146" s="18" t="n">
        <v>41471</v>
      </c>
      <c r="D146" s="694" t="n">
        <v>26.2</v>
      </c>
      <c r="E146" s="11" t="inlineStr">
        <is>
          <t>S G L CAMBODIA</t>
        </is>
      </c>
      <c r="F146" s="10" t="inlineStr">
        <is>
          <t>100119816</t>
        </is>
      </c>
      <c r="G146" s="17" t="inlineStr">
        <is>
          <t>331720</t>
        </is>
      </c>
      <c r="H146" s="18" t="n">
        <v>41471</v>
      </c>
      <c r="I146" s="694" t="n">
        <v>26.2</v>
      </c>
      <c r="J146" s="9" t="n"/>
    </row>
    <row r="147" ht="18" customHeight="1" s="408">
      <c r="A147" s="33" t="n">
        <v>142</v>
      </c>
      <c r="B147" s="17" t="inlineStr">
        <is>
          <t>331722</t>
        </is>
      </c>
      <c r="C147" s="18" t="n">
        <v>41471</v>
      </c>
      <c r="D147" s="694" t="n">
        <v>113.51</v>
      </c>
      <c r="E147" s="11" t="inlineStr">
        <is>
          <t>S G L CAMBODIA</t>
        </is>
      </c>
      <c r="F147" s="10" t="inlineStr">
        <is>
          <t>100119816</t>
        </is>
      </c>
      <c r="G147" s="17" t="inlineStr">
        <is>
          <t>331722</t>
        </is>
      </c>
      <c r="H147" s="18" t="n">
        <v>41471</v>
      </c>
      <c r="I147" s="694" t="n">
        <v>113.51</v>
      </c>
      <c r="J147" s="9" t="n"/>
    </row>
    <row r="148" ht="18" customHeight="1" s="408">
      <c r="A148" s="33" t="n">
        <v>143</v>
      </c>
      <c r="B148" s="17" t="inlineStr">
        <is>
          <t>331728</t>
        </is>
      </c>
      <c r="C148" s="18" t="n">
        <v>41471</v>
      </c>
      <c r="D148" s="694" t="n">
        <v>35.22</v>
      </c>
      <c r="E148" s="11" t="inlineStr">
        <is>
          <t>S G L CAMBODIA</t>
        </is>
      </c>
      <c r="F148" s="10" t="inlineStr">
        <is>
          <t>100119816</t>
        </is>
      </c>
      <c r="G148" s="17" t="inlineStr">
        <is>
          <t>331728</t>
        </is>
      </c>
      <c r="H148" s="18" t="n">
        <v>41471</v>
      </c>
      <c r="I148" s="694" t="n">
        <v>35.22</v>
      </c>
      <c r="J148" s="9" t="n"/>
    </row>
    <row r="149" ht="18" customHeight="1" s="408">
      <c r="A149" s="33" t="n">
        <v>144</v>
      </c>
      <c r="B149" s="17" t="inlineStr">
        <is>
          <t>331731</t>
        </is>
      </c>
      <c r="C149" s="18" t="n">
        <v>41471</v>
      </c>
      <c r="D149" s="694" t="n">
        <v>72.79000000000001</v>
      </c>
      <c r="E149" s="11" t="inlineStr">
        <is>
          <t>S G L CAMBODIA</t>
        </is>
      </c>
      <c r="F149" s="10" t="inlineStr">
        <is>
          <t>100119816</t>
        </is>
      </c>
      <c r="G149" s="17" t="inlineStr">
        <is>
          <t>331731</t>
        </is>
      </c>
      <c r="H149" s="18" t="n">
        <v>41471</v>
      </c>
      <c r="I149" s="694" t="n">
        <v>72.79000000000001</v>
      </c>
      <c r="J149" s="9" t="n"/>
    </row>
    <row r="150" ht="18" customHeight="1" s="408">
      <c r="A150" s="33" t="n">
        <v>145</v>
      </c>
      <c r="B150" s="17" t="inlineStr">
        <is>
          <t>331738</t>
        </is>
      </c>
      <c r="C150" s="18" t="n">
        <v>41471</v>
      </c>
      <c r="D150" s="694" t="n">
        <v>26.6</v>
      </c>
      <c r="E150" s="11" t="inlineStr">
        <is>
          <t>S G L CAMBODIA</t>
        </is>
      </c>
      <c r="F150" s="10" t="inlineStr">
        <is>
          <t>100119816</t>
        </is>
      </c>
      <c r="G150" s="17" t="inlineStr">
        <is>
          <t>331738</t>
        </is>
      </c>
      <c r="H150" s="18" t="n">
        <v>41471</v>
      </c>
      <c r="I150" s="694" t="n">
        <v>26.6</v>
      </c>
      <c r="J150" s="9" t="n"/>
    </row>
    <row r="151" ht="18" customHeight="1" s="408">
      <c r="A151" s="33" t="n">
        <v>146</v>
      </c>
      <c r="B151" s="17" t="inlineStr">
        <is>
          <t>331750</t>
        </is>
      </c>
      <c r="C151" s="18" t="n">
        <v>41471</v>
      </c>
      <c r="D151" s="694" t="n">
        <v>26.55</v>
      </c>
      <c r="E151" s="11" t="inlineStr">
        <is>
          <t>S G L CAMBODIA</t>
        </is>
      </c>
      <c r="F151" s="10" t="inlineStr">
        <is>
          <t>100119816</t>
        </is>
      </c>
      <c r="G151" s="17" t="inlineStr">
        <is>
          <t>331750</t>
        </is>
      </c>
      <c r="H151" s="18" t="n">
        <v>41471</v>
      </c>
      <c r="I151" s="694" t="n">
        <v>26.55</v>
      </c>
      <c r="J151" s="9" t="n"/>
    </row>
    <row r="152" ht="18" customHeight="1" s="408">
      <c r="A152" s="33" t="n">
        <v>147</v>
      </c>
      <c r="B152" s="17" t="inlineStr">
        <is>
          <t>331843</t>
        </is>
      </c>
      <c r="C152" s="18" t="n">
        <v>41477</v>
      </c>
      <c r="D152" s="694" t="n">
        <v>51.32</v>
      </c>
      <c r="E152" s="11" t="inlineStr">
        <is>
          <t>S G L CAMBODIA</t>
        </is>
      </c>
      <c r="F152" s="10" t="inlineStr">
        <is>
          <t>100119816</t>
        </is>
      </c>
      <c r="G152" s="17" t="inlineStr">
        <is>
          <t>331843</t>
        </is>
      </c>
      <c r="H152" s="18" t="n">
        <v>41477</v>
      </c>
      <c r="I152" s="694" t="n">
        <v>51.32</v>
      </c>
      <c r="J152" s="9" t="n"/>
    </row>
    <row r="153" ht="18" customHeight="1" s="408">
      <c r="A153" s="33" t="n">
        <v>148</v>
      </c>
      <c r="B153" s="17" t="inlineStr">
        <is>
          <t>331877</t>
        </is>
      </c>
      <c r="C153" s="18" t="n">
        <v>41478</v>
      </c>
      <c r="D153" s="694" t="n">
        <v>26.96</v>
      </c>
      <c r="E153" s="11" t="inlineStr">
        <is>
          <t>S G L CAMBODIA</t>
        </is>
      </c>
      <c r="F153" s="10" t="inlineStr">
        <is>
          <t>100119816</t>
        </is>
      </c>
      <c r="G153" s="17" t="inlineStr">
        <is>
          <t>331877</t>
        </is>
      </c>
      <c r="H153" s="18" t="n">
        <v>41478</v>
      </c>
      <c r="I153" s="694" t="n">
        <v>26.96</v>
      </c>
      <c r="J153" s="9" t="n"/>
    </row>
    <row r="154" ht="18" customHeight="1" s="408">
      <c r="A154" s="33" t="n">
        <v>149</v>
      </c>
      <c r="B154" s="17" t="inlineStr">
        <is>
          <t>331884</t>
        </is>
      </c>
      <c r="C154" s="18" t="n">
        <v>41478</v>
      </c>
      <c r="D154" s="694" t="n">
        <v>52.06</v>
      </c>
      <c r="E154" s="11" t="inlineStr">
        <is>
          <t>S G L CAMBODIA</t>
        </is>
      </c>
      <c r="F154" s="10" t="inlineStr">
        <is>
          <t>100119816</t>
        </is>
      </c>
      <c r="G154" s="17" t="inlineStr">
        <is>
          <t>331884</t>
        </is>
      </c>
      <c r="H154" s="18" t="n">
        <v>41478</v>
      </c>
      <c r="I154" s="694" t="n">
        <v>52.06</v>
      </c>
      <c r="J154" s="9" t="n"/>
    </row>
    <row r="155" ht="18" customHeight="1" s="408">
      <c r="A155" s="33" t="n">
        <v>150</v>
      </c>
      <c r="B155" s="17" t="inlineStr">
        <is>
          <t>331986</t>
        </is>
      </c>
      <c r="C155" s="18" t="n">
        <v>41484</v>
      </c>
      <c r="D155" s="694" t="n">
        <v>26.2</v>
      </c>
      <c r="E155" s="11" t="inlineStr">
        <is>
          <t>S G L CAMBODIA</t>
        </is>
      </c>
      <c r="F155" s="10" t="inlineStr">
        <is>
          <t>100119816</t>
        </is>
      </c>
      <c r="G155" s="17" t="inlineStr">
        <is>
          <t>331986</t>
        </is>
      </c>
      <c r="H155" s="18" t="n">
        <v>41484</v>
      </c>
      <c r="I155" s="694" t="n">
        <v>26.2</v>
      </c>
      <c r="J155" s="9" t="n"/>
    </row>
    <row r="156" ht="18" customHeight="1" s="408">
      <c r="A156" s="33" t="n">
        <v>151</v>
      </c>
      <c r="B156" s="17" t="inlineStr">
        <is>
          <t>331993</t>
        </is>
      </c>
      <c r="C156" s="18" t="n">
        <v>41484</v>
      </c>
      <c r="D156" s="694" t="n">
        <v>5</v>
      </c>
      <c r="E156" s="11" t="inlineStr">
        <is>
          <t>S G L CAMBODIA</t>
        </is>
      </c>
      <c r="F156" s="10" t="inlineStr">
        <is>
          <t>100119816</t>
        </is>
      </c>
      <c r="G156" s="17" t="inlineStr">
        <is>
          <t>331993</t>
        </is>
      </c>
      <c r="H156" s="18" t="n">
        <v>41484</v>
      </c>
      <c r="I156" s="694" t="n">
        <v>5</v>
      </c>
      <c r="J156" s="9" t="n"/>
    </row>
    <row r="157" ht="18" customHeight="1" s="408">
      <c r="A157" s="33" t="n">
        <v>152</v>
      </c>
      <c r="B157" s="17" t="inlineStr">
        <is>
          <t>332045</t>
        </is>
      </c>
      <c r="C157" s="18" t="n">
        <v>41485</v>
      </c>
      <c r="D157" s="694" t="n">
        <v>29.73</v>
      </c>
      <c r="E157" s="11" t="inlineStr">
        <is>
          <t>S G L CAMBODIA</t>
        </is>
      </c>
      <c r="F157" s="10" t="inlineStr">
        <is>
          <t>100119816</t>
        </is>
      </c>
      <c r="G157" s="17" t="inlineStr">
        <is>
          <t>332045</t>
        </is>
      </c>
      <c r="H157" s="18" t="n">
        <v>41485</v>
      </c>
      <c r="I157" s="694" t="n">
        <v>29.73</v>
      </c>
      <c r="J157" s="9" t="n"/>
    </row>
    <row r="158" ht="18" customHeight="1" s="408">
      <c r="A158" s="33" t="n">
        <v>153</v>
      </c>
      <c r="B158" s="17" t="inlineStr">
        <is>
          <t>332112</t>
        </is>
      </c>
      <c r="C158" s="18" t="n">
        <v>41491</v>
      </c>
      <c r="D158" s="694" t="n">
        <v>26.32</v>
      </c>
      <c r="E158" s="11" t="inlineStr">
        <is>
          <t>S G L CAMBODIA</t>
        </is>
      </c>
      <c r="F158" s="10" t="inlineStr">
        <is>
          <t>100119816</t>
        </is>
      </c>
      <c r="G158" s="17" t="inlineStr">
        <is>
          <t>332112</t>
        </is>
      </c>
      <c r="H158" s="18" t="n">
        <v>41491</v>
      </c>
      <c r="I158" s="694" t="n">
        <v>26.32</v>
      </c>
      <c r="J158" s="9" t="n"/>
    </row>
    <row r="159" ht="18" customHeight="1" s="408">
      <c r="A159" s="33" t="n">
        <v>154</v>
      </c>
      <c r="B159" s="17" t="inlineStr">
        <is>
          <t>332140</t>
        </is>
      </c>
      <c r="C159" s="18" t="n">
        <v>41491</v>
      </c>
      <c r="D159" s="694" t="n">
        <v>30.9</v>
      </c>
      <c r="E159" s="11" t="inlineStr">
        <is>
          <t>S G L CAMBODIA</t>
        </is>
      </c>
      <c r="F159" s="10" t="inlineStr">
        <is>
          <t>100119816</t>
        </is>
      </c>
      <c r="G159" s="17" t="inlineStr">
        <is>
          <t>332140</t>
        </is>
      </c>
      <c r="H159" s="18" t="n">
        <v>41491</v>
      </c>
      <c r="I159" s="694" t="n">
        <v>30.9</v>
      </c>
      <c r="J159" s="9" t="n"/>
    </row>
    <row r="160" ht="18" customHeight="1" s="408">
      <c r="A160" s="33" t="n">
        <v>155</v>
      </c>
      <c r="B160" s="17" t="inlineStr">
        <is>
          <t>332188</t>
        </is>
      </c>
      <c r="C160" s="18" t="n">
        <v>41492</v>
      </c>
      <c r="D160" s="694" t="n">
        <v>48.13</v>
      </c>
      <c r="E160" s="11" t="inlineStr">
        <is>
          <t>S G L CAMBODIA</t>
        </is>
      </c>
      <c r="F160" s="10" t="inlineStr">
        <is>
          <t>100119816</t>
        </is>
      </c>
      <c r="G160" s="17" t="inlineStr">
        <is>
          <t>332188</t>
        </is>
      </c>
      <c r="H160" s="18" t="n">
        <v>41492</v>
      </c>
      <c r="I160" s="694" t="n">
        <v>48.13</v>
      </c>
      <c r="J160" s="9" t="n"/>
    </row>
    <row r="161" ht="18" customHeight="1" s="408">
      <c r="A161" s="33" t="n">
        <v>156</v>
      </c>
      <c r="B161" s="17" t="inlineStr">
        <is>
          <t>332194</t>
        </is>
      </c>
      <c r="C161" s="18" t="n">
        <v>41492</v>
      </c>
      <c r="D161" s="694" t="n">
        <v>25.81</v>
      </c>
      <c r="E161" s="11" t="inlineStr">
        <is>
          <t>S G L CAMBODIA</t>
        </is>
      </c>
      <c r="F161" s="10" t="inlineStr">
        <is>
          <t>100119816</t>
        </is>
      </c>
      <c r="G161" s="17" t="inlineStr">
        <is>
          <t>332194</t>
        </is>
      </c>
      <c r="H161" s="18" t="n">
        <v>41492</v>
      </c>
      <c r="I161" s="694" t="n">
        <v>25.81</v>
      </c>
      <c r="J161" s="9" t="n"/>
    </row>
    <row r="162" ht="18" customHeight="1" s="408">
      <c r="A162" s="33" t="n">
        <v>157</v>
      </c>
      <c r="B162" s="17" t="inlineStr">
        <is>
          <t>332202</t>
        </is>
      </c>
      <c r="C162" s="18" t="n">
        <v>41492</v>
      </c>
      <c r="D162" s="694" t="n">
        <v>39.69</v>
      </c>
      <c r="E162" s="11" t="inlineStr">
        <is>
          <t>S G L CAMBODIA</t>
        </is>
      </c>
      <c r="F162" s="10" t="inlineStr">
        <is>
          <t>100119816</t>
        </is>
      </c>
      <c r="G162" s="17" t="inlineStr">
        <is>
          <t>332202</t>
        </is>
      </c>
      <c r="H162" s="18" t="n">
        <v>41492</v>
      </c>
      <c r="I162" s="694" t="n">
        <v>39.69</v>
      </c>
      <c r="J162" s="9" t="n"/>
    </row>
    <row r="163" ht="18" customHeight="1" s="408">
      <c r="A163" s="33" t="n">
        <v>158</v>
      </c>
      <c r="B163" s="17" t="inlineStr">
        <is>
          <t>332221</t>
        </is>
      </c>
      <c r="C163" s="18" t="n">
        <v>41492</v>
      </c>
      <c r="D163" s="694" t="n">
        <v>75.8</v>
      </c>
      <c r="E163" s="11" t="inlineStr">
        <is>
          <t>S G L CAMBODIA</t>
        </is>
      </c>
      <c r="F163" s="10" t="inlineStr">
        <is>
          <t>100119816</t>
        </is>
      </c>
      <c r="G163" s="17" t="inlineStr">
        <is>
          <t>332221</t>
        </is>
      </c>
      <c r="H163" s="18" t="n">
        <v>41492</v>
      </c>
      <c r="I163" s="694" t="n">
        <v>75.8</v>
      </c>
      <c r="J163" s="9" t="n"/>
    </row>
    <row r="164" ht="18" customHeight="1" s="408">
      <c r="A164" s="33" t="n">
        <v>159</v>
      </c>
      <c r="B164" s="17" t="inlineStr">
        <is>
          <t>332347</t>
        </is>
      </c>
      <c r="C164" s="18" t="n">
        <v>41499</v>
      </c>
      <c r="D164" s="694" t="n">
        <v>61.05</v>
      </c>
      <c r="E164" s="11" t="inlineStr">
        <is>
          <t>S G L CAMBODIA</t>
        </is>
      </c>
      <c r="F164" s="10" t="inlineStr">
        <is>
          <t>100119816</t>
        </is>
      </c>
      <c r="G164" s="17" t="inlineStr">
        <is>
          <t>332347</t>
        </is>
      </c>
      <c r="H164" s="18" t="n">
        <v>41499</v>
      </c>
      <c r="I164" s="694" t="n">
        <v>61.05</v>
      </c>
      <c r="J164" s="9" t="n"/>
    </row>
    <row r="165" ht="18" customHeight="1" s="408">
      <c r="A165" s="33" t="n">
        <v>160</v>
      </c>
      <c r="B165" s="17" t="inlineStr">
        <is>
          <t>332372</t>
        </is>
      </c>
      <c r="C165" s="18" t="n">
        <v>41499</v>
      </c>
      <c r="D165" s="694" t="n">
        <v>35.53</v>
      </c>
      <c r="E165" s="11" t="inlineStr">
        <is>
          <t>S G L CAMBODIA</t>
        </is>
      </c>
      <c r="F165" s="10" t="inlineStr">
        <is>
          <t>100119816</t>
        </is>
      </c>
      <c r="G165" s="17" t="inlineStr">
        <is>
          <t>332372</t>
        </is>
      </c>
      <c r="H165" s="18" t="n">
        <v>41499</v>
      </c>
      <c r="I165" s="694" t="n">
        <v>35.53</v>
      </c>
      <c r="J165" s="9" t="n"/>
    </row>
    <row r="166" ht="18" customHeight="1" s="408">
      <c r="A166" s="33" t="n">
        <v>161</v>
      </c>
      <c r="B166" s="17" t="inlineStr">
        <is>
          <t>332400</t>
        </is>
      </c>
      <c r="C166" s="18" t="n">
        <v>41499</v>
      </c>
      <c r="D166" s="694" t="n">
        <v>63.41</v>
      </c>
      <c r="E166" s="11" t="inlineStr">
        <is>
          <t>S G L CAMBODIA</t>
        </is>
      </c>
      <c r="F166" s="10" t="inlineStr">
        <is>
          <t>100119816</t>
        </is>
      </c>
      <c r="G166" s="17" t="inlineStr">
        <is>
          <t>332400</t>
        </is>
      </c>
      <c r="H166" s="18" t="n">
        <v>41499</v>
      </c>
      <c r="I166" s="694" t="n">
        <v>63.41</v>
      </c>
      <c r="J166" s="9" t="n"/>
    </row>
    <row r="167" ht="18" customHeight="1" s="408">
      <c r="A167" s="33" t="n">
        <v>162</v>
      </c>
      <c r="B167" s="17" t="inlineStr">
        <is>
          <t>332409</t>
        </is>
      </c>
      <c r="C167" s="18" t="n">
        <v>41499</v>
      </c>
      <c r="D167" s="694" t="n">
        <v>35.31</v>
      </c>
      <c r="E167" s="11" t="inlineStr">
        <is>
          <t>S G L CAMBODIA</t>
        </is>
      </c>
      <c r="F167" s="10" t="inlineStr">
        <is>
          <t>100119816</t>
        </is>
      </c>
      <c r="G167" s="17" t="inlineStr">
        <is>
          <t>332409</t>
        </is>
      </c>
      <c r="H167" s="18" t="n">
        <v>41499</v>
      </c>
      <c r="I167" s="694" t="n">
        <v>35.31</v>
      </c>
      <c r="J167" s="9" t="n"/>
    </row>
    <row r="168" ht="18" customHeight="1" s="408">
      <c r="A168" s="33" t="n">
        <v>163</v>
      </c>
      <c r="B168" s="17" t="inlineStr">
        <is>
          <t>332503</t>
        </is>
      </c>
      <c r="C168" s="18" t="n">
        <v>41506</v>
      </c>
      <c r="D168" s="694" t="n">
        <v>22.3</v>
      </c>
      <c r="E168" s="11" t="inlineStr">
        <is>
          <t>S G L CAMBODIA</t>
        </is>
      </c>
      <c r="F168" s="10" t="inlineStr">
        <is>
          <t>100119816</t>
        </is>
      </c>
      <c r="G168" s="17" t="inlineStr">
        <is>
          <t>332503</t>
        </is>
      </c>
      <c r="H168" s="18" t="n">
        <v>41506</v>
      </c>
      <c r="I168" s="694" t="n">
        <v>22.3</v>
      </c>
      <c r="J168" s="9" t="n"/>
    </row>
    <row r="169" ht="18" customHeight="1" s="408">
      <c r="A169" s="33" t="n">
        <v>164</v>
      </c>
      <c r="B169" s="17" t="inlineStr">
        <is>
          <t>332504</t>
        </is>
      </c>
      <c r="C169" s="18" t="n">
        <v>41506</v>
      </c>
      <c r="D169" s="694" t="n">
        <v>22.74</v>
      </c>
      <c r="E169" s="11" t="inlineStr">
        <is>
          <t>S G L CAMBODIA</t>
        </is>
      </c>
      <c r="F169" s="10" t="inlineStr">
        <is>
          <t>100119816</t>
        </is>
      </c>
      <c r="G169" s="17" t="inlineStr">
        <is>
          <t>332504</t>
        </is>
      </c>
      <c r="H169" s="18" t="n">
        <v>41506</v>
      </c>
      <c r="I169" s="694" t="n">
        <v>22.74</v>
      </c>
      <c r="J169" s="9" t="n"/>
    </row>
    <row r="170" ht="18" customHeight="1" s="408">
      <c r="A170" s="33" t="n">
        <v>165</v>
      </c>
      <c r="B170" s="17" t="inlineStr">
        <is>
          <t>332506</t>
        </is>
      </c>
      <c r="C170" s="18" t="n">
        <v>41506</v>
      </c>
      <c r="D170" s="694" t="n">
        <v>38.68</v>
      </c>
      <c r="E170" s="11" t="inlineStr">
        <is>
          <t>S G L CAMBODIA</t>
        </is>
      </c>
      <c r="F170" s="10" t="inlineStr">
        <is>
          <t>100119816</t>
        </is>
      </c>
      <c r="G170" s="17" t="inlineStr">
        <is>
          <t>332506</t>
        </is>
      </c>
      <c r="H170" s="18" t="n">
        <v>41506</v>
      </c>
      <c r="I170" s="694" t="n">
        <v>38.68</v>
      </c>
      <c r="J170" s="9" t="n"/>
    </row>
    <row r="171" ht="18" customHeight="1" s="408">
      <c r="A171" s="33" t="n">
        <v>166</v>
      </c>
      <c r="B171" s="17" t="inlineStr">
        <is>
          <t>332527</t>
        </is>
      </c>
      <c r="C171" s="18" t="n">
        <v>41506</v>
      </c>
      <c r="D171" s="694" t="n">
        <v>95.64</v>
      </c>
      <c r="E171" s="11" t="inlineStr">
        <is>
          <t>S G L CAMBODIA</t>
        </is>
      </c>
      <c r="F171" s="10" t="inlineStr">
        <is>
          <t>100119816</t>
        </is>
      </c>
      <c r="G171" s="17" t="inlineStr">
        <is>
          <t>332527</t>
        </is>
      </c>
      <c r="H171" s="18" t="n">
        <v>41506</v>
      </c>
      <c r="I171" s="694" t="n">
        <v>95.64</v>
      </c>
      <c r="J171" s="9" t="n"/>
    </row>
    <row r="172" ht="18" customHeight="1" s="408">
      <c r="A172" s="33" t="n">
        <v>167</v>
      </c>
      <c r="B172" s="17" t="inlineStr">
        <is>
          <t>332539</t>
        </is>
      </c>
      <c r="C172" s="18" t="n">
        <v>41506</v>
      </c>
      <c r="D172" s="694" t="n">
        <v>22.34</v>
      </c>
      <c r="E172" s="11" t="inlineStr">
        <is>
          <t>S G L CAMBODIA</t>
        </is>
      </c>
      <c r="F172" s="10" t="inlineStr">
        <is>
          <t>100119816</t>
        </is>
      </c>
      <c r="G172" s="17" t="inlineStr">
        <is>
          <t>332539</t>
        </is>
      </c>
      <c r="H172" s="18" t="n">
        <v>41506</v>
      </c>
      <c r="I172" s="694" t="n">
        <v>22.34</v>
      </c>
      <c r="J172" s="9" t="n"/>
    </row>
    <row r="173" ht="18" customHeight="1" s="408">
      <c r="A173" s="33" t="n">
        <v>168</v>
      </c>
      <c r="B173" s="17" t="inlineStr">
        <is>
          <t>332635</t>
        </is>
      </c>
      <c r="C173" s="18" t="n">
        <v>41512</v>
      </c>
      <c r="D173" s="694" t="n">
        <v>27.28</v>
      </c>
      <c r="E173" s="11" t="inlineStr">
        <is>
          <t>S G L CAMBODIA</t>
        </is>
      </c>
      <c r="F173" s="10" t="inlineStr">
        <is>
          <t>100119816</t>
        </is>
      </c>
      <c r="G173" s="17" t="inlineStr">
        <is>
          <t>332635</t>
        </is>
      </c>
      <c r="H173" s="18" t="n">
        <v>41512</v>
      </c>
      <c r="I173" s="694" t="n">
        <v>27.28</v>
      </c>
      <c r="J173" s="9" t="n"/>
    </row>
    <row r="174" ht="18" customHeight="1" s="408">
      <c r="A174" s="33" t="n">
        <v>169</v>
      </c>
      <c r="B174" s="17" t="inlineStr">
        <is>
          <t>332640</t>
        </is>
      </c>
      <c r="C174" s="18" t="n">
        <v>41512</v>
      </c>
      <c r="D174" s="694" t="n">
        <v>86.19</v>
      </c>
      <c r="E174" s="11" t="inlineStr">
        <is>
          <t>S G L CAMBODIA</t>
        </is>
      </c>
      <c r="F174" s="10" t="inlineStr">
        <is>
          <t>100119816</t>
        </is>
      </c>
      <c r="G174" s="17" t="inlineStr">
        <is>
          <t>332640</t>
        </is>
      </c>
      <c r="H174" s="18" t="n">
        <v>41512</v>
      </c>
      <c r="I174" s="694" t="n">
        <v>86.19</v>
      </c>
      <c r="J174" s="9" t="n"/>
    </row>
    <row r="175" ht="18" customHeight="1" s="408">
      <c r="A175" s="33" t="n">
        <v>170</v>
      </c>
      <c r="B175" s="17" t="inlineStr">
        <is>
          <t>332688</t>
        </is>
      </c>
      <c r="C175" s="18" t="n">
        <v>41513</v>
      </c>
      <c r="D175" s="694" t="n">
        <v>33.75</v>
      </c>
      <c r="E175" s="11" t="inlineStr">
        <is>
          <t>S G L CAMBODIA</t>
        </is>
      </c>
      <c r="F175" s="10" t="inlineStr">
        <is>
          <t>100119816</t>
        </is>
      </c>
      <c r="G175" s="17" t="inlineStr">
        <is>
          <t>332688</t>
        </is>
      </c>
      <c r="H175" s="18" t="n">
        <v>41513</v>
      </c>
      <c r="I175" s="694" t="n">
        <v>33.75</v>
      </c>
      <c r="J175" s="9" t="n"/>
    </row>
    <row r="176" ht="18" customHeight="1" s="408">
      <c r="A176" s="33" t="n">
        <v>171</v>
      </c>
      <c r="B176" s="17" t="inlineStr">
        <is>
          <t>332748</t>
        </is>
      </c>
      <c r="C176" s="18" t="n">
        <v>41519</v>
      </c>
      <c r="D176" s="694" t="n">
        <v>24.84</v>
      </c>
      <c r="E176" s="11" t="inlineStr">
        <is>
          <t>S G L CAMBODIA</t>
        </is>
      </c>
      <c r="F176" s="10" t="inlineStr">
        <is>
          <t>100119816</t>
        </is>
      </c>
      <c r="G176" s="17" t="inlineStr">
        <is>
          <t>332748</t>
        </is>
      </c>
      <c r="H176" s="18" t="n">
        <v>41519</v>
      </c>
      <c r="I176" s="694" t="n">
        <v>24.84</v>
      </c>
      <c r="J176" s="9" t="n"/>
    </row>
    <row r="177" ht="18" customHeight="1" s="408">
      <c r="A177" s="33" t="n">
        <v>172</v>
      </c>
      <c r="B177" s="17" t="inlineStr">
        <is>
          <t>332794</t>
        </is>
      </c>
      <c r="C177" s="18" t="n">
        <v>41520</v>
      </c>
      <c r="D177" s="694" t="n">
        <v>26.6</v>
      </c>
      <c r="E177" s="11" t="inlineStr">
        <is>
          <t>S G L CAMBODIA</t>
        </is>
      </c>
      <c r="F177" s="10" t="inlineStr">
        <is>
          <t>100119816</t>
        </is>
      </c>
      <c r="G177" s="17" t="inlineStr">
        <is>
          <t>332794</t>
        </is>
      </c>
      <c r="H177" s="18" t="n">
        <v>41520</v>
      </c>
      <c r="I177" s="694" t="n">
        <v>26.6</v>
      </c>
      <c r="J177" s="9" t="n"/>
    </row>
    <row r="178" ht="18" customHeight="1" s="408">
      <c r="A178" s="33" t="n">
        <v>173</v>
      </c>
      <c r="B178" s="17" t="inlineStr">
        <is>
          <t>332803</t>
        </is>
      </c>
      <c r="C178" s="18" t="n">
        <v>41520</v>
      </c>
      <c r="D178" s="694" t="n">
        <v>51.81</v>
      </c>
      <c r="E178" s="11" t="inlineStr">
        <is>
          <t>S G L CAMBODIA</t>
        </is>
      </c>
      <c r="F178" s="10" t="inlineStr">
        <is>
          <t>100119816</t>
        </is>
      </c>
      <c r="G178" s="17" t="inlineStr">
        <is>
          <t>332803</t>
        </is>
      </c>
      <c r="H178" s="18" t="n">
        <v>41520</v>
      </c>
      <c r="I178" s="694" t="n">
        <v>51.81</v>
      </c>
      <c r="J178" s="9" t="n"/>
    </row>
    <row r="179" ht="18" customHeight="1" s="408">
      <c r="A179" s="33" t="n">
        <v>174</v>
      </c>
      <c r="B179" s="17" t="inlineStr">
        <is>
          <t>332805</t>
        </is>
      </c>
      <c r="C179" s="18" t="n">
        <v>41520</v>
      </c>
      <c r="D179" s="694" t="n">
        <v>36.48</v>
      </c>
      <c r="E179" s="11" t="inlineStr">
        <is>
          <t>S G L CAMBODIA</t>
        </is>
      </c>
      <c r="F179" s="10" t="inlineStr">
        <is>
          <t>100119816</t>
        </is>
      </c>
      <c r="G179" s="17" t="inlineStr">
        <is>
          <t>332805</t>
        </is>
      </c>
      <c r="H179" s="18" t="n">
        <v>41520</v>
      </c>
      <c r="I179" s="694" t="n">
        <v>36.48</v>
      </c>
      <c r="J179" s="9" t="n"/>
    </row>
    <row r="180" ht="18" customHeight="1" s="408">
      <c r="A180" s="33" t="n">
        <v>175</v>
      </c>
      <c r="B180" s="17" t="inlineStr">
        <is>
          <t>332880</t>
        </is>
      </c>
      <c r="C180" s="18" t="n">
        <v>41526</v>
      </c>
      <c r="D180" s="694" t="n">
        <v>5</v>
      </c>
      <c r="E180" s="11" t="inlineStr">
        <is>
          <t>S G L CAMBODIA</t>
        </is>
      </c>
      <c r="F180" s="10" t="inlineStr">
        <is>
          <t>100119816</t>
        </is>
      </c>
      <c r="G180" s="17" t="inlineStr">
        <is>
          <t>332880</t>
        </is>
      </c>
      <c r="H180" s="18" t="n">
        <v>41526</v>
      </c>
      <c r="I180" s="694" t="n">
        <v>5</v>
      </c>
      <c r="J180" s="9" t="n"/>
    </row>
    <row r="181" ht="18" customHeight="1" s="408">
      <c r="A181" s="33" t="n">
        <v>176</v>
      </c>
      <c r="B181" s="17" t="inlineStr">
        <is>
          <t>332907</t>
        </is>
      </c>
      <c r="C181" s="18" t="n">
        <v>41527</v>
      </c>
      <c r="D181" s="694" t="n">
        <v>44.95</v>
      </c>
      <c r="E181" s="11" t="inlineStr">
        <is>
          <t>S G L CAMBODIA</t>
        </is>
      </c>
      <c r="F181" s="10" t="inlineStr">
        <is>
          <t>100119816</t>
        </is>
      </c>
      <c r="G181" s="17" t="inlineStr">
        <is>
          <t>332907</t>
        </is>
      </c>
      <c r="H181" s="18" t="n">
        <v>41527</v>
      </c>
      <c r="I181" s="694" t="n">
        <v>44.95</v>
      </c>
      <c r="J181" s="9" t="n"/>
    </row>
    <row r="182" ht="18" customHeight="1" s="408">
      <c r="A182" s="33" t="n">
        <v>177</v>
      </c>
      <c r="B182" s="17" t="inlineStr">
        <is>
          <t>332919</t>
        </is>
      </c>
      <c r="C182" s="18" t="n">
        <v>41527</v>
      </c>
      <c r="D182" s="694" t="n">
        <v>33.31</v>
      </c>
      <c r="E182" s="11" t="inlineStr">
        <is>
          <t>S G L CAMBODIA</t>
        </is>
      </c>
      <c r="F182" s="10" t="inlineStr">
        <is>
          <t>100119816</t>
        </is>
      </c>
      <c r="G182" s="17" t="inlineStr">
        <is>
          <t>332919</t>
        </is>
      </c>
      <c r="H182" s="18" t="n">
        <v>41527</v>
      </c>
      <c r="I182" s="694" t="n">
        <v>33.31</v>
      </c>
      <c r="J182" s="9" t="n"/>
    </row>
    <row r="183" ht="18" customHeight="1" s="408">
      <c r="A183" s="33" t="n">
        <v>178</v>
      </c>
      <c r="B183" s="17" t="inlineStr">
        <is>
          <t>332967</t>
        </is>
      </c>
      <c r="C183" s="18" t="n">
        <v>41527</v>
      </c>
      <c r="D183" s="694" t="n">
        <v>22.51</v>
      </c>
      <c r="E183" s="11" t="inlineStr">
        <is>
          <t>S G L CAMBODIA</t>
        </is>
      </c>
      <c r="F183" s="10" t="inlineStr">
        <is>
          <t>100119816</t>
        </is>
      </c>
      <c r="G183" s="17" t="inlineStr">
        <is>
          <t>332967</t>
        </is>
      </c>
      <c r="H183" s="18" t="n">
        <v>41527</v>
      </c>
      <c r="I183" s="694" t="n">
        <v>22.51</v>
      </c>
      <c r="J183" s="9" t="n"/>
    </row>
    <row r="184" ht="18" customHeight="1" s="408">
      <c r="A184" s="33" t="n">
        <v>179</v>
      </c>
      <c r="B184" s="17" t="inlineStr">
        <is>
          <t>332988</t>
        </is>
      </c>
      <c r="C184" s="18" t="n">
        <v>41528</v>
      </c>
      <c r="D184" s="694" t="n">
        <v>28.01</v>
      </c>
      <c r="E184" s="11" t="inlineStr">
        <is>
          <t>S G L CAMBODIA</t>
        </is>
      </c>
      <c r="F184" s="10" t="inlineStr">
        <is>
          <t>100119816</t>
        </is>
      </c>
      <c r="G184" s="17" t="inlineStr">
        <is>
          <t>332988</t>
        </is>
      </c>
      <c r="H184" s="18" t="n">
        <v>41528</v>
      </c>
      <c r="I184" s="694" t="n">
        <v>28.01</v>
      </c>
      <c r="J184" s="9" t="n"/>
    </row>
    <row r="185" ht="18" customHeight="1" s="408">
      <c r="A185" s="33" t="n">
        <v>180</v>
      </c>
      <c r="B185" s="17" t="inlineStr">
        <is>
          <t>333011</t>
        </is>
      </c>
      <c r="C185" s="18" t="n">
        <v>41528</v>
      </c>
      <c r="D185" s="694" t="n">
        <v>86.56999999999999</v>
      </c>
      <c r="E185" s="11" t="inlineStr">
        <is>
          <t>S G L CAMBODIA</t>
        </is>
      </c>
      <c r="F185" s="10" t="inlineStr">
        <is>
          <t>100119816</t>
        </is>
      </c>
      <c r="G185" s="17" t="inlineStr">
        <is>
          <t>333011</t>
        </is>
      </c>
      <c r="H185" s="18" t="n">
        <v>41528</v>
      </c>
      <c r="I185" s="694" t="n">
        <v>86.56999999999999</v>
      </c>
      <c r="J185" s="9" t="n"/>
    </row>
    <row r="186" ht="18" customHeight="1" s="408">
      <c r="A186" s="33" t="n">
        <v>181</v>
      </c>
      <c r="B186" s="17" t="inlineStr">
        <is>
          <t>333013</t>
        </is>
      </c>
      <c r="C186" s="18" t="n">
        <v>41528</v>
      </c>
      <c r="D186" s="694" t="n">
        <v>36.7</v>
      </c>
      <c r="E186" s="11" t="inlineStr">
        <is>
          <t>S G L CAMBODIA</t>
        </is>
      </c>
      <c r="F186" s="10" t="inlineStr">
        <is>
          <t>100119816</t>
        </is>
      </c>
      <c r="G186" s="17" t="inlineStr">
        <is>
          <t>333013</t>
        </is>
      </c>
      <c r="H186" s="18" t="n">
        <v>41528</v>
      </c>
      <c r="I186" s="694" t="n">
        <v>36.7</v>
      </c>
      <c r="J186" s="9" t="n"/>
    </row>
    <row r="187" ht="18" customHeight="1" s="408">
      <c r="A187" s="33" t="n">
        <v>182</v>
      </c>
      <c r="B187" s="17" t="inlineStr">
        <is>
          <t>333040</t>
        </is>
      </c>
      <c r="C187" s="18" t="n">
        <v>41528</v>
      </c>
      <c r="D187" s="694" t="n">
        <v>59.52</v>
      </c>
      <c r="E187" s="11" t="inlineStr">
        <is>
          <t>S G L CAMBODIA</t>
        </is>
      </c>
      <c r="F187" s="10" t="inlineStr">
        <is>
          <t>100119816</t>
        </is>
      </c>
      <c r="G187" s="17" t="inlineStr">
        <is>
          <t>333040</t>
        </is>
      </c>
      <c r="H187" s="18" t="n">
        <v>41528</v>
      </c>
      <c r="I187" s="694" t="n">
        <v>59.52</v>
      </c>
      <c r="J187" s="9" t="n"/>
    </row>
    <row r="188" ht="18" customHeight="1" s="408">
      <c r="A188" s="33" t="n">
        <v>183</v>
      </c>
      <c r="B188" s="17" t="inlineStr">
        <is>
          <t>333059</t>
        </is>
      </c>
      <c r="C188" s="18" t="n">
        <v>41528</v>
      </c>
      <c r="D188" s="694" t="n">
        <v>195.16</v>
      </c>
      <c r="E188" s="11" t="inlineStr">
        <is>
          <t>S G L CAMBODIA</t>
        </is>
      </c>
      <c r="F188" s="10" t="inlineStr">
        <is>
          <t>100119816</t>
        </is>
      </c>
      <c r="G188" s="17" t="inlineStr">
        <is>
          <t>333059</t>
        </is>
      </c>
      <c r="H188" s="18" t="n">
        <v>41528</v>
      </c>
      <c r="I188" s="694" t="n">
        <v>195.16</v>
      </c>
      <c r="J188" s="9" t="n"/>
    </row>
    <row r="189" ht="18" customHeight="1" s="408">
      <c r="A189" s="33" t="n">
        <v>184</v>
      </c>
      <c r="B189" s="17" t="inlineStr">
        <is>
          <t>333103</t>
        </is>
      </c>
      <c r="C189" s="18" t="n">
        <v>41533</v>
      </c>
      <c r="D189" s="694" t="n">
        <v>28.82</v>
      </c>
      <c r="E189" s="11" t="inlineStr">
        <is>
          <t>S G L CAMBODIA</t>
        </is>
      </c>
      <c r="F189" s="10" t="inlineStr">
        <is>
          <t>100119816</t>
        </is>
      </c>
      <c r="G189" s="17" t="inlineStr">
        <is>
          <t>333103</t>
        </is>
      </c>
      <c r="H189" s="18" t="n">
        <v>41533</v>
      </c>
      <c r="I189" s="694" t="n">
        <v>28.82</v>
      </c>
      <c r="J189" s="9" t="n"/>
    </row>
    <row r="190" ht="18" customHeight="1" s="408">
      <c r="A190" s="33" t="n">
        <v>185</v>
      </c>
      <c r="B190" s="17" t="inlineStr">
        <is>
          <t>333134</t>
        </is>
      </c>
      <c r="C190" s="18" t="n">
        <v>41534</v>
      </c>
      <c r="D190" s="694" t="n">
        <v>22.3</v>
      </c>
      <c r="E190" s="11" t="inlineStr">
        <is>
          <t>S G L CAMBODIA</t>
        </is>
      </c>
      <c r="F190" s="10" t="inlineStr">
        <is>
          <t>100119816</t>
        </is>
      </c>
      <c r="G190" s="17" t="inlineStr">
        <is>
          <t>333134</t>
        </is>
      </c>
      <c r="H190" s="18" t="n">
        <v>41534</v>
      </c>
      <c r="I190" s="694" t="n">
        <v>22.3</v>
      </c>
      <c r="J190" s="9" t="n"/>
    </row>
    <row r="191" ht="18" customHeight="1" s="408">
      <c r="A191" s="33" t="n">
        <v>186</v>
      </c>
      <c r="B191" s="17" t="inlineStr">
        <is>
          <t>333167</t>
        </is>
      </c>
      <c r="C191" s="18" t="n">
        <v>41534</v>
      </c>
      <c r="D191" s="694" t="n">
        <v>39.63</v>
      </c>
      <c r="E191" s="11" t="inlineStr">
        <is>
          <t>S G L CAMBODIA</t>
        </is>
      </c>
      <c r="F191" s="10" t="inlineStr">
        <is>
          <t>100119816</t>
        </is>
      </c>
      <c r="G191" s="17" t="inlineStr">
        <is>
          <t>333167</t>
        </is>
      </c>
      <c r="H191" s="18" t="n">
        <v>41534</v>
      </c>
      <c r="I191" s="694" t="n">
        <v>39.63</v>
      </c>
      <c r="J191" s="9" t="n"/>
    </row>
    <row r="192" ht="18" customHeight="1" s="408">
      <c r="A192" s="33" t="n">
        <v>187</v>
      </c>
      <c r="B192" s="17" t="inlineStr">
        <is>
          <t>333184</t>
        </is>
      </c>
      <c r="C192" s="18" t="n">
        <v>41534</v>
      </c>
      <c r="D192" s="694" t="n">
        <v>37.34</v>
      </c>
      <c r="E192" s="11" t="inlineStr">
        <is>
          <t>S G L CAMBODIA</t>
        </is>
      </c>
      <c r="F192" s="10" t="inlineStr">
        <is>
          <t>100119816</t>
        </is>
      </c>
      <c r="G192" s="17" t="inlineStr">
        <is>
          <t>333184</t>
        </is>
      </c>
      <c r="H192" s="18" t="n">
        <v>41534</v>
      </c>
      <c r="I192" s="694" t="n">
        <v>37.34</v>
      </c>
      <c r="J192" s="9" t="n"/>
    </row>
    <row r="193" ht="18" customHeight="1" s="408">
      <c r="A193" s="33" t="n">
        <v>188</v>
      </c>
      <c r="B193" s="17" t="inlineStr">
        <is>
          <t>333196</t>
        </is>
      </c>
      <c r="C193" s="18" t="n">
        <v>41534</v>
      </c>
      <c r="D193" s="694" t="n">
        <v>22.1</v>
      </c>
      <c r="E193" s="11" t="inlineStr">
        <is>
          <t>S G L CAMBODIA</t>
        </is>
      </c>
      <c r="F193" s="10" t="inlineStr">
        <is>
          <t>100119816</t>
        </is>
      </c>
      <c r="G193" s="17" t="inlineStr">
        <is>
          <t>333196</t>
        </is>
      </c>
      <c r="H193" s="18" t="n">
        <v>41534</v>
      </c>
      <c r="I193" s="694" t="n">
        <v>22.1</v>
      </c>
      <c r="J193" s="9" t="n"/>
    </row>
    <row r="194" ht="18" customHeight="1" s="408">
      <c r="A194" s="33" t="n">
        <v>189</v>
      </c>
      <c r="B194" s="17" t="inlineStr">
        <is>
          <t>333287</t>
        </is>
      </c>
      <c r="C194" s="18" t="n">
        <v>41542</v>
      </c>
      <c r="D194" s="694" t="n">
        <v>37</v>
      </c>
      <c r="E194" s="11" t="inlineStr">
        <is>
          <t>S G L CAMBODIA</t>
        </is>
      </c>
      <c r="F194" s="10" t="inlineStr">
        <is>
          <t>100119816</t>
        </is>
      </c>
      <c r="G194" s="17" t="inlineStr">
        <is>
          <t>333287</t>
        </is>
      </c>
      <c r="H194" s="18" t="n">
        <v>41542</v>
      </c>
      <c r="I194" s="694" t="n">
        <v>37</v>
      </c>
      <c r="J194" s="9" t="n"/>
    </row>
    <row r="195" ht="18" customHeight="1" s="408">
      <c r="A195" s="33" t="n">
        <v>190</v>
      </c>
      <c r="B195" s="17" t="inlineStr">
        <is>
          <t>333299</t>
        </is>
      </c>
      <c r="C195" s="18" t="n">
        <v>41542</v>
      </c>
      <c r="D195" s="694" t="n">
        <v>22.3</v>
      </c>
      <c r="E195" s="11" t="inlineStr">
        <is>
          <t>S G L CAMBODIA</t>
        </is>
      </c>
      <c r="F195" s="10" t="inlineStr">
        <is>
          <t>100119816</t>
        </is>
      </c>
      <c r="G195" s="17" t="inlineStr">
        <is>
          <t>333299</t>
        </is>
      </c>
      <c r="H195" s="18" t="n">
        <v>41542</v>
      </c>
      <c r="I195" s="694" t="n">
        <v>22.3</v>
      </c>
      <c r="J195" s="9" t="n"/>
    </row>
    <row r="196" ht="18" customHeight="1" s="408">
      <c r="A196" s="33" t="n">
        <v>191</v>
      </c>
      <c r="B196" s="17" t="inlineStr">
        <is>
          <t>333317</t>
        </is>
      </c>
      <c r="C196" s="18" t="n">
        <v>41542</v>
      </c>
      <c r="D196" s="694" t="n">
        <v>66.61</v>
      </c>
      <c r="E196" s="11" t="inlineStr">
        <is>
          <t>S G L CAMBODIA</t>
        </is>
      </c>
      <c r="F196" s="10" t="inlineStr">
        <is>
          <t>100119816</t>
        </is>
      </c>
      <c r="G196" s="17" t="inlineStr">
        <is>
          <t>333317</t>
        </is>
      </c>
      <c r="H196" s="18" t="n">
        <v>41542</v>
      </c>
      <c r="I196" s="694" t="n">
        <v>66.61</v>
      </c>
      <c r="J196" s="9" t="n"/>
    </row>
    <row r="197" ht="18" customHeight="1" s="408">
      <c r="A197" s="33" t="n">
        <v>192</v>
      </c>
      <c r="B197" s="17" t="inlineStr">
        <is>
          <t>333408</t>
        </is>
      </c>
      <c r="C197" s="18" t="n">
        <v>41547</v>
      </c>
      <c r="D197" s="694" t="n">
        <v>22.3</v>
      </c>
      <c r="E197" s="11" t="inlineStr">
        <is>
          <t>S G L CAMBODIA</t>
        </is>
      </c>
      <c r="F197" s="10" t="inlineStr">
        <is>
          <t>100119816</t>
        </is>
      </c>
      <c r="G197" s="17" t="inlineStr">
        <is>
          <t>333408</t>
        </is>
      </c>
      <c r="H197" s="18" t="n">
        <v>41547</v>
      </c>
      <c r="I197" s="694" t="n">
        <v>22.3</v>
      </c>
      <c r="J197" s="9" t="n"/>
    </row>
    <row r="198" ht="18" customHeight="1" s="408">
      <c r="A198" s="33" t="n">
        <v>193</v>
      </c>
      <c r="B198" s="17" t="inlineStr">
        <is>
          <t>333448</t>
        </is>
      </c>
      <c r="C198" s="18" t="n">
        <v>41547</v>
      </c>
      <c r="D198" s="694" t="n">
        <v>34.02</v>
      </c>
      <c r="E198" s="11" t="inlineStr">
        <is>
          <t>S G L CAMBODIA</t>
        </is>
      </c>
      <c r="F198" s="10" t="inlineStr">
        <is>
          <t>100119816</t>
        </is>
      </c>
      <c r="G198" s="17" t="inlineStr">
        <is>
          <t>333448</t>
        </is>
      </c>
      <c r="H198" s="18" t="n">
        <v>41547</v>
      </c>
      <c r="I198" s="694" t="n">
        <v>34.02</v>
      </c>
      <c r="J198" s="9" t="n"/>
    </row>
    <row r="199" ht="18" customHeight="1" s="408">
      <c r="A199" s="33" t="n">
        <v>194</v>
      </c>
      <c r="B199" s="17" t="inlineStr">
        <is>
          <t>333469</t>
        </is>
      </c>
      <c r="C199" s="18" t="n">
        <v>41547</v>
      </c>
      <c r="D199" s="694" t="n">
        <v>23.38</v>
      </c>
      <c r="E199" s="11" t="inlineStr">
        <is>
          <t>S G L CAMBODIA</t>
        </is>
      </c>
      <c r="F199" s="10" t="inlineStr">
        <is>
          <t>100119816</t>
        </is>
      </c>
      <c r="G199" s="17" t="inlineStr">
        <is>
          <t>333469</t>
        </is>
      </c>
      <c r="H199" s="18" t="n">
        <v>41547</v>
      </c>
      <c r="I199" s="694" t="n">
        <v>23.38</v>
      </c>
      <c r="J199" s="9" t="n"/>
    </row>
    <row r="200" ht="18" customHeight="1" s="408">
      <c r="A200" s="33" t="n">
        <v>195</v>
      </c>
      <c r="B200" s="17" t="inlineStr">
        <is>
          <t>333478</t>
        </is>
      </c>
      <c r="C200" s="18" t="n">
        <v>41547</v>
      </c>
      <c r="D200" s="694" t="n">
        <v>23.87</v>
      </c>
      <c r="E200" s="11" t="inlineStr">
        <is>
          <t>S G L CAMBODIA</t>
        </is>
      </c>
      <c r="F200" s="10" t="inlineStr">
        <is>
          <t>100119816</t>
        </is>
      </c>
      <c r="G200" s="17" t="inlineStr">
        <is>
          <t>333478</t>
        </is>
      </c>
      <c r="H200" s="18" t="n">
        <v>41547</v>
      </c>
      <c r="I200" s="694" t="n">
        <v>23.87</v>
      </c>
      <c r="J200" s="9" t="n"/>
    </row>
    <row r="201" ht="18" customHeight="1" s="408">
      <c r="A201" s="33" t="n">
        <v>196</v>
      </c>
      <c r="B201" s="17" t="inlineStr">
        <is>
          <t>333537</t>
        </is>
      </c>
      <c r="C201" s="18" t="n">
        <v>41555</v>
      </c>
      <c r="D201" s="694" t="n">
        <v>26.6</v>
      </c>
      <c r="E201" s="11" t="inlineStr">
        <is>
          <t>S G L CAMBODIA</t>
        </is>
      </c>
      <c r="F201" s="10" t="inlineStr">
        <is>
          <t>100119816</t>
        </is>
      </c>
      <c r="G201" s="17" t="inlineStr">
        <is>
          <t>333537</t>
        </is>
      </c>
      <c r="H201" s="18" t="n">
        <v>41555</v>
      </c>
      <c r="I201" s="694" t="n">
        <v>26.6</v>
      </c>
      <c r="J201" s="9" t="n"/>
    </row>
    <row r="202" ht="18" customHeight="1" s="408">
      <c r="A202" s="33" t="n">
        <v>197</v>
      </c>
      <c r="B202" s="17" t="inlineStr">
        <is>
          <t>333554</t>
        </is>
      </c>
      <c r="C202" s="18" t="n">
        <v>41555</v>
      </c>
      <c r="D202" s="694" t="n">
        <v>22.1</v>
      </c>
      <c r="E202" s="11" t="inlineStr">
        <is>
          <t>S G L CAMBODIA</t>
        </is>
      </c>
      <c r="F202" s="10" t="inlineStr">
        <is>
          <t>100119816</t>
        </is>
      </c>
      <c r="G202" s="17" t="inlineStr">
        <is>
          <t>333554</t>
        </is>
      </c>
      <c r="H202" s="18" t="n">
        <v>41555</v>
      </c>
      <c r="I202" s="694" t="n">
        <v>22.1</v>
      </c>
      <c r="J202" s="9" t="n"/>
    </row>
    <row r="203" ht="18" customHeight="1" s="408">
      <c r="A203" s="33" t="n">
        <v>198</v>
      </c>
      <c r="B203" s="17" t="inlineStr">
        <is>
          <t>333581</t>
        </is>
      </c>
      <c r="C203" s="18" t="n">
        <v>41555</v>
      </c>
      <c r="D203" s="694" t="n">
        <v>23.74</v>
      </c>
      <c r="E203" s="11" t="inlineStr">
        <is>
          <t>S G L CAMBODIA</t>
        </is>
      </c>
      <c r="F203" s="10" t="inlineStr">
        <is>
          <t>100119816</t>
        </is>
      </c>
      <c r="G203" s="17" t="inlineStr">
        <is>
          <t>333581</t>
        </is>
      </c>
      <c r="H203" s="18" t="n">
        <v>41555</v>
      </c>
      <c r="I203" s="694" t="n">
        <v>23.74</v>
      </c>
      <c r="J203" s="9" t="n"/>
    </row>
    <row r="204" ht="18" customHeight="1" s="408">
      <c r="A204" s="33" t="n">
        <v>199</v>
      </c>
      <c r="B204" s="17" t="inlineStr">
        <is>
          <t>333605</t>
        </is>
      </c>
      <c r="C204" s="18" t="n">
        <v>41555</v>
      </c>
      <c r="D204" s="694" t="n">
        <v>27.52</v>
      </c>
      <c r="E204" s="11" t="inlineStr">
        <is>
          <t>S G L CAMBODIA</t>
        </is>
      </c>
      <c r="F204" s="10" t="inlineStr">
        <is>
          <t>100119816</t>
        </is>
      </c>
      <c r="G204" s="17" t="inlineStr">
        <is>
          <t>333605</t>
        </is>
      </c>
      <c r="H204" s="18" t="n">
        <v>41555</v>
      </c>
      <c r="I204" s="694" t="n">
        <v>27.52</v>
      </c>
      <c r="J204" s="9" t="n"/>
    </row>
    <row r="205" ht="18" customHeight="1" s="408">
      <c r="A205" s="33" t="n">
        <v>200</v>
      </c>
      <c r="B205" s="17" t="inlineStr">
        <is>
          <t>333646</t>
        </is>
      </c>
      <c r="C205" s="18" t="n">
        <v>41555</v>
      </c>
      <c r="D205" s="694" t="n">
        <v>43.05</v>
      </c>
      <c r="E205" s="11" t="inlineStr">
        <is>
          <t>S G L CAMBODIA</t>
        </is>
      </c>
      <c r="F205" s="10" t="inlineStr">
        <is>
          <t>100119816</t>
        </is>
      </c>
      <c r="G205" s="17" t="inlineStr">
        <is>
          <t>333646</t>
        </is>
      </c>
      <c r="H205" s="18" t="n">
        <v>41555</v>
      </c>
      <c r="I205" s="694" t="n">
        <v>43.05</v>
      </c>
      <c r="J205" s="9" t="n"/>
    </row>
    <row r="206" ht="18" customHeight="1" s="408">
      <c r="A206" s="33" t="n">
        <v>201</v>
      </c>
      <c r="B206" s="17" t="inlineStr">
        <is>
          <t>333653</t>
        </is>
      </c>
      <c r="C206" s="18" t="n">
        <v>41555</v>
      </c>
      <c r="D206" s="694" t="n">
        <v>57.65</v>
      </c>
      <c r="E206" s="11" t="inlineStr">
        <is>
          <t>S G L CAMBODIA</t>
        </is>
      </c>
      <c r="F206" s="10" t="inlineStr">
        <is>
          <t>100119816</t>
        </is>
      </c>
      <c r="G206" s="17" t="inlineStr">
        <is>
          <t>333653</t>
        </is>
      </c>
      <c r="H206" s="18" t="n">
        <v>41555</v>
      </c>
      <c r="I206" s="694" t="n">
        <v>57.65</v>
      </c>
      <c r="J206" s="9" t="n"/>
    </row>
    <row r="207" ht="18" customHeight="1" s="408">
      <c r="A207" s="33" t="n">
        <v>202</v>
      </c>
      <c r="B207" s="17" t="inlineStr">
        <is>
          <t>333664</t>
        </is>
      </c>
      <c r="C207" s="18" t="n">
        <v>41556</v>
      </c>
      <c r="D207" s="694" t="n">
        <v>35.94</v>
      </c>
      <c r="E207" s="11" t="inlineStr">
        <is>
          <t>S G L CAMBODIA</t>
        </is>
      </c>
      <c r="F207" s="10" t="inlineStr">
        <is>
          <t>100119816</t>
        </is>
      </c>
      <c r="G207" s="17" t="inlineStr">
        <is>
          <t>333664</t>
        </is>
      </c>
      <c r="H207" s="18" t="n">
        <v>41556</v>
      </c>
      <c r="I207" s="694" t="n">
        <v>35.94</v>
      </c>
      <c r="J207" s="9" t="n"/>
    </row>
    <row r="208" ht="18" customHeight="1" s="408">
      <c r="A208" s="33" t="n">
        <v>203</v>
      </c>
      <c r="B208" s="17" t="inlineStr">
        <is>
          <t>333724</t>
        </is>
      </c>
      <c r="C208" s="18" t="n">
        <v>41558</v>
      </c>
      <c r="D208" s="694" t="n">
        <v>69.25</v>
      </c>
      <c r="E208" s="11" t="inlineStr">
        <is>
          <t>S G L CAMBODIA</t>
        </is>
      </c>
      <c r="F208" s="10" t="inlineStr">
        <is>
          <t>100119816</t>
        </is>
      </c>
      <c r="G208" s="17" t="inlineStr">
        <is>
          <t>333724</t>
        </is>
      </c>
      <c r="H208" s="18" t="n">
        <v>41558</v>
      </c>
      <c r="I208" s="694" t="n">
        <v>69.25</v>
      </c>
      <c r="J208" s="9" t="n"/>
    </row>
    <row r="209" ht="18" customHeight="1" s="408">
      <c r="A209" s="33" t="n">
        <v>204</v>
      </c>
      <c r="B209" s="17" t="inlineStr">
        <is>
          <t>333761</t>
        </is>
      </c>
      <c r="C209" s="18" t="n">
        <v>41558</v>
      </c>
      <c r="D209" s="694" t="n">
        <v>26.81</v>
      </c>
      <c r="E209" s="11" t="inlineStr">
        <is>
          <t>S G L CAMBODIA</t>
        </is>
      </c>
      <c r="F209" s="10" t="inlineStr">
        <is>
          <t>100119816</t>
        </is>
      </c>
      <c r="G209" s="17" t="inlineStr">
        <is>
          <t>333761</t>
        </is>
      </c>
      <c r="H209" s="18" t="n">
        <v>41558</v>
      </c>
      <c r="I209" s="694" t="n">
        <v>26.81</v>
      </c>
      <c r="J209" s="9" t="n"/>
    </row>
    <row r="210" ht="18" customHeight="1" s="408">
      <c r="A210" s="33" t="n">
        <v>205</v>
      </c>
      <c r="B210" s="17" t="inlineStr">
        <is>
          <t>333765</t>
        </is>
      </c>
      <c r="C210" s="18" t="n">
        <v>41558</v>
      </c>
      <c r="D210" s="694" t="n">
        <v>55.79</v>
      </c>
      <c r="E210" s="11" t="inlineStr">
        <is>
          <t>S G L CAMBODIA</t>
        </is>
      </c>
      <c r="F210" s="10" t="inlineStr">
        <is>
          <t>100119816</t>
        </is>
      </c>
      <c r="G210" s="17" t="inlineStr">
        <is>
          <t>333765</t>
        </is>
      </c>
      <c r="H210" s="18" t="n">
        <v>41558</v>
      </c>
      <c r="I210" s="694" t="n">
        <v>55.79</v>
      </c>
      <c r="J210" s="9" t="n"/>
    </row>
    <row r="211" ht="18" customHeight="1" s="408">
      <c r="A211" s="33" t="n">
        <v>206</v>
      </c>
      <c r="B211" s="17" t="inlineStr">
        <is>
          <t>333785</t>
        </is>
      </c>
      <c r="C211" s="18" t="n">
        <v>41563</v>
      </c>
      <c r="D211" s="694" t="n">
        <v>30.39</v>
      </c>
      <c r="E211" s="11" t="inlineStr">
        <is>
          <t>S G L CAMBODIA</t>
        </is>
      </c>
      <c r="F211" s="10" t="inlineStr">
        <is>
          <t>100119816</t>
        </is>
      </c>
      <c r="G211" s="17" t="inlineStr">
        <is>
          <t>333785</t>
        </is>
      </c>
      <c r="H211" s="18" t="n">
        <v>41563</v>
      </c>
      <c r="I211" s="694" t="n">
        <v>30.39</v>
      </c>
      <c r="J211" s="9" t="n"/>
    </row>
    <row r="212" ht="18" customHeight="1" s="408">
      <c r="A212" s="33" t="n">
        <v>207</v>
      </c>
      <c r="B212" s="17" t="inlineStr">
        <is>
          <t>333864</t>
        </is>
      </c>
      <c r="C212" s="18" t="n">
        <v>41568</v>
      </c>
      <c r="D212" s="694" t="n">
        <v>25.7</v>
      </c>
      <c r="E212" s="11" t="inlineStr">
        <is>
          <t>S G L CAMBODIA</t>
        </is>
      </c>
      <c r="F212" s="10" t="inlineStr">
        <is>
          <t>100119816</t>
        </is>
      </c>
      <c r="G212" s="17" t="inlineStr">
        <is>
          <t>333864</t>
        </is>
      </c>
      <c r="H212" s="18" t="n">
        <v>41568</v>
      </c>
      <c r="I212" s="694" t="n">
        <v>25.7</v>
      </c>
      <c r="J212" s="9" t="n"/>
    </row>
    <row r="213" ht="18" customHeight="1" s="408">
      <c r="A213" s="33" t="n">
        <v>208</v>
      </c>
      <c r="B213" s="17" t="inlineStr">
        <is>
          <t>333876</t>
        </is>
      </c>
      <c r="C213" s="18" t="n">
        <v>41568</v>
      </c>
      <c r="D213" s="694" t="n">
        <v>25.14</v>
      </c>
      <c r="E213" s="11" t="inlineStr">
        <is>
          <t>S G L CAMBODIA</t>
        </is>
      </c>
      <c r="F213" s="10" t="inlineStr">
        <is>
          <t>100119816</t>
        </is>
      </c>
      <c r="G213" s="17" t="inlineStr">
        <is>
          <t>333876</t>
        </is>
      </c>
      <c r="H213" s="18" t="n">
        <v>41568</v>
      </c>
      <c r="I213" s="694" t="n">
        <v>25.14</v>
      </c>
      <c r="J213" s="9" t="n"/>
    </row>
    <row r="214" ht="18" customHeight="1" s="408">
      <c r="A214" s="33" t="n">
        <v>209</v>
      </c>
      <c r="B214" s="17" t="inlineStr">
        <is>
          <t>333840</t>
        </is>
      </c>
      <c r="C214" s="18" t="n">
        <v>41568</v>
      </c>
      <c r="D214" s="694" t="n">
        <v>39.39</v>
      </c>
      <c r="E214" s="11" t="inlineStr">
        <is>
          <t>S G L CAMBODIA</t>
        </is>
      </c>
      <c r="F214" s="10" t="inlineStr">
        <is>
          <t>100119816</t>
        </is>
      </c>
      <c r="G214" s="17" t="inlineStr">
        <is>
          <t>333840</t>
        </is>
      </c>
      <c r="H214" s="18" t="n">
        <v>41568</v>
      </c>
      <c r="I214" s="694" t="n">
        <v>39.39</v>
      </c>
      <c r="J214" s="9" t="n"/>
    </row>
    <row r="215" ht="18" customHeight="1" s="408">
      <c r="A215" s="33" t="n">
        <v>210</v>
      </c>
      <c r="B215" s="17" t="inlineStr">
        <is>
          <t>333913</t>
        </is>
      </c>
      <c r="C215" s="18" t="n">
        <v>41569</v>
      </c>
      <c r="D215" s="694" t="n">
        <v>30.9</v>
      </c>
      <c r="E215" s="11" t="inlineStr">
        <is>
          <t>S G L CAMBODIA</t>
        </is>
      </c>
      <c r="F215" s="10" t="inlineStr">
        <is>
          <t>100119816</t>
        </is>
      </c>
      <c r="G215" s="17" t="inlineStr">
        <is>
          <t>333913</t>
        </is>
      </c>
      <c r="H215" s="18" t="n">
        <v>41569</v>
      </c>
      <c r="I215" s="694" t="n">
        <v>30.9</v>
      </c>
      <c r="J215" s="9" t="n"/>
    </row>
    <row r="216" ht="18" customHeight="1" s="408">
      <c r="A216" s="33" t="n">
        <v>211</v>
      </c>
      <c r="B216" s="17" t="inlineStr">
        <is>
          <t>333966</t>
        </is>
      </c>
      <c r="C216" s="18" t="n">
        <v>41575</v>
      </c>
      <c r="D216" s="694" t="n">
        <v>26.81</v>
      </c>
      <c r="E216" s="11" t="inlineStr">
        <is>
          <t>S G L CAMBODIA</t>
        </is>
      </c>
      <c r="F216" s="10" t="inlineStr">
        <is>
          <t>100119816</t>
        </is>
      </c>
      <c r="G216" s="17" t="inlineStr">
        <is>
          <t>333966</t>
        </is>
      </c>
      <c r="H216" s="18" t="n">
        <v>41575</v>
      </c>
      <c r="I216" s="694" t="n">
        <v>26.81</v>
      </c>
      <c r="J216" s="9" t="n"/>
    </row>
    <row r="217" ht="18" customHeight="1" s="408">
      <c r="A217" s="33" t="n">
        <v>212</v>
      </c>
      <c r="B217" s="17" t="inlineStr">
        <is>
          <t>333977</t>
        </is>
      </c>
      <c r="C217" s="18" t="n">
        <v>41575</v>
      </c>
      <c r="D217" s="694" t="n">
        <v>26.76</v>
      </c>
      <c r="E217" s="11" t="inlineStr">
        <is>
          <t>S G L CAMBODIA</t>
        </is>
      </c>
      <c r="F217" s="10" t="inlineStr">
        <is>
          <t>100119816</t>
        </is>
      </c>
      <c r="G217" s="17" t="inlineStr">
        <is>
          <t>333977</t>
        </is>
      </c>
      <c r="H217" s="18" t="n">
        <v>41575</v>
      </c>
      <c r="I217" s="694" t="n">
        <v>26.76</v>
      </c>
      <c r="J217" s="9" t="n"/>
    </row>
    <row r="218" ht="18" customHeight="1" s="408">
      <c r="A218" s="33" t="n">
        <v>213</v>
      </c>
      <c r="B218" s="17" t="inlineStr">
        <is>
          <t>334000</t>
        </is>
      </c>
      <c r="C218" s="18" t="n">
        <v>41575</v>
      </c>
      <c r="D218" s="694" t="n">
        <v>36.05</v>
      </c>
      <c r="E218" s="11" t="inlineStr">
        <is>
          <t>S G L CAMBODIA</t>
        </is>
      </c>
      <c r="F218" s="10" t="inlineStr">
        <is>
          <t>100119816</t>
        </is>
      </c>
      <c r="G218" s="17" t="inlineStr">
        <is>
          <t>334000</t>
        </is>
      </c>
      <c r="H218" s="18" t="n">
        <v>41575</v>
      </c>
      <c r="I218" s="694" t="n">
        <v>36.05</v>
      </c>
      <c r="J218" s="9" t="n"/>
    </row>
    <row r="219" ht="18" customHeight="1" s="408">
      <c r="A219" s="33" t="n">
        <v>214</v>
      </c>
      <c r="B219" s="17" t="inlineStr">
        <is>
          <t>334011</t>
        </is>
      </c>
      <c r="C219" s="18" t="n">
        <v>41575</v>
      </c>
      <c r="D219" s="694" t="n">
        <v>31.7</v>
      </c>
      <c r="E219" s="11" t="inlineStr">
        <is>
          <t>S G L CAMBODIA</t>
        </is>
      </c>
      <c r="F219" s="10" t="inlineStr">
        <is>
          <t>100119816</t>
        </is>
      </c>
      <c r="G219" s="17" t="inlineStr">
        <is>
          <t>334011</t>
        </is>
      </c>
      <c r="H219" s="18" t="n">
        <v>41575</v>
      </c>
      <c r="I219" s="694" t="n">
        <v>31.7</v>
      </c>
      <c r="J219" s="9" t="n"/>
    </row>
    <row r="220" ht="18" customHeight="1" s="408">
      <c r="A220" s="33" t="n">
        <v>215</v>
      </c>
      <c r="B220" s="17" t="inlineStr">
        <is>
          <t>334024</t>
        </is>
      </c>
      <c r="C220" s="18" t="n">
        <v>41575</v>
      </c>
      <c r="D220" s="694" t="n">
        <v>52.45</v>
      </c>
      <c r="E220" s="11" t="inlineStr">
        <is>
          <t>S G L CAMBODIA</t>
        </is>
      </c>
      <c r="F220" s="10" t="inlineStr">
        <is>
          <t>100119816</t>
        </is>
      </c>
      <c r="G220" s="17" t="inlineStr">
        <is>
          <t>334024</t>
        </is>
      </c>
      <c r="H220" s="18" t="n">
        <v>41575</v>
      </c>
      <c r="I220" s="694" t="n">
        <v>52.45</v>
      </c>
      <c r="J220" s="9" t="n"/>
    </row>
    <row r="221" ht="18" customHeight="1" s="408">
      <c r="A221" s="33" t="n">
        <v>216</v>
      </c>
      <c r="B221" s="17" t="inlineStr">
        <is>
          <t>334122</t>
        </is>
      </c>
      <c r="C221" s="18" t="n">
        <v>41582</v>
      </c>
      <c r="D221" s="694" t="n">
        <v>22.1</v>
      </c>
      <c r="E221" s="11" t="inlineStr">
        <is>
          <t>S G L CAMBODIA</t>
        </is>
      </c>
      <c r="F221" s="10" t="inlineStr">
        <is>
          <t>100119816</t>
        </is>
      </c>
      <c r="G221" s="17" t="inlineStr">
        <is>
          <t>334122</t>
        </is>
      </c>
      <c r="H221" s="18" t="n">
        <v>41582</v>
      </c>
      <c r="I221" s="694" t="n">
        <v>22.1</v>
      </c>
      <c r="J221" s="9" t="n"/>
    </row>
    <row r="222" ht="18" customHeight="1" s="408">
      <c r="A222" s="33" t="n">
        <v>217</v>
      </c>
      <c r="B222" s="17" t="inlineStr">
        <is>
          <t>334156</t>
        </is>
      </c>
      <c r="C222" s="18" t="n">
        <v>41583</v>
      </c>
      <c r="D222" s="694" t="n">
        <v>29.5</v>
      </c>
      <c r="E222" s="11" t="inlineStr">
        <is>
          <t>S G L CAMBODIA</t>
        </is>
      </c>
      <c r="F222" s="10" t="inlineStr">
        <is>
          <t>100119816</t>
        </is>
      </c>
      <c r="G222" s="17" t="inlineStr">
        <is>
          <t>334156</t>
        </is>
      </c>
      <c r="H222" s="18" t="n">
        <v>41583</v>
      </c>
      <c r="I222" s="694" t="n">
        <v>29.5</v>
      </c>
      <c r="J222" s="9" t="n"/>
    </row>
    <row r="223" ht="18" customHeight="1" s="408">
      <c r="A223" s="33" t="n">
        <v>218</v>
      </c>
      <c r="B223" s="17" t="inlineStr">
        <is>
          <t>334172</t>
        </is>
      </c>
      <c r="C223" s="18" t="n">
        <v>41583</v>
      </c>
      <c r="D223" s="694" t="n">
        <v>5</v>
      </c>
      <c r="E223" s="11" t="inlineStr">
        <is>
          <t>S G L CAMBODIA</t>
        </is>
      </c>
      <c r="F223" s="10" t="inlineStr">
        <is>
          <t>100119816</t>
        </is>
      </c>
      <c r="G223" s="17" t="inlineStr">
        <is>
          <t>334172</t>
        </is>
      </c>
      <c r="H223" s="18" t="n">
        <v>41583</v>
      </c>
      <c r="I223" s="694" t="n">
        <v>5</v>
      </c>
      <c r="J223" s="9" t="n"/>
    </row>
    <row r="224" ht="18" customHeight="1" s="408">
      <c r="A224" s="33" t="n">
        <v>219</v>
      </c>
      <c r="B224" s="17" t="inlineStr">
        <is>
          <t>334188</t>
        </is>
      </c>
      <c r="C224" s="18" t="n">
        <v>41583</v>
      </c>
      <c r="D224" s="694" t="n">
        <v>117.01</v>
      </c>
      <c r="E224" s="11" t="inlineStr">
        <is>
          <t>S G L CAMBODIA</t>
        </is>
      </c>
      <c r="F224" s="10" t="inlineStr">
        <is>
          <t>100119816</t>
        </is>
      </c>
      <c r="G224" s="17" t="inlineStr">
        <is>
          <t>334188</t>
        </is>
      </c>
      <c r="H224" s="18" t="n">
        <v>41583</v>
      </c>
      <c r="I224" s="694" t="n">
        <v>117.01</v>
      </c>
      <c r="J224" s="9" t="n"/>
    </row>
    <row r="225" ht="18" customHeight="1" s="408">
      <c r="A225" s="33" t="n">
        <v>220</v>
      </c>
      <c r="B225" s="17" t="inlineStr">
        <is>
          <t>334259</t>
        </is>
      </c>
      <c r="C225" s="18" t="n">
        <v>41589</v>
      </c>
      <c r="D225" s="694" t="n">
        <v>28.02</v>
      </c>
      <c r="E225" s="11" t="inlineStr">
        <is>
          <t>S G L CAMBODIA</t>
        </is>
      </c>
      <c r="F225" s="10" t="inlineStr">
        <is>
          <t>100119816</t>
        </is>
      </c>
      <c r="G225" s="17" t="inlineStr">
        <is>
          <t>334259</t>
        </is>
      </c>
      <c r="H225" s="18" t="n">
        <v>41589</v>
      </c>
      <c r="I225" s="694" t="n">
        <v>28.02</v>
      </c>
      <c r="J225" s="9" t="n"/>
    </row>
    <row r="226" ht="18" customHeight="1" s="408">
      <c r="A226" s="33" t="n">
        <v>221</v>
      </c>
      <c r="B226" s="17" t="inlineStr">
        <is>
          <t>334307</t>
        </is>
      </c>
      <c r="C226" s="18" t="n">
        <v>41589</v>
      </c>
      <c r="D226" s="694" t="n">
        <v>24.8</v>
      </c>
      <c r="E226" s="11" t="inlineStr">
        <is>
          <t>S G L CAMBODIA</t>
        </is>
      </c>
      <c r="F226" s="10" t="inlineStr">
        <is>
          <t>100119816</t>
        </is>
      </c>
      <c r="G226" s="17" t="inlineStr">
        <is>
          <t>334307</t>
        </is>
      </c>
      <c r="H226" s="18" t="n">
        <v>41589</v>
      </c>
      <c r="I226" s="694" t="n">
        <v>24.8</v>
      </c>
      <c r="J226" s="9" t="n"/>
    </row>
    <row r="227" ht="18" customHeight="1" s="408">
      <c r="A227" s="33" t="n">
        <v>222</v>
      </c>
      <c r="B227" s="17" t="inlineStr">
        <is>
          <t>334407</t>
        </is>
      </c>
      <c r="C227" s="18" t="n">
        <v>41593</v>
      </c>
      <c r="D227" s="694" t="n">
        <v>27.56</v>
      </c>
      <c r="E227" s="11" t="inlineStr">
        <is>
          <t>S G L CAMBODIA</t>
        </is>
      </c>
      <c r="F227" s="10" t="inlineStr">
        <is>
          <t>100119816</t>
        </is>
      </c>
      <c r="G227" s="17" t="inlineStr">
        <is>
          <t>334407</t>
        </is>
      </c>
      <c r="H227" s="18" t="n">
        <v>41593</v>
      </c>
      <c r="I227" s="694" t="n">
        <v>27.56</v>
      </c>
      <c r="J227" s="9" t="n"/>
    </row>
    <row r="228" ht="18" customHeight="1" s="408">
      <c r="A228" s="33" t="n">
        <v>223</v>
      </c>
      <c r="B228" s="17" t="inlineStr">
        <is>
          <t>334626</t>
        </is>
      </c>
      <c r="C228" s="18" t="n">
        <v>41610</v>
      </c>
      <c r="D228" s="694" t="n">
        <v>30.96</v>
      </c>
      <c r="E228" s="11" t="inlineStr">
        <is>
          <t>S G L CAMBODIA</t>
        </is>
      </c>
      <c r="F228" s="10" t="inlineStr">
        <is>
          <t>100119816</t>
        </is>
      </c>
      <c r="G228" s="17" t="inlineStr">
        <is>
          <t>334626</t>
        </is>
      </c>
      <c r="H228" s="18" t="n">
        <v>41610</v>
      </c>
      <c r="I228" s="694" t="n">
        <v>30.96</v>
      </c>
      <c r="J228" s="9" t="n"/>
    </row>
    <row r="229" ht="18" customHeight="1" s="408">
      <c r="A229" s="33" t="n">
        <v>224</v>
      </c>
      <c r="B229" s="17" t="inlineStr">
        <is>
          <t>334645</t>
        </is>
      </c>
      <c r="C229" s="18" t="n">
        <v>41611</v>
      </c>
      <c r="D229" s="694" t="n">
        <v>59.29</v>
      </c>
      <c r="E229" s="11" t="inlineStr">
        <is>
          <t>S G L CAMBODIA</t>
        </is>
      </c>
      <c r="F229" s="10" t="inlineStr">
        <is>
          <t>100119816</t>
        </is>
      </c>
      <c r="G229" s="17" t="inlineStr">
        <is>
          <t>334645</t>
        </is>
      </c>
      <c r="H229" s="18" t="n">
        <v>41611</v>
      </c>
      <c r="I229" s="694" t="n">
        <v>59.29</v>
      </c>
      <c r="J229" s="9" t="n"/>
    </row>
    <row r="230" ht="18" customHeight="1" s="408">
      <c r="A230" s="33" t="n">
        <v>225</v>
      </c>
      <c r="B230" s="17" t="inlineStr">
        <is>
          <t>334754</t>
        </is>
      </c>
      <c r="C230" s="18" t="n">
        <v>41618</v>
      </c>
      <c r="D230" s="694" t="n">
        <v>22.52</v>
      </c>
      <c r="E230" s="11" t="inlineStr">
        <is>
          <t>S G L CAMBODIA</t>
        </is>
      </c>
      <c r="F230" s="10" t="inlineStr">
        <is>
          <t>100119816</t>
        </is>
      </c>
      <c r="G230" s="17" t="inlineStr">
        <is>
          <t>334754</t>
        </is>
      </c>
      <c r="H230" s="18" t="n">
        <v>41618</v>
      </c>
      <c r="I230" s="694" t="n">
        <v>22.52</v>
      </c>
      <c r="J230" s="9" t="n"/>
    </row>
    <row r="231" ht="18" customHeight="1" s="408">
      <c r="A231" s="33" t="n">
        <v>226</v>
      </c>
      <c r="B231" s="17" t="inlineStr">
        <is>
          <t>334781</t>
        </is>
      </c>
      <c r="C231" s="18" t="n">
        <v>41619</v>
      </c>
      <c r="D231" s="694" t="n">
        <v>149.28</v>
      </c>
      <c r="E231" s="11" t="inlineStr">
        <is>
          <t>S G L CAMBODIA</t>
        </is>
      </c>
      <c r="F231" s="10" t="inlineStr">
        <is>
          <t>100119816</t>
        </is>
      </c>
      <c r="G231" s="17" t="inlineStr">
        <is>
          <t>334781</t>
        </is>
      </c>
      <c r="H231" s="18" t="n">
        <v>41619</v>
      </c>
      <c r="I231" s="694" t="n">
        <v>149.28</v>
      </c>
      <c r="J231" s="9" t="n"/>
    </row>
    <row r="232" ht="18" customHeight="1" s="408">
      <c r="A232" s="33" t="n">
        <v>227</v>
      </c>
      <c r="B232" s="17" t="inlineStr">
        <is>
          <t>334788</t>
        </is>
      </c>
      <c r="C232" s="18" t="n">
        <v>41619</v>
      </c>
      <c r="D232" s="694" t="n">
        <v>75.19</v>
      </c>
      <c r="E232" s="11" t="inlineStr">
        <is>
          <t>S G L CAMBODIA</t>
        </is>
      </c>
      <c r="F232" s="10" t="inlineStr">
        <is>
          <t>100119816</t>
        </is>
      </c>
      <c r="G232" s="17" t="inlineStr">
        <is>
          <t>334788</t>
        </is>
      </c>
      <c r="H232" s="18" t="n">
        <v>41619</v>
      </c>
      <c r="I232" s="694" t="n">
        <v>75.19</v>
      </c>
      <c r="J232" s="9" t="n"/>
    </row>
    <row r="233" ht="18" customHeight="1" s="408">
      <c r="A233" s="33" t="n">
        <v>228</v>
      </c>
      <c r="B233" s="17" t="inlineStr">
        <is>
          <t>334825</t>
        </is>
      </c>
      <c r="C233" s="18" t="n">
        <v>41619</v>
      </c>
      <c r="D233" s="694" t="n">
        <v>23.89</v>
      </c>
      <c r="E233" s="11" t="inlineStr">
        <is>
          <t>S G L CAMBODIA</t>
        </is>
      </c>
      <c r="F233" s="10" t="inlineStr">
        <is>
          <t>100119816</t>
        </is>
      </c>
      <c r="G233" s="17" t="inlineStr">
        <is>
          <t>334825</t>
        </is>
      </c>
      <c r="H233" s="18" t="n">
        <v>41619</v>
      </c>
      <c r="I233" s="694" t="n">
        <v>23.89</v>
      </c>
      <c r="J233" s="9" t="n"/>
    </row>
    <row r="234" ht="18" customHeight="1" s="408">
      <c r="A234" s="33" t="n">
        <v>229</v>
      </c>
      <c r="B234" s="17" t="inlineStr">
        <is>
          <t>334848</t>
        </is>
      </c>
      <c r="C234" s="18" t="n">
        <v>41619</v>
      </c>
      <c r="D234" s="694" t="n">
        <v>60.08</v>
      </c>
      <c r="E234" s="11" t="inlineStr">
        <is>
          <t>S G L CAMBODIA</t>
        </is>
      </c>
      <c r="F234" s="10" t="inlineStr">
        <is>
          <t>100119816</t>
        </is>
      </c>
      <c r="G234" s="17" t="inlineStr">
        <is>
          <t>334848</t>
        </is>
      </c>
      <c r="H234" s="18" t="n">
        <v>41619</v>
      </c>
      <c r="I234" s="694" t="n">
        <v>60.08</v>
      </c>
      <c r="J234" s="9" t="n"/>
    </row>
    <row r="235" ht="18" customHeight="1" s="408">
      <c r="A235" s="33" t="n">
        <v>230</v>
      </c>
      <c r="B235" s="17" t="inlineStr">
        <is>
          <t>334863</t>
        </is>
      </c>
      <c r="C235" s="18" t="n">
        <v>41619</v>
      </c>
      <c r="D235" s="694" t="n">
        <v>31.16</v>
      </c>
      <c r="E235" s="11" t="inlineStr">
        <is>
          <t>S G L CAMBODIA</t>
        </is>
      </c>
      <c r="F235" s="10" t="inlineStr">
        <is>
          <t>100119816</t>
        </is>
      </c>
      <c r="G235" s="17" t="inlineStr">
        <is>
          <t>334863</t>
        </is>
      </c>
      <c r="H235" s="18" t="n">
        <v>41619</v>
      </c>
      <c r="I235" s="694" t="n">
        <v>31.16</v>
      </c>
      <c r="J235" s="9" t="n"/>
    </row>
    <row r="236" ht="18" customHeight="1" s="408">
      <c r="A236" s="33" t="n">
        <v>231</v>
      </c>
      <c r="B236" s="17" t="inlineStr">
        <is>
          <t>334964</t>
        </is>
      </c>
      <c r="C236" s="18" t="n">
        <v>41624</v>
      </c>
      <c r="D236" s="694" t="n">
        <v>45.38</v>
      </c>
      <c r="E236" s="11" t="inlineStr">
        <is>
          <t>S G L CAMBODIA</t>
        </is>
      </c>
      <c r="F236" s="10" t="inlineStr">
        <is>
          <t>100119816</t>
        </is>
      </c>
      <c r="G236" s="17" t="inlineStr">
        <is>
          <t>334964</t>
        </is>
      </c>
      <c r="H236" s="18" t="n">
        <v>41624</v>
      </c>
      <c r="I236" s="694" t="n">
        <v>45.38</v>
      </c>
      <c r="J236" s="9" t="n"/>
    </row>
    <row r="237" ht="18" customHeight="1" s="408">
      <c r="A237" s="33" t="n">
        <v>232</v>
      </c>
      <c r="B237" s="17" t="inlineStr">
        <is>
          <t>335005</t>
        </is>
      </c>
      <c r="C237" s="18" t="n">
        <v>41625</v>
      </c>
      <c r="D237" s="694" t="n">
        <v>22.3</v>
      </c>
      <c r="E237" s="11" t="inlineStr">
        <is>
          <t>S G L CAMBODIA</t>
        </is>
      </c>
      <c r="F237" s="10" t="inlineStr">
        <is>
          <t>100119816</t>
        </is>
      </c>
      <c r="G237" s="17" t="inlineStr">
        <is>
          <t>335005</t>
        </is>
      </c>
      <c r="H237" s="18" t="n">
        <v>41625</v>
      </c>
      <c r="I237" s="694" t="n">
        <v>22.3</v>
      </c>
      <c r="J237" s="9" t="n"/>
    </row>
    <row r="238" ht="18" customHeight="1" s="408">
      <c r="A238" s="33" t="n">
        <v>233</v>
      </c>
      <c r="B238" s="17" t="inlineStr">
        <is>
          <t>335038</t>
        </is>
      </c>
      <c r="C238" s="18" t="n">
        <v>41625</v>
      </c>
      <c r="D238" s="694" t="n">
        <v>22.3</v>
      </c>
      <c r="E238" s="11" t="inlineStr">
        <is>
          <t>S G L CAMBODIA</t>
        </is>
      </c>
      <c r="F238" s="10" t="inlineStr">
        <is>
          <t>100119816</t>
        </is>
      </c>
      <c r="G238" s="17" t="inlineStr">
        <is>
          <t>335038</t>
        </is>
      </c>
      <c r="H238" s="18" t="n">
        <v>41625</v>
      </c>
      <c r="I238" s="694" t="n">
        <v>22.3</v>
      </c>
      <c r="J238" s="9" t="n"/>
    </row>
    <row r="239" ht="18" customHeight="1" s="408">
      <c r="A239" s="33" t="n">
        <v>234</v>
      </c>
      <c r="B239" s="17" t="inlineStr">
        <is>
          <t>335047</t>
        </is>
      </c>
      <c r="C239" s="18" t="n">
        <v>41625</v>
      </c>
      <c r="D239" s="694" t="n">
        <v>26.79</v>
      </c>
      <c r="E239" s="11" t="inlineStr">
        <is>
          <t>S G L CAMBODIA</t>
        </is>
      </c>
      <c r="F239" s="10" t="inlineStr">
        <is>
          <t>100119816</t>
        </is>
      </c>
      <c r="G239" s="17" t="inlineStr">
        <is>
          <t>335047</t>
        </is>
      </c>
      <c r="H239" s="18" t="n">
        <v>41625</v>
      </c>
      <c r="I239" s="694" t="n">
        <v>26.79</v>
      </c>
      <c r="J239" s="9" t="n"/>
    </row>
    <row r="240" ht="18" customHeight="1" s="408">
      <c r="A240" s="33" t="n">
        <v>235</v>
      </c>
      <c r="B240" s="17" t="inlineStr">
        <is>
          <t>335140</t>
        </is>
      </c>
      <c r="C240" s="18" t="n">
        <v>41631</v>
      </c>
      <c r="D240" s="694" t="n">
        <v>39.28</v>
      </c>
      <c r="E240" s="11" t="inlineStr">
        <is>
          <t>S G L CAMBODIA</t>
        </is>
      </c>
      <c r="F240" s="10" t="inlineStr">
        <is>
          <t>100119816</t>
        </is>
      </c>
      <c r="G240" s="17" t="inlineStr">
        <is>
          <t>335140</t>
        </is>
      </c>
      <c r="H240" s="18" t="n">
        <v>41631</v>
      </c>
      <c r="I240" s="694" t="n">
        <v>39.28</v>
      </c>
      <c r="J240" s="9" t="n"/>
    </row>
    <row r="241" ht="18" customHeight="1" s="408">
      <c r="A241" s="33" t="n">
        <v>236</v>
      </c>
      <c r="B241" s="17" t="inlineStr">
        <is>
          <t>335150</t>
        </is>
      </c>
      <c r="C241" s="18" t="n">
        <v>41631</v>
      </c>
      <c r="D241" s="694" t="n">
        <v>25.73</v>
      </c>
      <c r="E241" s="11" t="inlineStr">
        <is>
          <t>S G L CAMBODIA</t>
        </is>
      </c>
      <c r="F241" s="10" t="inlineStr">
        <is>
          <t>100119816</t>
        </is>
      </c>
      <c r="G241" s="17" t="inlineStr">
        <is>
          <t>335150</t>
        </is>
      </c>
      <c r="H241" s="18" t="n">
        <v>41631</v>
      </c>
      <c r="I241" s="694" t="n">
        <v>25.73</v>
      </c>
      <c r="J241" s="9" t="n"/>
    </row>
    <row r="242" ht="18" customHeight="1" s="408">
      <c r="A242" s="33" t="n">
        <v>237</v>
      </c>
      <c r="B242" s="17" t="inlineStr">
        <is>
          <t>335240</t>
        </is>
      </c>
      <c r="C242" s="18" t="n">
        <v>41638</v>
      </c>
      <c r="D242" s="694" t="n">
        <v>28.56</v>
      </c>
      <c r="E242" s="11" t="inlineStr">
        <is>
          <t>S G L CAMBODIA</t>
        </is>
      </c>
      <c r="F242" s="10" t="inlineStr">
        <is>
          <t>100119816</t>
        </is>
      </c>
      <c r="G242" s="17" t="inlineStr">
        <is>
          <t>335240</t>
        </is>
      </c>
      <c r="H242" s="18" t="n">
        <v>41638</v>
      </c>
      <c r="I242" s="694" t="n">
        <v>28.56</v>
      </c>
      <c r="J242" s="9" t="n"/>
    </row>
    <row r="243" ht="18" customHeight="1" s="408">
      <c r="A243" s="33" t="n">
        <v>238</v>
      </c>
      <c r="B243" s="17" t="inlineStr">
        <is>
          <t>335240</t>
        </is>
      </c>
      <c r="C243" s="18" t="n">
        <v>41638</v>
      </c>
      <c r="D243" s="694" t="n">
        <v>28.56</v>
      </c>
      <c r="E243" s="11" t="inlineStr">
        <is>
          <t>S G L CAMBODIA</t>
        </is>
      </c>
      <c r="F243" s="10" t="inlineStr">
        <is>
          <t>100119816</t>
        </is>
      </c>
      <c r="G243" s="17" t="inlineStr">
        <is>
          <t>335240</t>
        </is>
      </c>
      <c r="H243" s="18" t="n">
        <v>41638</v>
      </c>
      <c r="I243" s="694" t="n">
        <v>28.56</v>
      </c>
      <c r="J243" s="9" t="n"/>
    </row>
    <row r="244" ht="18" customHeight="1" s="408">
      <c r="A244" s="33" t="n">
        <v>239</v>
      </c>
      <c r="B244" s="17" t="inlineStr">
        <is>
          <t>335266</t>
        </is>
      </c>
      <c r="C244" s="18" t="n">
        <v>41639</v>
      </c>
      <c r="D244" s="694" t="n">
        <v>22.3</v>
      </c>
      <c r="E244" s="11" t="inlineStr">
        <is>
          <t>S G L CAMBODIA</t>
        </is>
      </c>
      <c r="F244" s="10" t="inlineStr">
        <is>
          <t>100119816</t>
        </is>
      </c>
      <c r="G244" s="17" t="inlineStr">
        <is>
          <t>335266</t>
        </is>
      </c>
      <c r="H244" s="18" t="n">
        <v>41639</v>
      </c>
      <c r="I244" s="694" t="n">
        <v>22.3</v>
      </c>
      <c r="J244" s="9" t="n"/>
    </row>
    <row r="245" ht="18" customHeight="1" s="408">
      <c r="A245" s="33" t="n">
        <v>240</v>
      </c>
      <c r="B245" s="17" t="inlineStr">
        <is>
          <t>335277</t>
        </is>
      </c>
      <c r="C245" s="18" t="n">
        <v>41639</v>
      </c>
      <c r="D245" s="694" t="n">
        <v>50.47</v>
      </c>
      <c r="E245" s="11" t="inlineStr">
        <is>
          <t>S G L CAMBODIA</t>
        </is>
      </c>
      <c r="F245" s="10" t="inlineStr">
        <is>
          <t>100119816</t>
        </is>
      </c>
      <c r="G245" s="17" t="inlineStr">
        <is>
          <t>335277</t>
        </is>
      </c>
      <c r="H245" s="18" t="n">
        <v>41639</v>
      </c>
      <c r="I245" s="694" t="n">
        <v>50.47</v>
      </c>
      <c r="J245" s="9" t="n"/>
    </row>
    <row r="246" ht="18" customHeight="1" s="408">
      <c r="A246" s="33" t="n">
        <v>241</v>
      </c>
      <c r="B246" s="17" t="inlineStr">
        <is>
          <t>335286</t>
        </is>
      </c>
      <c r="C246" s="18" t="n">
        <v>41639</v>
      </c>
      <c r="D246" s="694" t="n">
        <v>5</v>
      </c>
      <c r="E246" s="11" t="inlineStr">
        <is>
          <t>S G L CAMBODIA</t>
        </is>
      </c>
      <c r="F246" s="10" t="inlineStr">
        <is>
          <t>100119816</t>
        </is>
      </c>
      <c r="G246" s="17" t="inlineStr">
        <is>
          <t>335286</t>
        </is>
      </c>
      <c r="H246" s="18" t="n">
        <v>41639</v>
      </c>
      <c r="I246" s="694" t="n">
        <v>5</v>
      </c>
      <c r="J246" s="9" t="n"/>
    </row>
    <row r="247" ht="18" customHeight="1" s="408">
      <c r="A247" s="33" t="n">
        <v>242</v>
      </c>
      <c r="B247" s="17" t="inlineStr">
        <is>
          <t>335266</t>
        </is>
      </c>
      <c r="C247" s="18" t="n">
        <v>41639</v>
      </c>
      <c r="D247" s="694" t="n">
        <v>22.3</v>
      </c>
      <c r="E247" s="11" t="inlineStr">
        <is>
          <t>S G L CAMBODIA</t>
        </is>
      </c>
      <c r="F247" s="10" t="inlineStr">
        <is>
          <t>100119816</t>
        </is>
      </c>
      <c r="G247" s="17" t="inlineStr">
        <is>
          <t>335266</t>
        </is>
      </c>
      <c r="H247" s="18" t="n">
        <v>41639</v>
      </c>
      <c r="I247" s="694" t="n">
        <v>22.3</v>
      </c>
      <c r="J247" s="9" t="n"/>
    </row>
    <row r="248" ht="18" customHeight="1" s="408">
      <c r="A248" s="33" t="n">
        <v>243</v>
      </c>
      <c r="B248" s="17" t="inlineStr">
        <is>
          <t>335277</t>
        </is>
      </c>
      <c r="C248" s="18" t="n">
        <v>41639</v>
      </c>
      <c r="D248" s="694" t="n">
        <v>50.47</v>
      </c>
      <c r="E248" s="11" t="inlineStr">
        <is>
          <t>S G L CAMBODIA</t>
        </is>
      </c>
      <c r="F248" s="10" t="inlineStr">
        <is>
          <t>100119816</t>
        </is>
      </c>
      <c r="G248" s="17" t="inlineStr">
        <is>
          <t>335277</t>
        </is>
      </c>
      <c r="H248" s="18" t="n">
        <v>41639</v>
      </c>
      <c r="I248" s="694" t="n">
        <v>50.47</v>
      </c>
      <c r="J248" s="9" t="n"/>
    </row>
    <row r="249" ht="18" customHeight="1" s="408">
      <c r="A249" s="33" t="n">
        <v>244</v>
      </c>
      <c r="B249" s="17" t="inlineStr">
        <is>
          <t>335286</t>
        </is>
      </c>
      <c r="C249" s="18" t="n">
        <v>41639</v>
      </c>
      <c r="D249" s="694" t="n">
        <v>5</v>
      </c>
      <c r="E249" s="11" t="inlineStr">
        <is>
          <t>S G L CAMBODIA</t>
        </is>
      </c>
      <c r="F249" s="10" t="inlineStr">
        <is>
          <t>100119816</t>
        </is>
      </c>
      <c r="G249" s="17" t="inlineStr">
        <is>
          <t>335286</t>
        </is>
      </c>
      <c r="H249" s="18" t="n">
        <v>41639</v>
      </c>
      <c r="I249" s="694" t="n">
        <v>5</v>
      </c>
      <c r="J249" s="9" t="n"/>
    </row>
    <row r="250" ht="18" customHeight="1" s="408">
      <c r="A250" s="33" t="n">
        <v>245</v>
      </c>
      <c r="B250" s="20" t="inlineStr">
        <is>
          <t>435384</t>
        </is>
      </c>
      <c r="C250" s="670" t="n">
        <v>41646</v>
      </c>
      <c r="D250" s="693" t="n">
        <v>36.07</v>
      </c>
      <c r="E250" s="11" t="inlineStr">
        <is>
          <t>S G L CAMBODIA</t>
        </is>
      </c>
      <c r="F250" s="10" t="inlineStr">
        <is>
          <t>100119816</t>
        </is>
      </c>
      <c r="G250" s="20" t="inlineStr">
        <is>
          <t>435384</t>
        </is>
      </c>
      <c r="H250" s="670" t="n">
        <v>41646</v>
      </c>
      <c r="I250" s="693" t="n">
        <v>36.07</v>
      </c>
      <c r="J250" s="9" t="n"/>
    </row>
    <row r="251" ht="18" customHeight="1" s="408">
      <c r="A251" s="33" t="n">
        <v>246</v>
      </c>
      <c r="B251" s="20" t="inlineStr">
        <is>
          <t>435413</t>
        </is>
      </c>
      <c r="C251" s="670" t="n">
        <v>41646</v>
      </c>
      <c r="D251" s="693" t="n">
        <v>100.41</v>
      </c>
      <c r="E251" s="11" t="inlineStr">
        <is>
          <t>S G L CAMBODIA</t>
        </is>
      </c>
      <c r="F251" s="10" t="inlineStr">
        <is>
          <t>100119816</t>
        </is>
      </c>
      <c r="G251" s="20" t="inlineStr">
        <is>
          <t>435413</t>
        </is>
      </c>
      <c r="H251" s="670" t="n">
        <v>41646</v>
      </c>
      <c r="I251" s="693" t="n">
        <v>100.41</v>
      </c>
      <c r="J251" s="9" t="n"/>
    </row>
    <row r="252" ht="18" customHeight="1" s="408">
      <c r="A252" s="33" t="n">
        <v>247</v>
      </c>
      <c r="B252" s="20" t="inlineStr">
        <is>
          <t>435499</t>
        </is>
      </c>
      <c r="C252" s="670" t="n">
        <v>41653</v>
      </c>
      <c r="D252" s="693" t="n">
        <v>43.29</v>
      </c>
      <c r="E252" s="11" t="inlineStr">
        <is>
          <t>S G L CAMBODIA</t>
        </is>
      </c>
      <c r="F252" s="10" t="inlineStr">
        <is>
          <t>100119816</t>
        </is>
      </c>
      <c r="G252" s="20" t="inlineStr">
        <is>
          <t>435499</t>
        </is>
      </c>
      <c r="H252" s="670" t="n">
        <v>41653</v>
      </c>
      <c r="I252" s="693" t="n">
        <v>43.29</v>
      </c>
      <c r="J252" s="9" t="n"/>
    </row>
    <row r="253" ht="18" customHeight="1" s="408">
      <c r="A253" s="33" t="n">
        <v>248</v>
      </c>
      <c r="B253" s="20" t="inlineStr">
        <is>
          <t>435525</t>
        </is>
      </c>
      <c r="C253" s="670" t="n">
        <v>41653</v>
      </c>
      <c r="D253" s="693" t="n">
        <v>34.05</v>
      </c>
      <c r="E253" s="11" t="inlineStr">
        <is>
          <t>S G L CAMBODIA</t>
        </is>
      </c>
      <c r="F253" s="10" t="inlineStr">
        <is>
          <t>100119816</t>
        </is>
      </c>
      <c r="G253" s="20" t="inlineStr">
        <is>
          <t>435525</t>
        </is>
      </c>
      <c r="H253" s="670" t="n">
        <v>41653</v>
      </c>
      <c r="I253" s="693" t="n">
        <v>34.05</v>
      </c>
      <c r="J253" s="9" t="n"/>
    </row>
    <row r="254" ht="18" customHeight="1" s="408">
      <c r="A254" s="33" t="n">
        <v>249</v>
      </c>
      <c r="B254" s="20" t="inlineStr">
        <is>
          <t>435556</t>
        </is>
      </c>
      <c r="C254" s="670" t="n">
        <v>41653</v>
      </c>
      <c r="D254" s="693" t="n">
        <v>109.52</v>
      </c>
      <c r="E254" s="11" t="inlineStr">
        <is>
          <t>S G L CAMBODIA</t>
        </is>
      </c>
      <c r="F254" s="10" t="inlineStr">
        <is>
          <t>100119816</t>
        </is>
      </c>
      <c r="G254" s="20" t="inlineStr">
        <is>
          <t>435556</t>
        </is>
      </c>
      <c r="H254" s="670" t="n">
        <v>41653</v>
      </c>
      <c r="I254" s="693" t="n">
        <v>109.52</v>
      </c>
      <c r="J254" s="9" t="n"/>
    </row>
    <row r="255" ht="18" customHeight="1" s="408">
      <c r="A255" s="33" t="n">
        <v>250</v>
      </c>
      <c r="B255" s="20" t="inlineStr">
        <is>
          <t>435566</t>
        </is>
      </c>
      <c r="C255" s="670" t="n">
        <v>41653</v>
      </c>
      <c r="D255" s="693" t="n">
        <v>56.94</v>
      </c>
      <c r="E255" s="11" t="inlineStr">
        <is>
          <t>S G L CAMBODIA</t>
        </is>
      </c>
      <c r="F255" s="10" t="inlineStr">
        <is>
          <t>100119816</t>
        </is>
      </c>
      <c r="G255" s="20" t="inlineStr">
        <is>
          <t>435566</t>
        </is>
      </c>
      <c r="H255" s="670" t="n">
        <v>41653</v>
      </c>
      <c r="I255" s="693" t="n">
        <v>56.94</v>
      </c>
      <c r="J255" s="9" t="n"/>
    </row>
    <row r="256" ht="18" customHeight="1" s="408">
      <c r="A256" s="33" t="n">
        <v>251</v>
      </c>
      <c r="B256" s="20" t="inlineStr">
        <is>
          <t>435575</t>
        </is>
      </c>
      <c r="C256" s="670" t="n">
        <v>41654</v>
      </c>
      <c r="D256" s="693" t="n">
        <v>48</v>
      </c>
      <c r="E256" s="11" t="inlineStr">
        <is>
          <t>S G L CAMBODIA</t>
        </is>
      </c>
      <c r="F256" s="10" t="inlineStr">
        <is>
          <t>100119816</t>
        </is>
      </c>
      <c r="G256" s="20" t="inlineStr">
        <is>
          <t>435575</t>
        </is>
      </c>
      <c r="H256" s="670" t="n">
        <v>41654</v>
      </c>
      <c r="I256" s="693" t="n">
        <v>48</v>
      </c>
      <c r="J256" s="9" t="n"/>
    </row>
    <row r="257" ht="18" customHeight="1" s="408">
      <c r="A257" s="33" t="n">
        <v>252</v>
      </c>
      <c r="B257" s="20" t="inlineStr">
        <is>
          <t>435587</t>
        </is>
      </c>
      <c r="C257" s="670" t="n">
        <v>41654</v>
      </c>
      <c r="D257" s="693" t="n">
        <v>22.51</v>
      </c>
      <c r="E257" s="11" t="inlineStr">
        <is>
          <t>S G L CAMBODIA</t>
        </is>
      </c>
      <c r="F257" s="10" t="inlineStr">
        <is>
          <t>100119816</t>
        </is>
      </c>
      <c r="G257" s="20" t="inlineStr">
        <is>
          <t>435587</t>
        </is>
      </c>
      <c r="H257" s="670" t="n">
        <v>41654</v>
      </c>
      <c r="I257" s="693" t="n">
        <v>22.51</v>
      </c>
      <c r="J257" s="9" t="n"/>
    </row>
    <row r="258" ht="18" customHeight="1" s="408">
      <c r="A258" s="33" t="n">
        <v>253</v>
      </c>
      <c r="B258" s="20" t="inlineStr">
        <is>
          <t>435667</t>
        </is>
      </c>
      <c r="C258" s="670" t="n">
        <v>41660</v>
      </c>
      <c r="D258" s="693" t="n">
        <v>23.18</v>
      </c>
      <c r="E258" s="11" t="inlineStr">
        <is>
          <t>S G L CAMBODIA</t>
        </is>
      </c>
      <c r="F258" s="10" t="inlineStr">
        <is>
          <t>100119816</t>
        </is>
      </c>
      <c r="G258" s="20" t="inlineStr">
        <is>
          <t>435667</t>
        </is>
      </c>
      <c r="H258" s="670" t="n">
        <v>41660</v>
      </c>
      <c r="I258" s="693" t="n">
        <v>23.18</v>
      </c>
      <c r="J258" s="9" t="n"/>
    </row>
    <row r="259" ht="18" customHeight="1" s="408">
      <c r="A259" s="33" t="n">
        <v>254</v>
      </c>
      <c r="B259" s="20" t="inlineStr">
        <is>
          <t>435675</t>
        </is>
      </c>
      <c r="C259" s="670" t="n">
        <v>41660</v>
      </c>
      <c r="D259" s="693" t="n">
        <v>55.08</v>
      </c>
      <c r="E259" s="11" t="inlineStr">
        <is>
          <t>S G L CAMBODIA</t>
        </is>
      </c>
      <c r="F259" s="10" t="inlineStr">
        <is>
          <t>100119816</t>
        </is>
      </c>
      <c r="G259" s="20" t="inlineStr">
        <is>
          <t>435675</t>
        </is>
      </c>
      <c r="H259" s="670" t="n">
        <v>41660</v>
      </c>
      <c r="I259" s="693" t="n">
        <v>55.08</v>
      </c>
      <c r="J259" s="9" t="n"/>
    </row>
    <row r="260" ht="18" customHeight="1" s="408">
      <c r="A260" s="33" t="n">
        <v>255</v>
      </c>
      <c r="B260" s="20" t="inlineStr">
        <is>
          <t>435689</t>
        </is>
      </c>
      <c r="C260" s="670" t="n">
        <v>41660</v>
      </c>
      <c r="D260" s="693" t="n">
        <v>23.63</v>
      </c>
      <c r="E260" s="11" t="inlineStr">
        <is>
          <t>S G L CAMBODIA</t>
        </is>
      </c>
      <c r="F260" s="10" t="inlineStr">
        <is>
          <t>100119816</t>
        </is>
      </c>
      <c r="G260" s="20" t="inlineStr">
        <is>
          <t>435689</t>
        </is>
      </c>
      <c r="H260" s="670" t="n">
        <v>41660</v>
      </c>
      <c r="I260" s="693" t="n">
        <v>23.63</v>
      </c>
      <c r="J260" s="9" t="n"/>
    </row>
    <row r="261" ht="18" customHeight="1" s="408">
      <c r="A261" s="33" t="n">
        <v>256</v>
      </c>
      <c r="B261" s="20" t="inlineStr">
        <is>
          <t>435705</t>
        </is>
      </c>
      <c r="C261" s="670" t="n">
        <v>41660</v>
      </c>
      <c r="D261" s="693" t="n">
        <v>46.83</v>
      </c>
      <c r="E261" s="11" t="inlineStr">
        <is>
          <t>S G L CAMBODIA</t>
        </is>
      </c>
      <c r="F261" s="10" t="inlineStr">
        <is>
          <t>100119816</t>
        </is>
      </c>
      <c r="G261" s="20" t="inlineStr">
        <is>
          <t>435705</t>
        </is>
      </c>
      <c r="H261" s="670" t="n">
        <v>41660</v>
      </c>
      <c r="I261" s="693" t="n">
        <v>46.83</v>
      </c>
      <c r="J261" s="9" t="n"/>
    </row>
    <row r="262" ht="18" customHeight="1" s="408">
      <c r="A262" s="33" t="n">
        <v>257</v>
      </c>
      <c r="B262" s="20" t="inlineStr">
        <is>
          <t>435744</t>
        </is>
      </c>
      <c r="C262" s="670" t="n">
        <v>41660</v>
      </c>
      <c r="D262" s="693" t="n">
        <v>79.76000000000001</v>
      </c>
      <c r="E262" s="11" t="inlineStr">
        <is>
          <t>S G L CAMBODIA</t>
        </is>
      </c>
      <c r="F262" s="10" t="inlineStr">
        <is>
          <t>100119816</t>
        </is>
      </c>
      <c r="G262" s="20" t="inlineStr">
        <is>
          <t>435744</t>
        </is>
      </c>
      <c r="H262" s="670" t="n">
        <v>41660</v>
      </c>
      <c r="I262" s="693" t="n">
        <v>79.76000000000001</v>
      </c>
      <c r="J262" s="9" t="n"/>
    </row>
    <row r="263" ht="18" customHeight="1" s="408">
      <c r="A263" s="33" t="n">
        <v>258</v>
      </c>
      <c r="B263" s="20" t="inlineStr">
        <is>
          <t>435755</t>
        </is>
      </c>
      <c r="C263" s="670" t="n">
        <v>41660</v>
      </c>
      <c r="D263" s="693" t="n">
        <v>42.45</v>
      </c>
      <c r="E263" s="11" t="inlineStr">
        <is>
          <t>S G L CAMBODIA</t>
        </is>
      </c>
      <c r="F263" s="10" t="inlineStr">
        <is>
          <t>100119816</t>
        </is>
      </c>
      <c r="G263" s="20" t="inlineStr">
        <is>
          <t>435755</t>
        </is>
      </c>
      <c r="H263" s="670" t="n">
        <v>41660</v>
      </c>
      <c r="I263" s="693" t="n">
        <v>42.45</v>
      </c>
      <c r="J263" s="9" t="n"/>
    </row>
    <row r="264" ht="18" customHeight="1" s="408">
      <c r="A264" s="33" t="n">
        <v>259</v>
      </c>
      <c r="B264" s="20" t="inlineStr">
        <is>
          <t>435775</t>
        </is>
      </c>
      <c r="C264" s="670" t="n">
        <v>21</v>
      </c>
      <c r="D264" s="693" t="n">
        <v>28.6</v>
      </c>
      <c r="E264" s="11" t="inlineStr">
        <is>
          <t>S G L CAMBODIA</t>
        </is>
      </c>
      <c r="F264" s="10" t="inlineStr">
        <is>
          <t>100119816</t>
        </is>
      </c>
      <c r="G264" s="20" t="inlineStr">
        <is>
          <t>435775</t>
        </is>
      </c>
      <c r="H264" s="670" t="n">
        <v>21</v>
      </c>
      <c r="I264" s="693" t="n">
        <v>28.6</v>
      </c>
      <c r="J264" s="9" t="n"/>
    </row>
    <row r="265" ht="18" customHeight="1" s="408">
      <c r="A265" s="33" t="n">
        <v>260</v>
      </c>
      <c r="B265" s="20" t="inlineStr">
        <is>
          <t>435858</t>
        </is>
      </c>
      <c r="C265" s="670" t="n">
        <v>41666</v>
      </c>
      <c r="D265" s="693" t="n">
        <v>27.97</v>
      </c>
      <c r="E265" s="11" t="inlineStr">
        <is>
          <t>S G L CAMBODIA</t>
        </is>
      </c>
      <c r="F265" s="10" t="inlineStr">
        <is>
          <t>100119816</t>
        </is>
      </c>
      <c r="G265" s="20" t="inlineStr">
        <is>
          <t>435858</t>
        </is>
      </c>
      <c r="H265" s="670" t="n">
        <v>41666</v>
      </c>
      <c r="I265" s="693" t="n">
        <v>27.97</v>
      </c>
      <c r="J265" s="9" t="n"/>
    </row>
    <row r="266" ht="18" customHeight="1" s="408">
      <c r="A266" s="33" t="n">
        <v>261</v>
      </c>
      <c r="B266" s="20" t="inlineStr">
        <is>
          <t>435932</t>
        </is>
      </c>
      <c r="C266" s="670" t="n">
        <v>41668</v>
      </c>
      <c r="D266" s="693" t="n">
        <v>22.3</v>
      </c>
      <c r="E266" s="11" t="inlineStr">
        <is>
          <t>S G L CAMBODIA</t>
        </is>
      </c>
      <c r="F266" s="10" t="inlineStr">
        <is>
          <t>100119816</t>
        </is>
      </c>
      <c r="G266" s="20" t="inlineStr">
        <is>
          <t>435932</t>
        </is>
      </c>
      <c r="H266" s="670" t="n">
        <v>41668</v>
      </c>
      <c r="I266" s="693" t="n">
        <v>22.3</v>
      </c>
      <c r="J266" s="9" t="n"/>
    </row>
    <row r="267" ht="18" customHeight="1" s="408">
      <c r="A267" s="33" t="n">
        <v>262</v>
      </c>
      <c r="B267" s="20" t="inlineStr">
        <is>
          <t>435981</t>
        </is>
      </c>
      <c r="C267" s="670" t="n">
        <v>41674</v>
      </c>
      <c r="D267" s="693" t="n">
        <v>71.04000000000001</v>
      </c>
      <c r="E267" s="11" t="inlineStr">
        <is>
          <t>S G L CAMBODIA</t>
        </is>
      </c>
      <c r="F267" s="10" t="inlineStr">
        <is>
          <t>100119816</t>
        </is>
      </c>
      <c r="G267" s="20" t="inlineStr">
        <is>
          <t>435981</t>
        </is>
      </c>
      <c r="H267" s="670" t="n">
        <v>41674</v>
      </c>
      <c r="I267" s="693" t="n">
        <v>71.04000000000001</v>
      </c>
      <c r="J267" s="9" t="n"/>
    </row>
    <row r="268" ht="18" customHeight="1" s="408">
      <c r="A268" s="33" t="n">
        <v>263</v>
      </c>
      <c r="B268" s="20" t="inlineStr">
        <is>
          <t>435993</t>
        </is>
      </c>
      <c r="C268" s="670" t="n">
        <v>41674</v>
      </c>
      <c r="D268" s="693" t="n">
        <v>35.49</v>
      </c>
      <c r="E268" s="11" t="inlineStr">
        <is>
          <t>S G L CAMBODIA</t>
        </is>
      </c>
      <c r="F268" s="10" t="inlineStr">
        <is>
          <t>100119816</t>
        </is>
      </c>
      <c r="G268" s="20" t="inlineStr">
        <is>
          <t>435993</t>
        </is>
      </c>
      <c r="H268" s="670" t="n">
        <v>41674</v>
      </c>
      <c r="I268" s="693" t="n">
        <v>35.49</v>
      </c>
      <c r="J268" s="9" t="n"/>
    </row>
    <row r="269" ht="18" customHeight="1" s="408">
      <c r="A269" s="33" t="n">
        <v>264</v>
      </c>
      <c r="B269" s="20" t="inlineStr">
        <is>
          <t>436004</t>
        </is>
      </c>
      <c r="C269" s="670" t="n">
        <v>41674</v>
      </c>
      <c r="D269" s="693" t="n">
        <v>22.1</v>
      </c>
      <c r="E269" s="11" t="inlineStr">
        <is>
          <t>S G L CAMBODIA</t>
        </is>
      </c>
      <c r="F269" s="10" t="inlineStr">
        <is>
          <t>100119816</t>
        </is>
      </c>
      <c r="G269" s="20" t="inlineStr">
        <is>
          <t>436004</t>
        </is>
      </c>
      <c r="H269" s="670" t="n">
        <v>41674</v>
      </c>
      <c r="I269" s="693" t="n">
        <v>22.1</v>
      </c>
      <c r="J269" s="9" t="n"/>
    </row>
    <row r="270" ht="18" customHeight="1" s="408">
      <c r="A270" s="33" t="n">
        <v>265</v>
      </c>
      <c r="B270" s="20" t="inlineStr">
        <is>
          <t>436039</t>
        </is>
      </c>
      <c r="C270" s="670" t="n">
        <v>41674</v>
      </c>
      <c r="D270" s="693" t="n">
        <v>27.57</v>
      </c>
      <c r="E270" s="11" t="inlineStr">
        <is>
          <t>S G L CAMBODIA</t>
        </is>
      </c>
      <c r="F270" s="10" t="inlineStr">
        <is>
          <t>100119816</t>
        </is>
      </c>
      <c r="G270" s="20" t="inlineStr">
        <is>
          <t>436039</t>
        </is>
      </c>
      <c r="H270" s="670" t="n">
        <v>41674</v>
      </c>
      <c r="I270" s="693" t="n">
        <v>27.57</v>
      </c>
      <c r="J270" s="9" t="n"/>
    </row>
    <row r="271" ht="18" customHeight="1" s="408">
      <c r="A271" s="33" t="n">
        <v>266</v>
      </c>
      <c r="B271" s="20" t="inlineStr">
        <is>
          <t>436080</t>
        </is>
      </c>
      <c r="C271" s="670" t="n">
        <v>41674</v>
      </c>
      <c r="D271" s="693" t="n">
        <v>32.04</v>
      </c>
      <c r="E271" s="11" t="inlineStr">
        <is>
          <t>S G L CAMBODIA</t>
        </is>
      </c>
      <c r="F271" s="10" t="inlineStr">
        <is>
          <t>100119816</t>
        </is>
      </c>
      <c r="G271" s="20" t="inlineStr">
        <is>
          <t>436080</t>
        </is>
      </c>
      <c r="H271" s="670" t="n">
        <v>41674</v>
      </c>
      <c r="I271" s="693" t="n">
        <v>32.04</v>
      </c>
      <c r="J271" s="9" t="n"/>
    </row>
    <row r="272" ht="18" customHeight="1" s="408">
      <c r="A272" s="33" t="n">
        <v>267</v>
      </c>
      <c r="B272" s="20" t="inlineStr">
        <is>
          <t>436196</t>
        </is>
      </c>
      <c r="C272" s="670" t="n">
        <v>41681</v>
      </c>
      <c r="D272" s="693" t="n">
        <v>53.23</v>
      </c>
      <c r="E272" s="11" t="inlineStr">
        <is>
          <t>S G L CAMBODIA</t>
        </is>
      </c>
      <c r="F272" s="10" t="inlineStr">
        <is>
          <t>100119816</t>
        </is>
      </c>
      <c r="G272" s="20" t="inlineStr">
        <is>
          <t>436196</t>
        </is>
      </c>
      <c r="H272" s="670" t="n">
        <v>41681</v>
      </c>
      <c r="I272" s="693" t="n">
        <v>53.23</v>
      </c>
      <c r="J272" s="9" t="n"/>
    </row>
    <row r="273" ht="18" customHeight="1" s="408">
      <c r="A273" s="33" t="n">
        <v>268</v>
      </c>
      <c r="B273" s="20" t="inlineStr">
        <is>
          <t>436200</t>
        </is>
      </c>
      <c r="C273" s="670" t="n">
        <v>41681</v>
      </c>
      <c r="D273" s="693" t="n">
        <v>39.89</v>
      </c>
      <c r="E273" s="11" t="inlineStr">
        <is>
          <t>S G L CAMBODIA</t>
        </is>
      </c>
      <c r="F273" s="10" t="inlineStr">
        <is>
          <t>100119816</t>
        </is>
      </c>
      <c r="G273" s="20" t="inlineStr">
        <is>
          <t>436200</t>
        </is>
      </c>
      <c r="H273" s="670" t="n">
        <v>41681</v>
      </c>
      <c r="I273" s="693" t="n">
        <v>39.89</v>
      </c>
      <c r="J273" s="9" t="n"/>
    </row>
    <row r="274" ht="18" customHeight="1" s="408">
      <c r="A274" s="33" t="n">
        <v>269</v>
      </c>
      <c r="B274" s="20" t="inlineStr">
        <is>
          <t>436256</t>
        </is>
      </c>
      <c r="C274" s="670" t="n">
        <v>41681</v>
      </c>
      <c r="D274" s="693" t="n">
        <v>71.63</v>
      </c>
      <c r="E274" s="11" t="inlineStr">
        <is>
          <t>S G L CAMBODIA</t>
        </is>
      </c>
      <c r="F274" s="10" t="inlineStr">
        <is>
          <t>100119816</t>
        </is>
      </c>
      <c r="G274" s="20" t="inlineStr">
        <is>
          <t>436256</t>
        </is>
      </c>
      <c r="H274" s="670" t="n">
        <v>41681</v>
      </c>
      <c r="I274" s="693" t="n">
        <v>71.63</v>
      </c>
      <c r="J274" s="9" t="n"/>
    </row>
    <row r="275" ht="18" customHeight="1" s="408">
      <c r="A275" s="33" t="n">
        <v>270</v>
      </c>
      <c r="B275" s="20" t="inlineStr">
        <is>
          <t>436318</t>
        </is>
      </c>
      <c r="C275" s="670" t="n">
        <v>41687</v>
      </c>
      <c r="D275" s="693" t="n">
        <v>81.22</v>
      </c>
      <c r="E275" s="11" t="inlineStr">
        <is>
          <t>S G L CAMBODIA</t>
        </is>
      </c>
      <c r="F275" s="10" t="inlineStr">
        <is>
          <t>100119816</t>
        </is>
      </c>
      <c r="G275" s="20" t="inlineStr">
        <is>
          <t>436318</t>
        </is>
      </c>
      <c r="H275" s="670" t="n">
        <v>41687</v>
      </c>
      <c r="I275" s="693" t="n">
        <v>81.22</v>
      </c>
      <c r="J275" s="9" t="n"/>
    </row>
    <row r="276" ht="18" customHeight="1" s="408">
      <c r="A276" s="33" t="n">
        <v>271</v>
      </c>
      <c r="B276" s="20" t="inlineStr">
        <is>
          <t>436335</t>
        </is>
      </c>
      <c r="C276" s="670" t="n">
        <v>41687</v>
      </c>
      <c r="D276" s="693" t="n">
        <v>71.16</v>
      </c>
      <c r="E276" s="11" t="inlineStr">
        <is>
          <t>S G L CAMBODIA</t>
        </is>
      </c>
      <c r="F276" s="10" t="inlineStr">
        <is>
          <t>100119816</t>
        </is>
      </c>
      <c r="G276" s="20" t="inlineStr">
        <is>
          <t>436335</t>
        </is>
      </c>
      <c r="H276" s="670" t="n">
        <v>41687</v>
      </c>
      <c r="I276" s="693" t="n">
        <v>71.16</v>
      </c>
      <c r="J276" s="9" t="n"/>
    </row>
    <row r="277" ht="18" customHeight="1" s="408">
      <c r="A277" s="33" t="n">
        <v>272</v>
      </c>
      <c r="B277" s="20" t="inlineStr">
        <is>
          <t>436360</t>
        </is>
      </c>
      <c r="C277" s="670" t="n">
        <v>41688</v>
      </c>
      <c r="D277" s="693" t="n">
        <v>22.3</v>
      </c>
      <c r="E277" s="11" t="inlineStr">
        <is>
          <t>S G L CAMBODIA</t>
        </is>
      </c>
      <c r="F277" s="10" t="inlineStr">
        <is>
          <t>100119816</t>
        </is>
      </c>
      <c r="G277" s="20" t="inlineStr">
        <is>
          <t>436360</t>
        </is>
      </c>
      <c r="H277" s="670" t="n">
        <v>41688</v>
      </c>
      <c r="I277" s="693" t="n">
        <v>22.3</v>
      </c>
      <c r="J277" s="9" t="n"/>
    </row>
    <row r="278" ht="18" customHeight="1" s="408">
      <c r="A278" s="33" t="n">
        <v>273</v>
      </c>
      <c r="B278" s="20" t="inlineStr">
        <is>
          <t>436368</t>
        </is>
      </c>
      <c r="C278" s="670" t="n">
        <v>41688</v>
      </c>
      <c r="D278" s="693" t="n">
        <v>60.23</v>
      </c>
      <c r="E278" s="11" t="inlineStr">
        <is>
          <t>S G L CAMBODIA</t>
        </is>
      </c>
      <c r="F278" s="10" t="inlineStr">
        <is>
          <t>100119816</t>
        </is>
      </c>
      <c r="G278" s="20" t="inlineStr">
        <is>
          <t>436368</t>
        </is>
      </c>
      <c r="H278" s="670" t="n">
        <v>41688</v>
      </c>
      <c r="I278" s="693" t="n">
        <v>60.23</v>
      </c>
      <c r="J278" s="9" t="n"/>
    </row>
    <row r="279" ht="18" customHeight="1" s="408">
      <c r="A279" s="33" t="n">
        <v>274</v>
      </c>
      <c r="B279" s="20" t="inlineStr">
        <is>
          <t>436384</t>
        </is>
      </c>
      <c r="C279" s="670" t="n">
        <v>41688</v>
      </c>
      <c r="D279" s="693" t="n">
        <v>24.8</v>
      </c>
      <c r="E279" s="11" t="inlineStr">
        <is>
          <t>S G L CAMBODIA</t>
        </is>
      </c>
      <c r="F279" s="10" t="inlineStr">
        <is>
          <t>100119816</t>
        </is>
      </c>
      <c r="G279" s="20" t="inlineStr">
        <is>
          <t>436384</t>
        </is>
      </c>
      <c r="H279" s="670" t="n">
        <v>41688</v>
      </c>
      <c r="I279" s="693" t="n">
        <v>24.8</v>
      </c>
      <c r="J279" s="9" t="n"/>
    </row>
    <row r="280" ht="18" customHeight="1" s="408">
      <c r="A280" s="33" t="n">
        <v>275</v>
      </c>
      <c r="B280" s="20" t="inlineStr">
        <is>
          <t>436469</t>
        </is>
      </c>
      <c r="C280" s="670" t="n">
        <v>41695</v>
      </c>
      <c r="D280" s="693" t="n">
        <v>124.82</v>
      </c>
      <c r="E280" s="11" t="inlineStr">
        <is>
          <t>S G L CAMBODIA</t>
        </is>
      </c>
      <c r="F280" s="10" t="inlineStr">
        <is>
          <t>100119816</t>
        </is>
      </c>
      <c r="G280" s="20" t="inlineStr">
        <is>
          <t>436469</t>
        </is>
      </c>
      <c r="H280" s="670" t="n">
        <v>41695</v>
      </c>
      <c r="I280" s="693" t="n">
        <v>124.82</v>
      </c>
      <c r="J280" s="9" t="n"/>
    </row>
    <row r="281" ht="18" customHeight="1" s="408">
      <c r="A281" s="33" t="n">
        <v>276</v>
      </c>
      <c r="B281" s="20" t="inlineStr">
        <is>
          <t>436480</t>
        </is>
      </c>
      <c r="C281" s="670" t="n">
        <v>41695</v>
      </c>
      <c r="D281" s="693" t="n">
        <v>58.99</v>
      </c>
      <c r="E281" s="11" t="inlineStr">
        <is>
          <t>S G L CAMBODIA</t>
        </is>
      </c>
      <c r="F281" s="10" t="inlineStr">
        <is>
          <t>100119816</t>
        </is>
      </c>
      <c r="G281" s="20" t="inlineStr">
        <is>
          <t>436480</t>
        </is>
      </c>
      <c r="H281" s="670" t="n">
        <v>41695</v>
      </c>
      <c r="I281" s="693" t="n">
        <v>58.99</v>
      </c>
      <c r="J281" s="9" t="n"/>
    </row>
    <row r="282" ht="18" customHeight="1" s="408">
      <c r="A282" s="33" t="n">
        <v>277</v>
      </c>
      <c r="B282" s="20" t="inlineStr">
        <is>
          <t>436485</t>
        </is>
      </c>
      <c r="C282" s="670" t="n">
        <v>41695</v>
      </c>
      <c r="D282" s="693" t="n">
        <v>29.35</v>
      </c>
      <c r="E282" s="11" t="inlineStr">
        <is>
          <t>S G L CAMBODIA</t>
        </is>
      </c>
      <c r="F282" s="10" t="inlineStr">
        <is>
          <t>100119816</t>
        </is>
      </c>
      <c r="G282" s="20" t="inlineStr">
        <is>
          <t>436485</t>
        </is>
      </c>
      <c r="H282" s="670" t="n">
        <v>41695</v>
      </c>
      <c r="I282" s="693" t="n">
        <v>29.35</v>
      </c>
      <c r="J282" s="9" t="n"/>
    </row>
    <row r="283" ht="18" customHeight="1" s="408">
      <c r="A283" s="33" t="n">
        <v>278</v>
      </c>
      <c r="B283" s="20" t="inlineStr">
        <is>
          <t>436616</t>
        </is>
      </c>
      <c r="C283" s="670" t="n">
        <v>41702</v>
      </c>
      <c r="D283" s="693" t="n">
        <v>22.3</v>
      </c>
      <c r="E283" s="11" t="inlineStr">
        <is>
          <t>S G L CAMBODIA</t>
        </is>
      </c>
      <c r="F283" s="10" t="inlineStr">
        <is>
          <t>100119816</t>
        </is>
      </c>
      <c r="G283" s="20" t="inlineStr">
        <is>
          <t>436616</t>
        </is>
      </c>
      <c r="H283" s="670" t="n">
        <v>41702</v>
      </c>
      <c r="I283" s="693" t="n">
        <v>22.3</v>
      </c>
      <c r="J283" s="9" t="n"/>
    </row>
    <row r="284" ht="18" customHeight="1" s="408">
      <c r="A284" s="33" t="n">
        <v>279</v>
      </c>
      <c r="B284" s="20" t="inlineStr">
        <is>
          <t>436710</t>
        </is>
      </c>
      <c r="C284" s="670" t="n">
        <v>41709</v>
      </c>
      <c r="D284" s="693" t="n">
        <v>32.52</v>
      </c>
      <c r="E284" s="11" t="inlineStr">
        <is>
          <t>S G L CAMBODIA</t>
        </is>
      </c>
      <c r="F284" s="10" t="inlineStr">
        <is>
          <t>100119816</t>
        </is>
      </c>
      <c r="G284" s="20" t="inlineStr">
        <is>
          <t>436710</t>
        </is>
      </c>
      <c r="H284" s="670" t="n">
        <v>41709</v>
      </c>
      <c r="I284" s="693" t="n">
        <v>32.52</v>
      </c>
      <c r="J284" s="9" t="n"/>
    </row>
    <row r="285" ht="18" customHeight="1" s="408">
      <c r="A285" s="33" t="n">
        <v>280</v>
      </c>
      <c r="B285" s="20" t="inlineStr">
        <is>
          <t>436771</t>
        </is>
      </c>
      <c r="C285" s="670" t="n">
        <v>41710</v>
      </c>
      <c r="D285" s="693" t="n">
        <v>38.63</v>
      </c>
      <c r="E285" s="11" t="inlineStr">
        <is>
          <t>S G L CAMBODIA</t>
        </is>
      </c>
      <c r="F285" s="10" t="inlineStr">
        <is>
          <t>100119816</t>
        </is>
      </c>
      <c r="G285" s="20" t="inlineStr">
        <is>
          <t>436771</t>
        </is>
      </c>
      <c r="H285" s="670" t="n">
        <v>41710</v>
      </c>
      <c r="I285" s="693" t="n">
        <v>38.63</v>
      </c>
      <c r="J285" s="9" t="n"/>
    </row>
    <row r="286" ht="18" customHeight="1" s="408">
      <c r="A286" s="33" t="n">
        <v>281</v>
      </c>
      <c r="B286" s="20" t="inlineStr">
        <is>
          <t>436775</t>
        </is>
      </c>
      <c r="C286" s="670" t="n">
        <v>41710</v>
      </c>
      <c r="D286" s="693" t="n">
        <v>42.61</v>
      </c>
      <c r="E286" s="11" t="inlineStr">
        <is>
          <t>S G L CAMBODIA</t>
        </is>
      </c>
      <c r="F286" s="10" t="inlineStr">
        <is>
          <t>100119816</t>
        </is>
      </c>
      <c r="G286" s="20" t="inlineStr">
        <is>
          <t>436775</t>
        </is>
      </c>
      <c r="H286" s="670" t="n">
        <v>41710</v>
      </c>
      <c r="I286" s="693" t="n">
        <v>42.61</v>
      </c>
      <c r="J286" s="9" t="n"/>
    </row>
    <row r="287" ht="18" customHeight="1" s="408">
      <c r="A287" s="33" t="n">
        <v>282</v>
      </c>
      <c r="B287" s="20" t="inlineStr">
        <is>
          <t>436789</t>
        </is>
      </c>
      <c r="C287" s="670" t="n">
        <v>41710</v>
      </c>
      <c r="D287" s="695" t="n">
        <v>56.46</v>
      </c>
      <c r="E287" s="11" t="inlineStr">
        <is>
          <t>S G L CAMBODIA</t>
        </is>
      </c>
      <c r="F287" s="10" t="inlineStr">
        <is>
          <t>100119816</t>
        </is>
      </c>
      <c r="G287" s="20" t="inlineStr">
        <is>
          <t>436789</t>
        </is>
      </c>
      <c r="H287" s="670" t="n">
        <v>41710</v>
      </c>
      <c r="I287" s="695" t="n">
        <v>56.46</v>
      </c>
      <c r="J287" s="9" t="n"/>
    </row>
    <row r="288" ht="18" customHeight="1" s="408">
      <c r="A288" s="33" t="n">
        <v>283</v>
      </c>
      <c r="B288" s="20" t="inlineStr">
        <is>
          <t>436793</t>
        </is>
      </c>
      <c r="C288" s="670" t="n">
        <v>41710</v>
      </c>
      <c r="D288" s="693" t="n">
        <v>50.1</v>
      </c>
      <c r="E288" s="11" t="inlineStr">
        <is>
          <t>S G L CAMBODIA</t>
        </is>
      </c>
      <c r="F288" s="10" t="inlineStr">
        <is>
          <t>100119816</t>
        </is>
      </c>
      <c r="G288" s="20" t="inlineStr">
        <is>
          <t>436793</t>
        </is>
      </c>
      <c r="H288" s="670" t="n">
        <v>41710</v>
      </c>
      <c r="I288" s="693" t="n">
        <v>50.1</v>
      </c>
      <c r="J288" s="9" t="n"/>
    </row>
    <row r="289" ht="18" customHeight="1" s="408">
      <c r="A289" s="33" t="n">
        <v>284</v>
      </c>
      <c r="B289" s="20" t="inlineStr">
        <is>
          <t>436816</t>
        </is>
      </c>
      <c r="C289" s="670" t="n">
        <v>41710</v>
      </c>
      <c r="D289" s="693" t="n">
        <v>27.97</v>
      </c>
      <c r="E289" s="11" t="inlineStr">
        <is>
          <t>S G L CAMBODIA</t>
        </is>
      </c>
      <c r="F289" s="10" t="inlineStr">
        <is>
          <t>100119816</t>
        </is>
      </c>
      <c r="G289" s="20" t="inlineStr">
        <is>
          <t>436816</t>
        </is>
      </c>
      <c r="H289" s="670" t="n">
        <v>41710</v>
      </c>
      <c r="I289" s="693" t="n">
        <v>27.97</v>
      </c>
      <c r="J289" s="9" t="n"/>
    </row>
    <row r="290" ht="18" customHeight="1" s="408">
      <c r="A290" s="33" t="n">
        <v>285</v>
      </c>
      <c r="B290" s="20" t="inlineStr">
        <is>
          <t>436818</t>
        </is>
      </c>
      <c r="C290" s="670" t="n">
        <v>41710</v>
      </c>
      <c r="D290" s="693" t="n">
        <v>37.9</v>
      </c>
      <c r="E290" s="11" t="inlineStr">
        <is>
          <t>S G L CAMBODIA</t>
        </is>
      </c>
      <c r="F290" s="10" t="inlineStr">
        <is>
          <t>100119816</t>
        </is>
      </c>
      <c r="G290" s="20" t="inlineStr">
        <is>
          <t>436818</t>
        </is>
      </c>
      <c r="H290" s="670" t="n">
        <v>41710</v>
      </c>
      <c r="I290" s="693" t="n">
        <v>37.9</v>
      </c>
      <c r="J290" s="9" t="n"/>
    </row>
    <row r="291" ht="18" customHeight="1" s="408">
      <c r="A291" s="33" t="n">
        <v>286</v>
      </c>
      <c r="B291" s="20" t="inlineStr">
        <is>
          <t>436834</t>
        </is>
      </c>
      <c r="C291" s="670" t="n">
        <v>41710</v>
      </c>
      <c r="D291" s="693" t="n">
        <v>26.66</v>
      </c>
      <c r="E291" s="11" t="inlineStr">
        <is>
          <t>S G L CAMBODIA</t>
        </is>
      </c>
      <c r="F291" s="10" t="inlineStr">
        <is>
          <t>100119816</t>
        </is>
      </c>
      <c r="G291" s="20" t="inlineStr">
        <is>
          <t>436834</t>
        </is>
      </c>
      <c r="H291" s="670" t="n">
        <v>41710</v>
      </c>
      <c r="I291" s="693" t="n">
        <v>26.66</v>
      </c>
      <c r="J291" s="9" t="n"/>
    </row>
    <row r="292" ht="18" customHeight="1" s="408">
      <c r="A292" s="33" t="n">
        <v>287</v>
      </c>
      <c r="B292" s="20" t="inlineStr">
        <is>
          <t>436905</t>
        </is>
      </c>
      <c r="C292" s="670" t="n">
        <v>41716</v>
      </c>
      <c r="D292" s="693" t="n">
        <v>45.05</v>
      </c>
      <c r="E292" s="11" t="inlineStr">
        <is>
          <t>S G L CAMBODIA</t>
        </is>
      </c>
      <c r="F292" s="10" t="inlineStr">
        <is>
          <t>100119816</t>
        </is>
      </c>
      <c r="G292" s="20" t="inlineStr">
        <is>
          <t>436905</t>
        </is>
      </c>
      <c r="H292" s="670" t="n">
        <v>41716</v>
      </c>
      <c r="I292" s="693" t="n">
        <v>45.05</v>
      </c>
      <c r="J292" s="9" t="n"/>
    </row>
    <row r="293" ht="18" customHeight="1" s="408">
      <c r="A293" s="33" t="n">
        <v>288</v>
      </c>
      <c r="B293" s="20" t="inlineStr">
        <is>
          <t>436930</t>
        </is>
      </c>
      <c r="C293" s="670" t="n">
        <v>41716</v>
      </c>
      <c r="D293" s="693" t="n">
        <v>101.57</v>
      </c>
      <c r="E293" s="11" t="inlineStr">
        <is>
          <t>S G L CAMBODIA</t>
        </is>
      </c>
      <c r="F293" s="10" t="inlineStr">
        <is>
          <t>100119816</t>
        </is>
      </c>
      <c r="G293" s="20" t="inlineStr">
        <is>
          <t>436930</t>
        </is>
      </c>
      <c r="H293" s="670" t="n">
        <v>41716</v>
      </c>
      <c r="I293" s="693" t="n">
        <v>101.57</v>
      </c>
      <c r="J293" s="9" t="n"/>
    </row>
    <row r="294" ht="18" customHeight="1" s="408">
      <c r="A294" s="33" t="n">
        <v>289</v>
      </c>
      <c r="B294" s="20" t="inlineStr">
        <is>
          <t>436943</t>
        </is>
      </c>
      <c r="C294" s="670" t="n">
        <v>41716</v>
      </c>
      <c r="D294" s="693" t="n">
        <v>69.01000000000001</v>
      </c>
      <c r="E294" s="11" t="inlineStr">
        <is>
          <t>S G L CAMBODIA</t>
        </is>
      </c>
      <c r="F294" s="10" t="inlineStr">
        <is>
          <t>100119816</t>
        </is>
      </c>
      <c r="G294" s="20" t="inlineStr">
        <is>
          <t>436943</t>
        </is>
      </c>
      <c r="H294" s="670" t="n">
        <v>41716</v>
      </c>
      <c r="I294" s="693" t="n">
        <v>69.01000000000001</v>
      </c>
      <c r="J294" s="9" t="n"/>
    </row>
    <row r="295" ht="18" customHeight="1" s="408">
      <c r="A295" s="33" t="n">
        <v>290</v>
      </c>
      <c r="B295" s="20" t="inlineStr">
        <is>
          <t>436954</t>
        </is>
      </c>
      <c r="C295" s="670" t="n">
        <v>41716</v>
      </c>
      <c r="D295" s="693" t="n">
        <v>29.48</v>
      </c>
      <c r="E295" s="11" t="inlineStr">
        <is>
          <t>S G L CAMBODIA</t>
        </is>
      </c>
      <c r="F295" s="10" t="inlineStr">
        <is>
          <t>100119816</t>
        </is>
      </c>
      <c r="G295" s="20" t="inlineStr">
        <is>
          <t>436954</t>
        </is>
      </c>
      <c r="H295" s="670" t="n">
        <v>41716</v>
      </c>
      <c r="I295" s="693" t="n">
        <v>29.48</v>
      </c>
      <c r="J295" s="9" t="n"/>
    </row>
    <row r="296" ht="18" customHeight="1" s="408">
      <c r="A296" s="33" t="n">
        <v>291</v>
      </c>
      <c r="B296" s="20" t="inlineStr">
        <is>
          <t>437034</t>
        </is>
      </c>
      <c r="C296" s="670" t="n">
        <v>41723</v>
      </c>
      <c r="D296" s="693" t="n">
        <v>28.65</v>
      </c>
      <c r="E296" s="11" t="inlineStr">
        <is>
          <t>S G L CAMBODIA</t>
        </is>
      </c>
      <c r="F296" s="10" t="inlineStr">
        <is>
          <t>100119816</t>
        </is>
      </c>
      <c r="G296" s="20" t="inlineStr">
        <is>
          <t>437034</t>
        </is>
      </c>
      <c r="H296" s="670" t="n">
        <v>41723</v>
      </c>
      <c r="I296" s="693" t="n">
        <v>28.65</v>
      </c>
      <c r="J296" s="9" t="n"/>
    </row>
    <row r="297" ht="18" customHeight="1" s="408">
      <c r="A297" s="33" t="n">
        <v>292</v>
      </c>
      <c r="B297" s="20" t="inlineStr">
        <is>
          <t>437150</t>
        </is>
      </c>
      <c r="C297" s="670" t="n">
        <v>41729</v>
      </c>
      <c r="D297" s="693" t="n">
        <v>23.85</v>
      </c>
      <c r="E297" s="11" t="inlineStr">
        <is>
          <t>S G L CAMBODIA</t>
        </is>
      </c>
      <c r="F297" s="10" t="inlineStr">
        <is>
          <t>100119816</t>
        </is>
      </c>
      <c r="G297" s="20" t="inlineStr">
        <is>
          <t>437150</t>
        </is>
      </c>
      <c r="H297" s="670" t="n">
        <v>41729</v>
      </c>
      <c r="I297" s="693" t="n">
        <v>23.85</v>
      </c>
      <c r="J297" s="9" t="n"/>
    </row>
    <row r="298" ht="18" customHeight="1" s="408">
      <c r="A298" s="33" t="n">
        <v>293</v>
      </c>
      <c r="B298" s="20" t="inlineStr">
        <is>
          <t>437185</t>
        </is>
      </c>
      <c r="C298" s="670" t="n">
        <v>41729</v>
      </c>
      <c r="D298" s="693" t="n">
        <v>27</v>
      </c>
      <c r="E298" s="11" t="inlineStr">
        <is>
          <t>S G L CAMBODIA</t>
        </is>
      </c>
      <c r="F298" s="10" t="inlineStr">
        <is>
          <t>100119816</t>
        </is>
      </c>
      <c r="G298" s="20" t="inlineStr">
        <is>
          <t>437185</t>
        </is>
      </c>
      <c r="H298" s="670" t="n">
        <v>41729</v>
      </c>
      <c r="I298" s="693" t="n">
        <v>27</v>
      </c>
      <c r="J298" s="9" t="n"/>
    </row>
    <row r="299" ht="18" customHeight="1" s="408">
      <c r="A299" s="33" t="n">
        <v>294</v>
      </c>
      <c r="B299" s="20" t="inlineStr">
        <is>
          <t>437208</t>
        </is>
      </c>
      <c r="C299" s="670" t="n">
        <v>41729</v>
      </c>
      <c r="D299" s="693" t="n">
        <v>40.09</v>
      </c>
      <c r="E299" s="11" t="inlineStr">
        <is>
          <t>S G L CAMBODIA</t>
        </is>
      </c>
      <c r="F299" s="10" t="inlineStr">
        <is>
          <t>100119816</t>
        </is>
      </c>
      <c r="G299" s="20" t="inlineStr">
        <is>
          <t>437208</t>
        </is>
      </c>
      <c r="H299" s="670" t="n">
        <v>41729</v>
      </c>
      <c r="I299" s="693" t="n">
        <v>40.09</v>
      </c>
      <c r="J299" s="9" t="n"/>
    </row>
    <row r="300" ht="18" customHeight="1" s="408">
      <c r="A300" s="33" t="n">
        <v>295</v>
      </c>
      <c r="B300" s="20" t="inlineStr">
        <is>
          <t>437311</t>
        </is>
      </c>
      <c r="C300" s="670" t="n">
        <v>41737</v>
      </c>
      <c r="D300" s="693" t="n">
        <v>85.06</v>
      </c>
      <c r="E300" s="11" t="inlineStr">
        <is>
          <t>S G L CAMBODIA</t>
        </is>
      </c>
      <c r="F300" s="10" t="inlineStr">
        <is>
          <t>100119816</t>
        </is>
      </c>
      <c r="G300" s="20" t="inlineStr">
        <is>
          <t>437311</t>
        </is>
      </c>
      <c r="H300" s="670" t="n">
        <v>41737</v>
      </c>
      <c r="I300" s="693" t="n">
        <v>85.06</v>
      </c>
      <c r="J300" s="9" t="n"/>
    </row>
    <row r="301" ht="18" customHeight="1" s="408">
      <c r="A301" s="33" t="n">
        <v>296</v>
      </c>
      <c r="B301" s="20" t="inlineStr">
        <is>
          <t>437321</t>
        </is>
      </c>
      <c r="C301" s="670" t="n">
        <v>41737</v>
      </c>
      <c r="D301" s="693" t="n">
        <v>51.16</v>
      </c>
      <c r="E301" s="11" t="inlineStr">
        <is>
          <t>S G L CAMBODIA</t>
        </is>
      </c>
      <c r="F301" s="10" t="inlineStr">
        <is>
          <t>100119816</t>
        </is>
      </c>
      <c r="G301" s="20" t="inlineStr">
        <is>
          <t>437321</t>
        </is>
      </c>
      <c r="H301" s="670" t="n">
        <v>41737</v>
      </c>
      <c r="I301" s="693" t="n">
        <v>51.16</v>
      </c>
      <c r="J301" s="9" t="n"/>
    </row>
    <row r="302" ht="18" customHeight="1" s="408">
      <c r="A302" s="33" t="n">
        <v>297</v>
      </c>
      <c r="B302" s="20" t="inlineStr">
        <is>
          <t>437376</t>
        </is>
      </c>
      <c r="C302" s="670" t="n">
        <v>41737</v>
      </c>
      <c r="D302" s="693" t="n">
        <v>77.34999999999999</v>
      </c>
      <c r="E302" s="11" t="inlineStr">
        <is>
          <t>S G L CAMBODIA</t>
        </is>
      </c>
      <c r="F302" s="10" t="inlineStr">
        <is>
          <t>100119816</t>
        </is>
      </c>
      <c r="G302" s="20" t="inlineStr">
        <is>
          <t>437376</t>
        </is>
      </c>
      <c r="H302" s="670" t="n">
        <v>41737</v>
      </c>
      <c r="I302" s="693" t="n">
        <v>77.34999999999999</v>
      </c>
      <c r="J302" s="9" t="n"/>
    </row>
    <row r="303" ht="18" customHeight="1" s="408">
      <c r="A303" s="33" t="n">
        <v>298</v>
      </c>
      <c r="B303" s="20" t="inlineStr">
        <is>
          <t>437390</t>
        </is>
      </c>
      <c r="C303" s="670" t="n">
        <v>41737</v>
      </c>
      <c r="D303" s="693" t="n">
        <v>30.9</v>
      </c>
      <c r="E303" s="11" t="inlineStr">
        <is>
          <t>S G L CAMBODIA</t>
        </is>
      </c>
      <c r="F303" s="10" t="inlineStr">
        <is>
          <t>100119816</t>
        </is>
      </c>
      <c r="G303" s="20" t="inlineStr">
        <is>
          <t>437390</t>
        </is>
      </c>
      <c r="H303" s="670" t="n">
        <v>41737</v>
      </c>
      <c r="I303" s="693" t="n">
        <v>30.9</v>
      </c>
      <c r="J303" s="9" t="n"/>
    </row>
    <row r="304" ht="18" customHeight="1" s="408">
      <c r="A304" s="33" t="n">
        <v>299</v>
      </c>
      <c r="B304" s="20" t="inlineStr">
        <is>
          <t>437401</t>
        </is>
      </c>
      <c r="C304" s="670" t="n">
        <v>41737</v>
      </c>
      <c r="D304" s="693" t="n">
        <v>22.3</v>
      </c>
      <c r="E304" s="11" t="inlineStr">
        <is>
          <t>S G L CAMBODIA</t>
        </is>
      </c>
      <c r="F304" s="10" t="inlineStr">
        <is>
          <t>100119816</t>
        </is>
      </c>
      <c r="G304" s="20" t="inlineStr">
        <is>
          <t>437401</t>
        </is>
      </c>
      <c r="H304" s="670" t="n">
        <v>41737</v>
      </c>
      <c r="I304" s="693" t="n">
        <v>22.3</v>
      </c>
      <c r="J304" s="9" t="n"/>
    </row>
    <row r="305" ht="18" customHeight="1" s="408">
      <c r="A305" s="33" t="n">
        <v>300</v>
      </c>
      <c r="B305" s="20" t="inlineStr">
        <is>
          <t>437450</t>
        </is>
      </c>
      <c r="C305" s="670" t="n">
        <v>41737</v>
      </c>
      <c r="D305" s="693" t="n">
        <v>29.07</v>
      </c>
      <c r="E305" s="11" t="inlineStr">
        <is>
          <t>S G L CAMBODIA</t>
        </is>
      </c>
      <c r="F305" s="10" t="inlineStr">
        <is>
          <t>100119816</t>
        </is>
      </c>
      <c r="G305" s="20" t="inlineStr">
        <is>
          <t>437450</t>
        </is>
      </c>
      <c r="H305" s="670" t="n">
        <v>41737</v>
      </c>
      <c r="I305" s="693" t="n">
        <v>29.07</v>
      </c>
      <c r="J305" s="9" t="n"/>
    </row>
    <row r="306" ht="18" customHeight="1" s="408">
      <c r="A306" s="33" t="n">
        <v>301</v>
      </c>
      <c r="B306" s="20" t="inlineStr">
        <is>
          <t>437471</t>
        </is>
      </c>
      <c r="C306" s="670" t="n">
        <v>41746</v>
      </c>
      <c r="D306" s="693" t="n">
        <v>24.8</v>
      </c>
      <c r="E306" s="11" t="inlineStr">
        <is>
          <t>S G L CAMBODIA</t>
        </is>
      </c>
      <c r="F306" s="10" t="inlineStr">
        <is>
          <t>100119816</t>
        </is>
      </c>
      <c r="G306" s="20" t="inlineStr">
        <is>
          <t>437471</t>
        </is>
      </c>
      <c r="H306" s="670" t="n">
        <v>41746</v>
      </c>
      <c r="I306" s="693" t="n">
        <v>24.8</v>
      </c>
      <c r="J306" s="9" t="n"/>
    </row>
    <row r="307" ht="18" customHeight="1" s="408">
      <c r="A307" s="33" t="n">
        <v>302</v>
      </c>
      <c r="B307" s="20" t="inlineStr">
        <is>
          <t>437511</t>
        </is>
      </c>
      <c r="C307" s="670" t="n">
        <v>41746</v>
      </c>
      <c r="D307" s="693" t="n">
        <v>39.87</v>
      </c>
      <c r="E307" s="11" t="inlineStr">
        <is>
          <t>S G L CAMBODIA</t>
        </is>
      </c>
      <c r="F307" s="10" t="inlineStr">
        <is>
          <t>100119816</t>
        </is>
      </c>
      <c r="G307" s="20" t="inlineStr">
        <is>
          <t>437511</t>
        </is>
      </c>
      <c r="H307" s="670" t="n">
        <v>41746</v>
      </c>
      <c r="I307" s="693" t="n">
        <v>39.87</v>
      </c>
      <c r="J307" s="9" t="n"/>
    </row>
    <row r="308" ht="18" customHeight="1" s="408">
      <c r="A308" s="33" t="n">
        <v>303</v>
      </c>
      <c r="B308" s="20" t="inlineStr">
        <is>
          <t>437519</t>
        </is>
      </c>
      <c r="C308" s="670" t="n">
        <v>41746</v>
      </c>
      <c r="D308" s="693" t="n">
        <v>68.84999999999999</v>
      </c>
      <c r="E308" s="11" t="inlineStr">
        <is>
          <t>S G L CAMBODIA</t>
        </is>
      </c>
      <c r="F308" s="10" t="inlineStr">
        <is>
          <t>100119816</t>
        </is>
      </c>
      <c r="G308" s="20" t="inlineStr">
        <is>
          <t>437519</t>
        </is>
      </c>
      <c r="H308" s="670" t="n">
        <v>41746</v>
      </c>
      <c r="I308" s="693" t="n">
        <v>68.84999999999999</v>
      </c>
      <c r="J308" s="9" t="n"/>
    </row>
    <row r="309" ht="18" customHeight="1" s="408">
      <c r="A309" s="33" t="n">
        <v>304</v>
      </c>
      <c r="B309" s="20" t="inlineStr">
        <is>
          <t>437530</t>
        </is>
      </c>
      <c r="C309" s="670" t="n">
        <v>41746</v>
      </c>
      <c r="D309" s="693" t="n">
        <v>58.6</v>
      </c>
      <c r="E309" s="11" t="inlineStr">
        <is>
          <t>S G L CAMBODIA</t>
        </is>
      </c>
      <c r="F309" s="10" t="inlineStr">
        <is>
          <t>100119816</t>
        </is>
      </c>
      <c r="G309" s="20" t="inlineStr">
        <is>
          <t>437530</t>
        </is>
      </c>
      <c r="H309" s="670" t="n">
        <v>41746</v>
      </c>
      <c r="I309" s="693" t="n">
        <v>58.6</v>
      </c>
      <c r="J309" s="9" t="n"/>
    </row>
    <row r="310" ht="18" customHeight="1" s="408">
      <c r="A310" s="33" t="n">
        <v>305</v>
      </c>
      <c r="B310" s="20" t="inlineStr">
        <is>
          <t>437552</t>
        </is>
      </c>
      <c r="C310" s="670" t="n">
        <v>41746</v>
      </c>
      <c r="D310" s="693" t="n">
        <v>31.67</v>
      </c>
      <c r="E310" s="11" t="inlineStr">
        <is>
          <t>S G L CAMBODIA</t>
        </is>
      </c>
      <c r="F310" s="10" t="inlineStr">
        <is>
          <t>100119816</t>
        </is>
      </c>
      <c r="G310" s="20" t="inlineStr">
        <is>
          <t>437552</t>
        </is>
      </c>
      <c r="H310" s="670" t="n">
        <v>41746</v>
      </c>
      <c r="I310" s="693" t="n">
        <v>31.67</v>
      </c>
      <c r="J310" s="9" t="n"/>
    </row>
    <row r="311" ht="18" customHeight="1" s="408">
      <c r="A311" s="33" t="n">
        <v>306</v>
      </c>
      <c r="B311" s="20" t="inlineStr">
        <is>
          <t>437588</t>
        </is>
      </c>
      <c r="C311" s="670" t="n">
        <v>41746</v>
      </c>
      <c r="D311" s="693" t="n">
        <v>63.52</v>
      </c>
      <c r="E311" s="11" t="inlineStr">
        <is>
          <t>S G L CAMBODIA</t>
        </is>
      </c>
      <c r="F311" s="10" t="inlineStr">
        <is>
          <t>100119816</t>
        </is>
      </c>
      <c r="G311" s="20" t="inlineStr">
        <is>
          <t>437588</t>
        </is>
      </c>
      <c r="H311" s="670" t="n">
        <v>41746</v>
      </c>
      <c r="I311" s="693" t="n">
        <v>63.52</v>
      </c>
      <c r="J311" s="9" t="n"/>
    </row>
    <row r="312" ht="18" customHeight="1" s="408">
      <c r="A312" s="33" t="n">
        <v>307</v>
      </c>
      <c r="B312" s="20" t="inlineStr">
        <is>
          <t>437613</t>
        </is>
      </c>
      <c r="C312" s="670" t="n">
        <v>41750</v>
      </c>
      <c r="D312" s="693" t="n">
        <v>5.8</v>
      </c>
      <c r="E312" s="11" t="inlineStr">
        <is>
          <t>S G L CAMBODIA</t>
        </is>
      </c>
      <c r="F312" s="10" t="inlineStr">
        <is>
          <t>100119816</t>
        </is>
      </c>
      <c r="G312" s="20" t="inlineStr">
        <is>
          <t>437613</t>
        </is>
      </c>
      <c r="H312" s="670" t="n">
        <v>41750</v>
      </c>
      <c r="I312" s="693" t="n">
        <v>5.8</v>
      </c>
      <c r="J312" s="9" t="n"/>
    </row>
    <row r="313" ht="18" customHeight="1" s="408">
      <c r="A313" s="33" t="n">
        <v>308</v>
      </c>
      <c r="B313" s="20" t="inlineStr">
        <is>
          <t>437619</t>
        </is>
      </c>
      <c r="C313" s="670" t="n">
        <v>41750</v>
      </c>
      <c r="D313" s="693" t="n">
        <v>24.38</v>
      </c>
      <c r="E313" s="11" t="inlineStr">
        <is>
          <t>S G L CAMBODIA</t>
        </is>
      </c>
      <c r="F313" s="10" t="inlineStr">
        <is>
          <t>100119816</t>
        </is>
      </c>
      <c r="G313" s="20" t="inlineStr">
        <is>
          <t>437619</t>
        </is>
      </c>
      <c r="H313" s="670" t="n">
        <v>41750</v>
      </c>
      <c r="I313" s="693" t="n">
        <v>24.38</v>
      </c>
      <c r="J313" s="9" t="n"/>
    </row>
    <row r="314" ht="18" customHeight="1" s="408">
      <c r="A314" s="33" t="n">
        <v>309</v>
      </c>
      <c r="B314" s="20" t="inlineStr">
        <is>
          <t>437625</t>
        </is>
      </c>
      <c r="C314" s="670" t="n">
        <v>41750</v>
      </c>
      <c r="D314" s="693" t="n">
        <v>33.02</v>
      </c>
      <c r="E314" s="11" t="inlineStr">
        <is>
          <t>S G L CAMBODIA</t>
        </is>
      </c>
      <c r="F314" s="10" t="inlineStr">
        <is>
          <t>100119816</t>
        </is>
      </c>
      <c r="G314" s="20" t="inlineStr">
        <is>
          <t>437625</t>
        </is>
      </c>
      <c r="H314" s="670" t="n">
        <v>41750</v>
      </c>
      <c r="I314" s="693" t="n">
        <v>33.02</v>
      </c>
      <c r="J314" s="9" t="n"/>
    </row>
    <row r="315" ht="18" customHeight="1" s="408">
      <c r="A315" s="33" t="n">
        <v>310</v>
      </c>
      <c r="B315" s="20" t="inlineStr">
        <is>
          <t>437640</t>
        </is>
      </c>
      <c r="C315" s="670" t="n">
        <v>41750</v>
      </c>
      <c r="D315" s="693" t="n">
        <v>35.47</v>
      </c>
      <c r="E315" s="11" t="inlineStr">
        <is>
          <t>S G L CAMBODIA</t>
        </is>
      </c>
      <c r="F315" s="10" t="inlineStr">
        <is>
          <t>100119816</t>
        </is>
      </c>
      <c r="G315" s="20" t="inlineStr">
        <is>
          <t>437640</t>
        </is>
      </c>
      <c r="H315" s="670" t="n">
        <v>41750</v>
      </c>
      <c r="I315" s="693" t="n">
        <v>35.47</v>
      </c>
      <c r="J315" s="9" t="n"/>
    </row>
    <row r="316" ht="18" customHeight="1" s="408">
      <c r="A316" s="33" t="n">
        <v>311</v>
      </c>
      <c r="B316" s="20" t="inlineStr">
        <is>
          <t>437731</t>
        </is>
      </c>
      <c r="C316" s="670" t="n">
        <v>41757</v>
      </c>
      <c r="D316" s="693" t="n">
        <v>24.67</v>
      </c>
      <c r="E316" s="11" t="inlineStr">
        <is>
          <t>S G L CAMBODIA</t>
        </is>
      </c>
      <c r="F316" s="10" t="inlineStr">
        <is>
          <t>100119816</t>
        </is>
      </c>
      <c r="G316" s="20" t="inlineStr">
        <is>
          <t>437731</t>
        </is>
      </c>
      <c r="H316" s="670" t="n">
        <v>41757</v>
      </c>
      <c r="I316" s="693" t="n">
        <v>24.67</v>
      </c>
      <c r="J316" s="9" t="n"/>
    </row>
    <row r="317" ht="18" customHeight="1" s="408">
      <c r="A317" s="33" t="n">
        <v>312</v>
      </c>
      <c r="B317" s="20" t="inlineStr">
        <is>
          <t>437734</t>
        </is>
      </c>
      <c r="C317" s="670" t="n">
        <v>41757</v>
      </c>
      <c r="D317" s="693" t="n">
        <v>36.38</v>
      </c>
      <c r="E317" s="11" t="inlineStr">
        <is>
          <t>S G L CAMBODIA</t>
        </is>
      </c>
      <c r="F317" s="10" t="inlineStr">
        <is>
          <t>100119816</t>
        </is>
      </c>
      <c r="G317" s="20" t="inlineStr">
        <is>
          <t>437734</t>
        </is>
      </c>
      <c r="H317" s="670" t="n">
        <v>41757</v>
      </c>
      <c r="I317" s="693" t="n">
        <v>36.38</v>
      </c>
      <c r="J317" s="9" t="n"/>
    </row>
    <row r="318" ht="18" customHeight="1" s="408">
      <c r="A318" s="33" t="n">
        <v>313</v>
      </c>
      <c r="B318" s="20" t="inlineStr">
        <is>
          <t>437766</t>
        </is>
      </c>
      <c r="C318" s="670" t="n">
        <v>41757</v>
      </c>
      <c r="D318" s="693" t="n">
        <v>26.29</v>
      </c>
      <c r="E318" s="11" t="inlineStr">
        <is>
          <t>S G L CAMBODIA</t>
        </is>
      </c>
      <c r="F318" s="10" t="inlineStr">
        <is>
          <t>100119816</t>
        </is>
      </c>
      <c r="G318" s="20" t="inlineStr">
        <is>
          <t>437766</t>
        </is>
      </c>
      <c r="H318" s="670" t="n">
        <v>41757</v>
      </c>
      <c r="I318" s="693" t="n">
        <v>26.29</v>
      </c>
      <c r="J318" s="9" t="n"/>
    </row>
    <row r="319" ht="18" customHeight="1" s="408">
      <c r="A319" s="33" t="n">
        <v>314</v>
      </c>
      <c r="B319" s="20" t="inlineStr">
        <is>
          <t>437790</t>
        </is>
      </c>
      <c r="C319" s="670" t="n">
        <v>41759</v>
      </c>
      <c r="D319" s="693" t="n">
        <v>5</v>
      </c>
      <c r="E319" s="11" t="inlineStr">
        <is>
          <t>S G L CAMBODIA</t>
        </is>
      </c>
      <c r="F319" s="10" t="inlineStr">
        <is>
          <t>100119816</t>
        </is>
      </c>
      <c r="G319" s="20" t="inlineStr">
        <is>
          <t>437790</t>
        </is>
      </c>
      <c r="H319" s="670" t="n">
        <v>41759</v>
      </c>
      <c r="I319" s="693" t="n">
        <v>5</v>
      </c>
      <c r="J319" s="9" t="n"/>
    </row>
    <row r="320" ht="18" customHeight="1" s="408">
      <c r="A320" s="33" t="n">
        <v>315</v>
      </c>
      <c r="B320" s="23" t="inlineStr">
        <is>
          <t>437859</t>
        </is>
      </c>
      <c r="C320" s="670" t="n">
        <v>41765</v>
      </c>
      <c r="D320" s="693" t="n">
        <v>22.99</v>
      </c>
      <c r="E320" s="11" t="inlineStr">
        <is>
          <t>S G L CAMBODIA</t>
        </is>
      </c>
      <c r="F320" s="10" t="inlineStr">
        <is>
          <t>100119816</t>
        </is>
      </c>
      <c r="G320" s="23" t="inlineStr">
        <is>
          <t>437859</t>
        </is>
      </c>
      <c r="H320" s="670" t="n">
        <v>41765</v>
      </c>
      <c r="I320" s="693" t="n">
        <v>22.99</v>
      </c>
      <c r="J320" s="9" t="n"/>
    </row>
    <row r="321" ht="18" customHeight="1" s="408">
      <c r="A321" s="33" t="n">
        <v>316</v>
      </c>
      <c r="B321" s="23" t="inlineStr">
        <is>
          <t>437911</t>
        </is>
      </c>
      <c r="C321" s="670" t="n">
        <v>41765</v>
      </c>
      <c r="D321" s="693" t="n">
        <v>41.9</v>
      </c>
      <c r="E321" s="11" t="inlineStr">
        <is>
          <t>S G L CAMBODIA</t>
        </is>
      </c>
      <c r="F321" s="10" t="inlineStr">
        <is>
          <t>100119816</t>
        </is>
      </c>
      <c r="G321" s="23" t="inlineStr">
        <is>
          <t>437911</t>
        </is>
      </c>
      <c r="H321" s="670" t="n">
        <v>41765</v>
      </c>
      <c r="I321" s="693" t="n">
        <v>41.9</v>
      </c>
      <c r="J321" s="9" t="n"/>
    </row>
    <row r="322" ht="18" customHeight="1" s="408">
      <c r="A322" s="33" t="n">
        <v>317</v>
      </c>
      <c r="B322" s="23" t="inlineStr">
        <is>
          <t>449556</t>
        </is>
      </c>
      <c r="C322" s="670" t="n">
        <v>41765</v>
      </c>
      <c r="D322" s="693" t="n">
        <v>27.55</v>
      </c>
      <c r="E322" s="11" t="inlineStr">
        <is>
          <t>S G L CAMBODIA</t>
        </is>
      </c>
      <c r="F322" s="10" t="inlineStr">
        <is>
          <t>100119816</t>
        </is>
      </c>
      <c r="G322" s="23" t="inlineStr">
        <is>
          <t>449556</t>
        </is>
      </c>
      <c r="H322" s="670" t="n">
        <v>41765</v>
      </c>
      <c r="I322" s="693" t="n">
        <v>27.55</v>
      </c>
      <c r="J322" s="9" t="n"/>
    </row>
    <row r="323" ht="18" customHeight="1" s="408">
      <c r="A323" s="33" t="n">
        <v>318</v>
      </c>
      <c r="B323" s="23" t="inlineStr">
        <is>
          <t>437956</t>
        </is>
      </c>
      <c r="C323" s="670" t="n">
        <v>41766</v>
      </c>
      <c r="D323" s="693" t="n">
        <v>82.68000000000001</v>
      </c>
      <c r="E323" s="11" t="inlineStr">
        <is>
          <t>S G L CAMBODIA</t>
        </is>
      </c>
      <c r="F323" s="10" t="inlineStr">
        <is>
          <t>100119816</t>
        </is>
      </c>
      <c r="G323" s="23" t="inlineStr">
        <is>
          <t>437956</t>
        </is>
      </c>
      <c r="H323" s="670" t="n">
        <v>41766</v>
      </c>
      <c r="I323" s="693" t="n">
        <v>82.68000000000001</v>
      </c>
      <c r="J323" s="9" t="n"/>
    </row>
    <row r="324" ht="18" customHeight="1" s="408">
      <c r="A324" s="33" t="n">
        <v>319</v>
      </c>
      <c r="B324" s="23" t="inlineStr">
        <is>
          <t>438072</t>
        </is>
      </c>
      <c r="C324" s="670" t="n">
        <v>41771</v>
      </c>
      <c r="D324" s="693" t="n">
        <v>50.65</v>
      </c>
      <c r="E324" s="11" t="inlineStr">
        <is>
          <t>S G L CAMBODIA</t>
        </is>
      </c>
      <c r="F324" s="10" t="inlineStr">
        <is>
          <t>100119816</t>
        </is>
      </c>
      <c r="G324" s="23" t="inlineStr">
        <is>
          <t>438072</t>
        </is>
      </c>
      <c r="H324" s="670" t="n">
        <v>41771</v>
      </c>
      <c r="I324" s="693" t="n">
        <v>50.65</v>
      </c>
      <c r="J324" s="9" t="n"/>
    </row>
    <row r="325" ht="18" customHeight="1" s="408">
      <c r="A325" s="33" t="n">
        <v>320</v>
      </c>
      <c r="B325" s="23" t="inlineStr">
        <is>
          <t>438047</t>
        </is>
      </c>
      <c r="C325" s="670" t="n">
        <v>41771</v>
      </c>
      <c r="D325" s="693" t="n">
        <v>22.3</v>
      </c>
      <c r="E325" s="11" t="inlineStr">
        <is>
          <t>S G L CAMBODIA</t>
        </is>
      </c>
      <c r="F325" s="10" t="inlineStr">
        <is>
          <t>100119816</t>
        </is>
      </c>
      <c r="G325" s="23" t="inlineStr">
        <is>
          <t>438047</t>
        </is>
      </c>
      <c r="H325" s="670" t="n">
        <v>41771</v>
      </c>
      <c r="I325" s="693" t="n">
        <v>22.3</v>
      </c>
      <c r="J325" s="9" t="n"/>
    </row>
    <row r="326" ht="18" customHeight="1" s="408">
      <c r="A326" s="33" t="n">
        <v>321</v>
      </c>
      <c r="B326" s="23" t="inlineStr">
        <is>
          <t>438111</t>
        </is>
      </c>
      <c r="C326" s="670" t="n">
        <v>41772</v>
      </c>
      <c r="D326" s="693" t="n">
        <v>22.3</v>
      </c>
      <c r="E326" s="11" t="inlineStr">
        <is>
          <t>S G L CAMBODIA</t>
        </is>
      </c>
      <c r="F326" s="10" t="inlineStr">
        <is>
          <t>100119816</t>
        </is>
      </c>
      <c r="G326" s="23" t="inlineStr">
        <is>
          <t>438111</t>
        </is>
      </c>
      <c r="H326" s="670" t="n">
        <v>41772</v>
      </c>
      <c r="I326" s="693" t="n">
        <v>22.3</v>
      </c>
      <c r="J326" s="9" t="n"/>
    </row>
    <row r="327" ht="18" customHeight="1" s="408">
      <c r="A327" s="33" t="n">
        <v>322</v>
      </c>
      <c r="B327" s="23" t="inlineStr">
        <is>
          <t>438105</t>
        </is>
      </c>
      <c r="C327" s="670" t="n">
        <v>41772</v>
      </c>
      <c r="D327" s="693" t="n">
        <v>22.32</v>
      </c>
      <c r="E327" s="11" t="inlineStr">
        <is>
          <t>S G L CAMBODIA</t>
        </is>
      </c>
      <c r="F327" s="10" t="inlineStr">
        <is>
          <t>100119816</t>
        </is>
      </c>
      <c r="G327" s="23" t="inlineStr">
        <is>
          <t>438105</t>
        </is>
      </c>
      <c r="H327" s="670" t="n">
        <v>41772</v>
      </c>
      <c r="I327" s="693" t="n">
        <v>22.32</v>
      </c>
      <c r="J327" s="9" t="n"/>
    </row>
    <row r="328" ht="18" customHeight="1" s="408">
      <c r="A328" s="33" t="n">
        <v>323</v>
      </c>
      <c r="B328" s="23" t="inlineStr">
        <is>
          <t>438175</t>
        </is>
      </c>
      <c r="C328" s="670" t="n">
        <v>41778</v>
      </c>
      <c r="D328" s="693" t="n">
        <v>22.3</v>
      </c>
      <c r="E328" s="11" t="inlineStr">
        <is>
          <t>S G L CAMBODIA</t>
        </is>
      </c>
      <c r="F328" s="10" t="inlineStr">
        <is>
          <t>100119816</t>
        </is>
      </c>
      <c r="G328" s="23" t="inlineStr">
        <is>
          <t>438175</t>
        </is>
      </c>
      <c r="H328" s="670" t="n">
        <v>41778</v>
      </c>
      <c r="I328" s="693" t="n">
        <v>22.3</v>
      </c>
      <c r="J328" s="9" t="n"/>
    </row>
    <row r="329" ht="18" customHeight="1" s="408">
      <c r="A329" s="33" t="n">
        <v>324</v>
      </c>
      <c r="B329" s="23" t="inlineStr">
        <is>
          <t>438204</t>
        </is>
      </c>
      <c r="C329" s="670" t="n">
        <v>41779</v>
      </c>
      <c r="D329" s="693" t="n">
        <v>27.35</v>
      </c>
      <c r="E329" s="11" t="inlineStr">
        <is>
          <t>S G L CAMBODIA</t>
        </is>
      </c>
      <c r="F329" s="10" t="inlineStr">
        <is>
          <t>100119816</t>
        </is>
      </c>
      <c r="G329" s="23" t="inlineStr">
        <is>
          <t>438204</t>
        </is>
      </c>
      <c r="H329" s="670" t="n">
        <v>41779</v>
      </c>
      <c r="I329" s="693" t="n">
        <v>27.35</v>
      </c>
      <c r="J329" s="9" t="n"/>
    </row>
    <row r="330" ht="18" customHeight="1" s="408">
      <c r="A330" s="33" t="n">
        <v>325</v>
      </c>
      <c r="B330" s="23" t="inlineStr">
        <is>
          <t>438229</t>
        </is>
      </c>
      <c r="C330" s="670" t="n">
        <v>41779</v>
      </c>
      <c r="D330" s="693" t="n">
        <v>29.44</v>
      </c>
      <c r="E330" s="11" t="inlineStr">
        <is>
          <t>S G L CAMBODIA</t>
        </is>
      </c>
      <c r="F330" s="10" t="inlineStr">
        <is>
          <t>100119816</t>
        </is>
      </c>
      <c r="G330" s="23" t="inlineStr">
        <is>
          <t>438229</t>
        </is>
      </c>
      <c r="H330" s="670" t="n">
        <v>41779</v>
      </c>
      <c r="I330" s="693" t="n">
        <v>29.44</v>
      </c>
      <c r="J330" s="9" t="n"/>
    </row>
    <row r="331" ht="18" customHeight="1" s="408">
      <c r="A331" s="33" t="n">
        <v>326</v>
      </c>
      <c r="B331" s="23" t="inlineStr">
        <is>
          <t>438300</t>
        </is>
      </c>
      <c r="C331" s="670" t="n">
        <v>41786</v>
      </c>
      <c r="D331" s="693" t="n">
        <v>28.01</v>
      </c>
      <c r="E331" s="11" t="inlineStr">
        <is>
          <t>S G L CAMBODIA</t>
        </is>
      </c>
      <c r="F331" s="10" t="inlineStr">
        <is>
          <t>100119816</t>
        </is>
      </c>
      <c r="G331" s="23" t="inlineStr">
        <is>
          <t>438300</t>
        </is>
      </c>
      <c r="H331" s="670" t="n">
        <v>41786</v>
      </c>
      <c r="I331" s="693" t="n">
        <v>28.01</v>
      </c>
      <c r="J331" s="9" t="n"/>
    </row>
    <row r="332" ht="18" customHeight="1" s="408">
      <c r="A332" s="33" t="n">
        <v>327</v>
      </c>
      <c r="B332" s="24" t="inlineStr">
        <is>
          <t>438410</t>
        </is>
      </c>
      <c r="C332" s="670" t="n">
        <v>41793</v>
      </c>
      <c r="D332" s="693" t="n">
        <v>22.1</v>
      </c>
      <c r="E332" s="11" t="inlineStr">
        <is>
          <t>S G L CAMBODIA</t>
        </is>
      </c>
      <c r="F332" s="10" t="inlineStr">
        <is>
          <t>100119816</t>
        </is>
      </c>
      <c r="G332" s="24" t="inlineStr">
        <is>
          <t>438410</t>
        </is>
      </c>
      <c r="H332" s="670" t="n">
        <v>41793</v>
      </c>
      <c r="I332" s="693" t="n">
        <v>22.1</v>
      </c>
      <c r="J332" s="9" t="n"/>
    </row>
    <row r="333" ht="18" customHeight="1" s="408">
      <c r="A333" s="33" t="n">
        <v>328</v>
      </c>
      <c r="B333" s="24" t="inlineStr">
        <is>
          <t>438441</t>
        </is>
      </c>
      <c r="C333" s="670" t="n">
        <v>41793</v>
      </c>
      <c r="D333" s="693" t="n">
        <v>30.9</v>
      </c>
      <c r="E333" s="11" t="inlineStr">
        <is>
          <t>S G L CAMBODIA</t>
        </is>
      </c>
      <c r="F333" s="10" t="inlineStr">
        <is>
          <t>100119816</t>
        </is>
      </c>
      <c r="G333" s="24" t="inlineStr">
        <is>
          <t>438441</t>
        </is>
      </c>
      <c r="H333" s="670" t="n">
        <v>41793</v>
      </c>
      <c r="I333" s="693" t="n">
        <v>30.9</v>
      </c>
      <c r="J333" s="9" t="n"/>
    </row>
    <row r="334" ht="18" customHeight="1" s="408">
      <c r="A334" s="33" t="n">
        <v>329</v>
      </c>
      <c r="B334" s="24" t="inlineStr">
        <is>
          <t>438454</t>
        </is>
      </c>
      <c r="C334" s="670" t="n">
        <v>41793</v>
      </c>
      <c r="D334" s="693" t="n">
        <v>45.25</v>
      </c>
      <c r="E334" s="11" t="inlineStr">
        <is>
          <t>S G L CAMBODIA</t>
        </is>
      </c>
      <c r="F334" s="10" t="inlineStr">
        <is>
          <t>100119816</t>
        </is>
      </c>
      <c r="G334" s="24" t="inlineStr">
        <is>
          <t>438454</t>
        </is>
      </c>
      <c r="H334" s="670" t="n">
        <v>41793</v>
      </c>
      <c r="I334" s="693" t="n">
        <v>45.25</v>
      </c>
      <c r="J334" s="9" t="n"/>
    </row>
    <row r="335" ht="18" customHeight="1" s="408">
      <c r="A335" s="33" t="n">
        <v>330</v>
      </c>
      <c r="B335" s="24" t="inlineStr">
        <is>
          <t>438563</t>
        </is>
      </c>
      <c r="C335" s="670" t="n">
        <v>41799</v>
      </c>
      <c r="D335" s="693" t="n">
        <v>31.74</v>
      </c>
      <c r="E335" s="11" t="inlineStr">
        <is>
          <t>S G L CAMBODIA</t>
        </is>
      </c>
      <c r="F335" s="10" t="inlineStr">
        <is>
          <t>100119816</t>
        </is>
      </c>
      <c r="G335" s="24" t="inlineStr">
        <is>
          <t>438563</t>
        </is>
      </c>
      <c r="H335" s="670" t="n">
        <v>41799</v>
      </c>
      <c r="I335" s="693" t="n">
        <v>31.74</v>
      </c>
      <c r="J335" s="9" t="n"/>
    </row>
    <row r="336" ht="18" customHeight="1" s="408">
      <c r="A336" s="33" t="n">
        <v>331</v>
      </c>
      <c r="B336" s="24" t="inlineStr">
        <is>
          <t>438588</t>
        </is>
      </c>
      <c r="C336" s="670" t="n">
        <v>41799</v>
      </c>
      <c r="D336" s="693" t="n">
        <v>104.78</v>
      </c>
      <c r="E336" s="11" t="inlineStr">
        <is>
          <t>S G L CAMBODIA</t>
        </is>
      </c>
      <c r="F336" s="10" t="inlineStr">
        <is>
          <t>100119816</t>
        </is>
      </c>
      <c r="G336" s="24" t="inlineStr">
        <is>
          <t>438588</t>
        </is>
      </c>
      <c r="H336" s="670" t="n">
        <v>41799</v>
      </c>
      <c r="I336" s="693" t="n">
        <v>104.78</v>
      </c>
      <c r="J336" s="9" t="n"/>
    </row>
    <row r="337" ht="18" customHeight="1" s="408">
      <c r="A337" s="33" t="n">
        <v>332</v>
      </c>
      <c r="B337" s="24" t="inlineStr">
        <is>
          <t>438599</t>
        </is>
      </c>
      <c r="C337" s="670" t="n">
        <v>41800</v>
      </c>
      <c r="D337" s="693" t="n">
        <v>32.6</v>
      </c>
      <c r="E337" s="11" t="inlineStr">
        <is>
          <t>S G L CAMBODIA</t>
        </is>
      </c>
      <c r="F337" s="10" t="inlineStr">
        <is>
          <t>100119816</t>
        </is>
      </c>
      <c r="G337" s="24" t="inlineStr">
        <is>
          <t>438599</t>
        </is>
      </c>
      <c r="H337" s="670" t="n">
        <v>41800</v>
      </c>
      <c r="I337" s="693" t="n">
        <v>32.6</v>
      </c>
      <c r="J337" s="9" t="n"/>
    </row>
    <row r="338" ht="18" customHeight="1" s="408">
      <c r="A338" s="33" t="n">
        <v>333</v>
      </c>
      <c r="B338" s="24" t="inlineStr">
        <is>
          <t>438628</t>
        </is>
      </c>
      <c r="C338" s="670" t="n">
        <v>41800</v>
      </c>
      <c r="D338" s="693" t="n">
        <v>42.96</v>
      </c>
      <c r="E338" s="11" t="inlineStr">
        <is>
          <t>S G L CAMBODIA</t>
        </is>
      </c>
      <c r="F338" s="10" t="inlineStr">
        <is>
          <t>100119816</t>
        </is>
      </c>
      <c r="G338" s="24" t="inlineStr">
        <is>
          <t>438628</t>
        </is>
      </c>
      <c r="H338" s="670" t="n">
        <v>41800</v>
      </c>
      <c r="I338" s="693" t="n">
        <v>42.96</v>
      </c>
      <c r="J338" s="9" t="n"/>
    </row>
    <row r="339" ht="18" customHeight="1" s="408">
      <c r="A339" s="33" t="n">
        <v>334</v>
      </c>
      <c r="B339" s="24" t="inlineStr">
        <is>
          <t>438639</t>
        </is>
      </c>
      <c r="C339" s="670" t="n">
        <v>41800</v>
      </c>
      <c r="D339" s="693" t="n">
        <v>112.27</v>
      </c>
      <c r="E339" s="11" t="inlineStr">
        <is>
          <t>S G L CAMBODIA</t>
        </is>
      </c>
      <c r="F339" s="10" t="inlineStr">
        <is>
          <t>100119816</t>
        </is>
      </c>
      <c r="G339" s="24" t="inlineStr">
        <is>
          <t>438639</t>
        </is>
      </c>
      <c r="H339" s="670" t="n">
        <v>41800</v>
      </c>
      <c r="I339" s="693" t="n">
        <v>112.27</v>
      </c>
      <c r="J339" s="9" t="n"/>
    </row>
    <row r="340" ht="18" customHeight="1" s="408">
      <c r="A340" s="33" t="n">
        <v>335</v>
      </c>
      <c r="B340" s="24" t="inlineStr">
        <is>
          <t>438661</t>
        </is>
      </c>
      <c r="C340" s="670" t="n">
        <v>41800</v>
      </c>
      <c r="D340" s="693" t="n">
        <v>31.53</v>
      </c>
      <c r="E340" s="11" t="inlineStr">
        <is>
          <t>S G L CAMBODIA</t>
        </is>
      </c>
      <c r="F340" s="10" t="inlineStr">
        <is>
          <t>100119816</t>
        </is>
      </c>
      <c r="G340" s="24" t="inlineStr">
        <is>
          <t>438661</t>
        </is>
      </c>
      <c r="H340" s="670" t="n">
        <v>41800</v>
      </c>
      <c r="I340" s="693" t="n">
        <v>31.53</v>
      </c>
      <c r="J340" s="9" t="n"/>
    </row>
    <row r="341" ht="18" customHeight="1" s="408">
      <c r="A341" s="33" t="n">
        <v>336</v>
      </c>
      <c r="B341" s="24" t="inlineStr">
        <is>
          <t>438681</t>
        </is>
      </c>
      <c r="C341" s="670" t="n">
        <v>41800</v>
      </c>
      <c r="D341" s="693" t="n">
        <v>35.45</v>
      </c>
      <c r="E341" s="11" t="inlineStr">
        <is>
          <t>S G L CAMBODIA</t>
        </is>
      </c>
      <c r="F341" s="10" t="inlineStr">
        <is>
          <t>100119816</t>
        </is>
      </c>
      <c r="G341" s="24" t="inlineStr">
        <is>
          <t>438681</t>
        </is>
      </c>
      <c r="H341" s="670" t="n">
        <v>41800</v>
      </c>
      <c r="I341" s="693" t="n">
        <v>35.45</v>
      </c>
      <c r="J341" s="9" t="n"/>
    </row>
    <row r="342" ht="18" customHeight="1" s="408">
      <c r="A342" s="33" t="n">
        <v>337</v>
      </c>
      <c r="B342" s="24" t="inlineStr">
        <is>
          <t>438820</t>
        </is>
      </c>
      <c r="C342" s="670" t="n">
        <v>41806</v>
      </c>
      <c r="D342" s="693" t="n">
        <v>29.64</v>
      </c>
      <c r="E342" s="11" t="inlineStr">
        <is>
          <t>S G L CAMBODIA</t>
        </is>
      </c>
      <c r="F342" s="10" t="inlineStr">
        <is>
          <t>100119816</t>
        </is>
      </c>
      <c r="G342" s="24" t="inlineStr">
        <is>
          <t>438820</t>
        </is>
      </c>
      <c r="H342" s="670" t="n">
        <v>41806</v>
      </c>
      <c r="I342" s="693" t="n">
        <v>29.64</v>
      </c>
      <c r="J342" s="9" t="n"/>
    </row>
    <row r="343" ht="18" customHeight="1" s="408">
      <c r="A343" s="33" t="n">
        <v>338</v>
      </c>
      <c r="B343" s="24" t="inlineStr">
        <is>
          <t>438839</t>
        </is>
      </c>
      <c r="C343" s="670" t="n">
        <v>41806</v>
      </c>
      <c r="D343" s="693" t="n">
        <v>63.68</v>
      </c>
      <c r="E343" s="11" t="inlineStr">
        <is>
          <t>S G L CAMBODIA</t>
        </is>
      </c>
      <c r="F343" s="10" t="inlineStr">
        <is>
          <t>100119816</t>
        </is>
      </c>
      <c r="G343" s="24" t="inlineStr">
        <is>
          <t>438839</t>
        </is>
      </c>
      <c r="H343" s="670" t="n">
        <v>41806</v>
      </c>
      <c r="I343" s="693" t="n">
        <v>63.68</v>
      </c>
      <c r="J343" s="9" t="n"/>
    </row>
    <row r="344" ht="18" customHeight="1" s="408">
      <c r="A344" s="33" t="n">
        <v>341</v>
      </c>
      <c r="B344" s="24" t="inlineStr">
        <is>
          <t>438852</t>
        </is>
      </c>
      <c r="C344" s="670" t="n">
        <v>41807</v>
      </c>
      <c r="D344" s="693" t="n">
        <v>77.8</v>
      </c>
      <c r="E344" s="11" t="inlineStr">
        <is>
          <t>S G L CAMBODIA</t>
        </is>
      </c>
      <c r="F344" s="10" t="inlineStr">
        <is>
          <t>100119816</t>
        </is>
      </c>
      <c r="G344" s="24" t="inlineStr">
        <is>
          <t>438852</t>
        </is>
      </c>
      <c r="H344" s="670" t="n">
        <v>41807</v>
      </c>
      <c r="I344" s="693" t="n">
        <v>77.8</v>
      </c>
      <c r="J344" s="9" t="n"/>
    </row>
    <row r="345" ht="18" customHeight="1" s="408">
      <c r="A345" s="33" t="n">
        <v>342</v>
      </c>
      <c r="B345" s="24" t="inlineStr">
        <is>
          <t>438870</t>
        </is>
      </c>
      <c r="C345" s="670" t="n">
        <v>41807</v>
      </c>
      <c r="D345" s="693" t="n">
        <v>36.52</v>
      </c>
      <c r="E345" s="11" t="inlineStr">
        <is>
          <t>S G L CAMBODIA</t>
        </is>
      </c>
      <c r="F345" s="10" t="inlineStr">
        <is>
          <t>100119816</t>
        </is>
      </c>
      <c r="G345" s="24" t="inlineStr">
        <is>
          <t>438870</t>
        </is>
      </c>
      <c r="H345" s="670" t="n">
        <v>41807</v>
      </c>
      <c r="I345" s="693" t="n">
        <v>36.52</v>
      </c>
      <c r="J345" s="9" t="n"/>
    </row>
    <row r="346" ht="18" customHeight="1" s="408">
      <c r="A346" s="33" t="n">
        <v>343</v>
      </c>
      <c r="B346" s="24" t="inlineStr">
        <is>
          <t>438882</t>
        </is>
      </c>
      <c r="C346" s="670" t="n">
        <v>41807</v>
      </c>
      <c r="D346" s="693" t="n">
        <v>6.5</v>
      </c>
      <c r="E346" s="11" t="inlineStr">
        <is>
          <t>S G L CAMBODIA</t>
        </is>
      </c>
      <c r="F346" s="10" t="inlineStr">
        <is>
          <t>100119816</t>
        </is>
      </c>
      <c r="G346" s="24" t="inlineStr">
        <is>
          <t>438882</t>
        </is>
      </c>
      <c r="H346" s="670" t="n">
        <v>41807</v>
      </c>
      <c r="I346" s="693" t="n">
        <v>6.5</v>
      </c>
      <c r="J346" s="9" t="n"/>
    </row>
    <row r="347" ht="18" customHeight="1" s="408">
      <c r="A347" s="33" t="n">
        <v>344</v>
      </c>
      <c r="B347" s="24" t="inlineStr">
        <is>
          <t>438890</t>
        </is>
      </c>
      <c r="C347" s="670" t="n">
        <v>41807</v>
      </c>
      <c r="D347" s="693" t="n">
        <v>27.35</v>
      </c>
      <c r="E347" s="11" t="inlineStr">
        <is>
          <t>S G L CAMBODIA</t>
        </is>
      </c>
      <c r="F347" s="10" t="inlineStr">
        <is>
          <t>100119816</t>
        </is>
      </c>
      <c r="G347" s="24" t="inlineStr">
        <is>
          <t>438890</t>
        </is>
      </c>
      <c r="H347" s="670" t="n">
        <v>41807</v>
      </c>
      <c r="I347" s="693" t="n">
        <v>27.35</v>
      </c>
      <c r="J347" s="9" t="n"/>
    </row>
    <row r="348" ht="18" customHeight="1" s="408">
      <c r="A348" s="33" t="n">
        <v>345</v>
      </c>
      <c r="B348" s="24" t="inlineStr">
        <is>
          <t>438944</t>
        </is>
      </c>
      <c r="C348" s="670" t="n">
        <v>41809</v>
      </c>
      <c r="D348" s="693" t="n">
        <v>6.5</v>
      </c>
      <c r="E348" s="11" t="inlineStr">
        <is>
          <t>S G L CAMBODIA</t>
        </is>
      </c>
      <c r="F348" s="10" t="inlineStr">
        <is>
          <t>100119816</t>
        </is>
      </c>
      <c r="G348" s="24" t="inlineStr">
        <is>
          <t>438944</t>
        </is>
      </c>
      <c r="H348" s="670" t="n">
        <v>41809</v>
      </c>
      <c r="I348" s="693" t="n">
        <v>6.5</v>
      </c>
      <c r="J348" s="9" t="n"/>
    </row>
    <row r="349" ht="18" customHeight="1" s="408">
      <c r="A349" s="33" t="n">
        <v>346</v>
      </c>
      <c r="B349" s="24" t="inlineStr">
        <is>
          <t>438952</t>
        </is>
      </c>
      <c r="C349" s="670" t="n">
        <v>41810</v>
      </c>
      <c r="D349" s="693" t="n">
        <v>6.5</v>
      </c>
      <c r="E349" s="11" t="inlineStr">
        <is>
          <t>S G L CAMBODIA</t>
        </is>
      </c>
      <c r="F349" s="10" t="inlineStr">
        <is>
          <t>100119816</t>
        </is>
      </c>
      <c r="G349" s="24" t="inlineStr">
        <is>
          <t>438952</t>
        </is>
      </c>
      <c r="H349" s="670" t="n">
        <v>41810</v>
      </c>
      <c r="I349" s="693" t="n">
        <v>6.5</v>
      </c>
      <c r="J349" s="9" t="n"/>
    </row>
    <row r="350" ht="18" customHeight="1" s="408">
      <c r="A350" s="33" t="n">
        <v>347</v>
      </c>
      <c r="B350" s="24" t="inlineStr">
        <is>
          <t>438982</t>
        </is>
      </c>
      <c r="C350" s="670" t="n">
        <v>41813</v>
      </c>
      <c r="D350" s="693" t="n">
        <v>31.41</v>
      </c>
      <c r="E350" s="11" t="inlineStr">
        <is>
          <t>S G L CAMBODIA</t>
        </is>
      </c>
      <c r="F350" s="10" t="inlineStr">
        <is>
          <t>100119816</t>
        </is>
      </c>
      <c r="G350" s="24" t="inlineStr">
        <is>
          <t>438982</t>
        </is>
      </c>
      <c r="H350" s="670" t="n">
        <v>41813</v>
      </c>
      <c r="I350" s="693" t="n">
        <v>31.41</v>
      </c>
      <c r="J350" s="9" t="n"/>
    </row>
    <row r="351" ht="18" customHeight="1" s="408">
      <c r="A351" s="33" t="n">
        <v>348</v>
      </c>
      <c r="B351" s="24" t="inlineStr">
        <is>
          <t>439055</t>
        </is>
      </c>
      <c r="C351" s="670" t="n">
        <v>41814</v>
      </c>
      <c r="D351" s="693" t="n">
        <v>62.52</v>
      </c>
      <c r="E351" s="11" t="inlineStr">
        <is>
          <t>S G L CAMBODIA</t>
        </is>
      </c>
      <c r="F351" s="10" t="inlineStr">
        <is>
          <t>100119816</t>
        </is>
      </c>
      <c r="G351" s="24" t="inlineStr">
        <is>
          <t>439055</t>
        </is>
      </c>
      <c r="H351" s="670" t="n">
        <v>41814</v>
      </c>
      <c r="I351" s="693" t="n">
        <v>62.52</v>
      </c>
      <c r="J351" s="9" t="n"/>
    </row>
    <row r="352" ht="18" customHeight="1" s="408">
      <c r="A352" s="33" t="n">
        <v>349</v>
      </c>
      <c r="B352" s="24" t="inlineStr">
        <is>
          <t>439139</t>
        </is>
      </c>
      <c r="C352" s="670" t="n">
        <v>41820</v>
      </c>
      <c r="D352" s="693" t="n">
        <v>30.38</v>
      </c>
      <c r="E352" s="11" t="inlineStr">
        <is>
          <t>S G L CAMBODIA</t>
        </is>
      </c>
      <c r="F352" s="10" t="inlineStr">
        <is>
          <t>100119816</t>
        </is>
      </c>
      <c r="G352" s="24" t="inlineStr">
        <is>
          <t>439139</t>
        </is>
      </c>
      <c r="H352" s="670" t="n">
        <v>41820</v>
      </c>
      <c r="I352" s="693" t="n">
        <v>30.38</v>
      </c>
      <c r="J352" s="9" t="n"/>
    </row>
    <row r="353" ht="18" customHeight="1" s="408">
      <c r="A353" s="33" t="n">
        <v>350</v>
      </c>
      <c r="B353" s="24" t="inlineStr">
        <is>
          <t>439185</t>
        </is>
      </c>
      <c r="C353" s="670" t="n">
        <v>41820</v>
      </c>
      <c r="D353" s="693" t="n">
        <v>23.41</v>
      </c>
      <c r="E353" s="11" t="inlineStr">
        <is>
          <t>S G L CAMBODIA</t>
        </is>
      </c>
      <c r="F353" s="10" t="inlineStr">
        <is>
          <t>100119816</t>
        </is>
      </c>
      <c r="G353" s="24" t="inlineStr">
        <is>
          <t>439185</t>
        </is>
      </c>
      <c r="H353" s="670" t="n">
        <v>41820</v>
      </c>
      <c r="I353" s="693" t="n">
        <v>23.41</v>
      </c>
      <c r="J353" s="9" t="n"/>
    </row>
    <row r="354" ht="18" customHeight="1" s="408">
      <c r="A354" s="33" t="n">
        <v>351</v>
      </c>
      <c r="B354" s="24" t="inlineStr">
        <is>
          <t>439416</t>
        </is>
      </c>
      <c r="C354" s="670" t="n">
        <v>41828</v>
      </c>
      <c r="D354" s="693" t="n">
        <v>37.2</v>
      </c>
      <c r="E354" s="11" t="inlineStr">
        <is>
          <t>S G L CAMBODIA</t>
        </is>
      </c>
      <c r="F354" s="10" t="inlineStr">
        <is>
          <t>100119816</t>
        </is>
      </c>
      <c r="G354" s="24" t="inlineStr">
        <is>
          <t>439416</t>
        </is>
      </c>
      <c r="H354" s="670" t="n">
        <v>41828</v>
      </c>
      <c r="I354" s="693" t="n">
        <v>37.2</v>
      </c>
      <c r="J354" s="9" t="n"/>
    </row>
    <row r="355" ht="18" customHeight="1" s="408">
      <c r="A355" s="33" t="n">
        <v>352</v>
      </c>
      <c r="B355" s="24" t="inlineStr">
        <is>
          <t>439444</t>
        </is>
      </c>
      <c r="C355" s="670" t="n">
        <v>41828</v>
      </c>
      <c r="D355" s="693" t="n">
        <v>22.3</v>
      </c>
      <c r="E355" s="11" t="inlineStr">
        <is>
          <t>S G L CAMBODIA</t>
        </is>
      </c>
      <c r="F355" s="10" t="inlineStr">
        <is>
          <t>100119816</t>
        </is>
      </c>
      <c r="G355" s="24" t="inlineStr">
        <is>
          <t>439444</t>
        </is>
      </c>
      <c r="H355" s="670" t="n">
        <v>41828</v>
      </c>
      <c r="I355" s="693" t="n">
        <v>22.3</v>
      </c>
      <c r="J355" s="9" t="n"/>
    </row>
    <row r="356" ht="18" customHeight="1" s="408">
      <c r="A356" s="33" t="n">
        <v>353</v>
      </c>
      <c r="B356" s="24" t="inlineStr">
        <is>
          <t>439445</t>
        </is>
      </c>
      <c r="C356" s="670" t="n">
        <v>41828</v>
      </c>
      <c r="D356" s="693" t="n">
        <v>38.53</v>
      </c>
      <c r="E356" s="11" t="inlineStr">
        <is>
          <t>S G L CAMBODIA</t>
        </is>
      </c>
      <c r="F356" s="10" t="inlineStr">
        <is>
          <t>100119816</t>
        </is>
      </c>
      <c r="G356" s="24" t="inlineStr">
        <is>
          <t>439445</t>
        </is>
      </c>
      <c r="H356" s="670" t="n">
        <v>41828</v>
      </c>
      <c r="I356" s="693" t="n">
        <v>38.53</v>
      </c>
      <c r="J356" s="9" t="n"/>
    </row>
    <row r="357" ht="18" customHeight="1" s="408">
      <c r="A357" s="33" t="n">
        <v>354</v>
      </c>
      <c r="B357" s="24" t="inlineStr">
        <is>
          <t>439613</t>
        </is>
      </c>
      <c r="C357" s="670" t="n">
        <v>41835</v>
      </c>
      <c r="D357" s="693" t="n">
        <v>88.75</v>
      </c>
      <c r="E357" s="11" t="inlineStr">
        <is>
          <t>S G L CAMBODIA</t>
        </is>
      </c>
      <c r="F357" s="10" t="inlineStr">
        <is>
          <t>100119816</t>
        </is>
      </c>
      <c r="G357" s="24" t="inlineStr">
        <is>
          <t>439613</t>
        </is>
      </c>
      <c r="H357" s="670" t="n">
        <v>41835</v>
      </c>
      <c r="I357" s="693" t="n">
        <v>88.75</v>
      </c>
      <c r="J357" s="9" t="n"/>
    </row>
    <row r="358" ht="18" customHeight="1" s="408">
      <c r="A358" s="33" t="n">
        <v>355</v>
      </c>
      <c r="B358" s="24" t="inlineStr">
        <is>
          <t>439621</t>
        </is>
      </c>
      <c r="C358" s="670" t="n">
        <v>41835</v>
      </c>
      <c r="D358" s="693" t="n">
        <v>142.73</v>
      </c>
      <c r="E358" s="11" t="inlineStr">
        <is>
          <t>S G L CAMBODIA</t>
        </is>
      </c>
      <c r="F358" s="10" t="inlineStr">
        <is>
          <t>100119816</t>
        </is>
      </c>
      <c r="G358" s="24" t="inlineStr">
        <is>
          <t>439621</t>
        </is>
      </c>
      <c r="H358" s="670" t="n">
        <v>41835</v>
      </c>
      <c r="I358" s="693" t="n">
        <v>142.73</v>
      </c>
      <c r="J358" s="9" t="n"/>
    </row>
    <row r="359" ht="18" customHeight="1" s="408">
      <c r="A359" s="33" t="n">
        <v>356</v>
      </c>
      <c r="B359" s="24" t="inlineStr">
        <is>
          <t>439627</t>
        </is>
      </c>
      <c r="C359" s="670" t="n">
        <v>41835</v>
      </c>
      <c r="D359" s="693" t="n">
        <v>22.3</v>
      </c>
      <c r="E359" s="11" t="inlineStr">
        <is>
          <t>S G L CAMBODIA</t>
        </is>
      </c>
      <c r="F359" s="10" t="inlineStr">
        <is>
          <t>100119816</t>
        </is>
      </c>
      <c r="G359" s="24" t="inlineStr">
        <is>
          <t>439627</t>
        </is>
      </c>
      <c r="H359" s="670" t="n">
        <v>41835</v>
      </c>
      <c r="I359" s="693" t="n">
        <v>22.3</v>
      </c>
      <c r="J359" s="9" t="n"/>
    </row>
    <row r="360" ht="18" customHeight="1" s="408">
      <c r="A360" s="33" t="n">
        <v>357</v>
      </c>
      <c r="B360" s="24" t="inlineStr">
        <is>
          <t>439695</t>
        </is>
      </c>
      <c r="C360" s="670" t="n">
        <v>41835</v>
      </c>
      <c r="D360" s="693" t="n">
        <v>5</v>
      </c>
      <c r="E360" s="11" t="inlineStr">
        <is>
          <t>S G L CAMBODIA</t>
        </is>
      </c>
      <c r="F360" s="10" t="inlineStr">
        <is>
          <t>100119816</t>
        </is>
      </c>
      <c r="G360" s="24" t="inlineStr">
        <is>
          <t>439695</t>
        </is>
      </c>
      <c r="H360" s="670" t="n">
        <v>41835</v>
      </c>
      <c r="I360" s="693" t="n">
        <v>5</v>
      </c>
      <c r="J360" s="9" t="n"/>
    </row>
    <row r="361" ht="18" customHeight="1" s="408">
      <c r="A361" s="33" t="n">
        <v>358</v>
      </c>
      <c r="B361" s="24" t="inlineStr">
        <is>
          <t>439710</t>
        </is>
      </c>
      <c r="C361" s="670" t="n">
        <v>41837</v>
      </c>
      <c r="D361" s="693" t="n">
        <v>5</v>
      </c>
      <c r="E361" s="11" t="inlineStr">
        <is>
          <t>S G L CAMBODIA</t>
        </is>
      </c>
      <c r="F361" s="10" t="inlineStr">
        <is>
          <t>100119816</t>
        </is>
      </c>
      <c r="G361" s="24" t="inlineStr">
        <is>
          <t>439710</t>
        </is>
      </c>
      <c r="H361" s="670" t="n">
        <v>41837</v>
      </c>
      <c r="I361" s="693" t="n">
        <v>5</v>
      </c>
      <c r="J361" s="9" t="n"/>
    </row>
    <row r="362" ht="18" customHeight="1" s="408">
      <c r="A362" s="33" t="n">
        <v>359</v>
      </c>
      <c r="B362" s="24" t="inlineStr">
        <is>
          <t>439711</t>
        </is>
      </c>
      <c r="C362" s="670" t="n">
        <v>41837</v>
      </c>
      <c r="D362" s="693" t="n">
        <v>5</v>
      </c>
      <c r="E362" s="11" t="inlineStr">
        <is>
          <t>S G L CAMBODIA</t>
        </is>
      </c>
      <c r="F362" s="10" t="inlineStr">
        <is>
          <t>100119816</t>
        </is>
      </c>
      <c r="G362" s="24" t="inlineStr">
        <is>
          <t>439711</t>
        </is>
      </c>
      <c r="H362" s="670" t="n">
        <v>41837</v>
      </c>
      <c r="I362" s="693" t="n">
        <v>5</v>
      </c>
      <c r="J362" s="9" t="n"/>
    </row>
    <row r="363" ht="18" customHeight="1" s="408">
      <c r="A363" s="33" t="n">
        <v>360</v>
      </c>
      <c r="B363" s="24" t="inlineStr">
        <is>
          <t>439791</t>
        </is>
      </c>
      <c r="C363" s="670" t="n">
        <v>41842</v>
      </c>
      <c r="D363" s="693" t="n">
        <v>59.41</v>
      </c>
      <c r="E363" s="11" t="inlineStr">
        <is>
          <t>S G L CAMBODIA</t>
        </is>
      </c>
      <c r="F363" s="10" t="inlineStr">
        <is>
          <t>100119816</t>
        </is>
      </c>
      <c r="G363" s="24" t="inlineStr">
        <is>
          <t>439791</t>
        </is>
      </c>
      <c r="H363" s="670" t="n">
        <v>41842</v>
      </c>
      <c r="I363" s="693" t="n">
        <v>59.41</v>
      </c>
      <c r="J363" s="9" t="n"/>
    </row>
    <row r="364" ht="18" customHeight="1" s="408">
      <c r="A364" s="33" t="n">
        <v>361</v>
      </c>
      <c r="B364" s="24" t="inlineStr">
        <is>
          <t>1439974</t>
        </is>
      </c>
      <c r="C364" s="670" t="n">
        <v>41848</v>
      </c>
      <c r="D364" s="693" t="n">
        <v>5</v>
      </c>
      <c r="E364" s="11" t="inlineStr">
        <is>
          <t>S G L CAMBODIA</t>
        </is>
      </c>
      <c r="F364" s="10" t="inlineStr">
        <is>
          <t>100119816</t>
        </is>
      </c>
      <c r="G364" s="24" t="inlineStr">
        <is>
          <t>1439974</t>
        </is>
      </c>
      <c r="H364" s="670" t="n">
        <v>41848</v>
      </c>
      <c r="I364" s="693" t="n">
        <v>5</v>
      </c>
      <c r="J364" s="9" t="n"/>
    </row>
    <row r="365" ht="18" customHeight="1" s="408">
      <c r="A365" s="33" t="n">
        <v>362</v>
      </c>
      <c r="B365" s="24" t="inlineStr">
        <is>
          <t>437859</t>
        </is>
      </c>
      <c r="C365" s="670" t="n">
        <v>41765</v>
      </c>
      <c r="D365" s="693" t="n">
        <v>22.99</v>
      </c>
      <c r="E365" s="11" t="inlineStr">
        <is>
          <t>S G L CAMBODIA</t>
        </is>
      </c>
      <c r="F365" s="10" t="inlineStr">
        <is>
          <t>100119816</t>
        </is>
      </c>
      <c r="G365" s="42" t="inlineStr">
        <is>
          <t>437859</t>
        </is>
      </c>
      <c r="H365" s="670" t="n">
        <v>41765</v>
      </c>
      <c r="I365" s="693" t="n">
        <v>22.99</v>
      </c>
      <c r="J365" s="9" t="n"/>
    </row>
    <row r="366" ht="18" customHeight="1" s="408">
      <c r="A366" s="33" t="n">
        <v>363</v>
      </c>
      <c r="B366" s="24" t="inlineStr">
        <is>
          <t>437911</t>
        </is>
      </c>
      <c r="C366" s="670" t="n">
        <v>41765</v>
      </c>
      <c r="D366" s="693" t="n">
        <v>41.9</v>
      </c>
      <c r="E366" s="11" t="inlineStr">
        <is>
          <t>S G L CAMBODIA</t>
        </is>
      </c>
      <c r="F366" s="10" t="inlineStr">
        <is>
          <t>100119816</t>
        </is>
      </c>
      <c r="G366" s="42" t="inlineStr">
        <is>
          <t>437911</t>
        </is>
      </c>
      <c r="H366" s="670" t="n">
        <v>41765</v>
      </c>
      <c r="I366" s="693" t="n">
        <v>41.9</v>
      </c>
      <c r="J366" s="9" t="n"/>
    </row>
    <row r="367" ht="18" customHeight="1" s="408">
      <c r="A367" s="33" t="n">
        <v>364</v>
      </c>
      <c r="B367" s="24" t="inlineStr">
        <is>
          <t>449556</t>
        </is>
      </c>
      <c r="C367" s="670" t="n">
        <v>41765</v>
      </c>
      <c r="D367" s="693" t="n">
        <v>27.55</v>
      </c>
      <c r="E367" s="11" t="inlineStr">
        <is>
          <t>S G L CAMBODIA</t>
        </is>
      </c>
      <c r="F367" s="10" t="inlineStr">
        <is>
          <t>100119816</t>
        </is>
      </c>
      <c r="G367" s="42" t="inlineStr">
        <is>
          <t>449556</t>
        </is>
      </c>
      <c r="H367" s="670" t="n">
        <v>41765</v>
      </c>
      <c r="I367" s="693" t="n">
        <v>27.55</v>
      </c>
      <c r="J367" s="9" t="n"/>
    </row>
    <row r="368" ht="18" customHeight="1" s="408">
      <c r="A368" s="33" t="n">
        <v>365</v>
      </c>
      <c r="B368" s="24" t="inlineStr">
        <is>
          <t>437956</t>
        </is>
      </c>
      <c r="C368" s="670" t="n">
        <v>41766</v>
      </c>
      <c r="D368" s="693" t="n">
        <v>82.68000000000001</v>
      </c>
      <c r="E368" s="11" t="inlineStr">
        <is>
          <t>S G L CAMBODIA</t>
        </is>
      </c>
      <c r="F368" s="10" t="inlineStr">
        <is>
          <t>100119816</t>
        </is>
      </c>
      <c r="G368" s="42" t="inlineStr">
        <is>
          <t>437956</t>
        </is>
      </c>
      <c r="H368" s="670" t="n">
        <v>41766</v>
      </c>
      <c r="I368" s="693" t="n">
        <v>82.68000000000001</v>
      </c>
      <c r="J368" s="9" t="n"/>
    </row>
    <row r="369" ht="18" customHeight="1" s="408">
      <c r="A369" s="33" t="n">
        <v>366</v>
      </c>
      <c r="B369" s="24" t="inlineStr">
        <is>
          <t>440141</t>
        </is>
      </c>
      <c r="C369" s="670" t="n">
        <v>41856</v>
      </c>
      <c r="D369" s="693" t="n">
        <v>54.09</v>
      </c>
      <c r="E369" s="11" t="inlineStr">
        <is>
          <t>S G L CAMBODIA</t>
        </is>
      </c>
      <c r="F369" s="10" t="inlineStr">
        <is>
          <t>100119816</t>
        </is>
      </c>
      <c r="G369" s="24" t="inlineStr">
        <is>
          <t>440141</t>
        </is>
      </c>
      <c r="H369" s="670" t="n">
        <v>41856</v>
      </c>
      <c r="I369" s="693" t="n">
        <v>54.09</v>
      </c>
      <c r="J369" s="9" t="n"/>
    </row>
    <row r="370" ht="18" customHeight="1" s="408">
      <c r="A370" s="33" t="n">
        <v>367</v>
      </c>
      <c r="B370" s="24" t="inlineStr">
        <is>
          <t>440142</t>
        </is>
      </c>
      <c r="C370" s="670" t="n">
        <v>41856</v>
      </c>
      <c r="D370" s="693" t="n">
        <v>30.93</v>
      </c>
      <c r="E370" s="11" t="inlineStr">
        <is>
          <t>S G L CAMBODIA</t>
        </is>
      </c>
      <c r="F370" s="10" t="inlineStr">
        <is>
          <t>100119816</t>
        </is>
      </c>
      <c r="G370" s="24" t="inlineStr">
        <is>
          <t>440142</t>
        </is>
      </c>
      <c r="H370" s="670" t="n">
        <v>41856</v>
      </c>
      <c r="I370" s="693" t="n">
        <v>30.93</v>
      </c>
      <c r="J370" s="9" t="n"/>
    </row>
    <row r="371" ht="18" customHeight="1" s="408">
      <c r="A371" s="33" t="n">
        <v>368</v>
      </c>
      <c r="B371" s="24" t="inlineStr">
        <is>
          <t>440161</t>
        </is>
      </c>
      <c r="C371" s="670" t="n">
        <v>41856</v>
      </c>
      <c r="D371" s="693" t="n">
        <v>31.94</v>
      </c>
      <c r="E371" s="11" t="inlineStr">
        <is>
          <t>S G L CAMBODIA</t>
        </is>
      </c>
      <c r="F371" s="10" t="inlineStr">
        <is>
          <t>100119816</t>
        </is>
      </c>
      <c r="G371" s="24" t="inlineStr">
        <is>
          <t>440161</t>
        </is>
      </c>
      <c r="H371" s="670" t="n">
        <v>41856</v>
      </c>
      <c r="I371" s="693" t="n">
        <v>31.94</v>
      </c>
      <c r="J371" s="9" t="n"/>
    </row>
    <row r="372" ht="18" customHeight="1" s="408">
      <c r="A372" s="33" t="n">
        <v>369</v>
      </c>
      <c r="B372" s="24" t="inlineStr">
        <is>
          <t>440185</t>
        </is>
      </c>
      <c r="C372" s="670" t="n">
        <v>41856</v>
      </c>
      <c r="D372" s="693" t="n">
        <v>22.3</v>
      </c>
      <c r="E372" s="11" t="inlineStr">
        <is>
          <t>S G L CAMBODIA</t>
        </is>
      </c>
      <c r="F372" s="10" t="inlineStr">
        <is>
          <t>100119816</t>
        </is>
      </c>
      <c r="G372" s="24" t="inlineStr">
        <is>
          <t>440185</t>
        </is>
      </c>
      <c r="H372" s="670" t="n">
        <v>41856</v>
      </c>
      <c r="I372" s="693" t="n">
        <v>22.3</v>
      </c>
      <c r="J372" s="9" t="n"/>
    </row>
    <row r="373" ht="18" customHeight="1" s="408">
      <c r="A373" s="33" t="n">
        <v>370</v>
      </c>
      <c r="B373" s="24" t="inlineStr">
        <is>
          <t>440222</t>
        </is>
      </c>
      <c r="C373" s="670" t="n">
        <v>41856</v>
      </c>
      <c r="D373" s="693" t="n">
        <v>30.36</v>
      </c>
      <c r="E373" s="11" t="inlineStr">
        <is>
          <t>S G L CAMBODIA</t>
        </is>
      </c>
      <c r="F373" s="10" t="inlineStr">
        <is>
          <t>100119816</t>
        </is>
      </c>
      <c r="G373" s="24" t="inlineStr">
        <is>
          <t>440222</t>
        </is>
      </c>
      <c r="H373" s="670" t="n">
        <v>41856</v>
      </c>
      <c r="I373" s="693" t="n">
        <v>30.36</v>
      </c>
      <c r="J373" s="9" t="n"/>
    </row>
    <row r="374" ht="18" customHeight="1" s="408">
      <c r="A374" s="33" t="n">
        <v>371</v>
      </c>
      <c r="B374" s="24" t="inlineStr">
        <is>
          <t>440290</t>
        </is>
      </c>
      <c r="C374" s="670" t="n">
        <v>41858</v>
      </c>
      <c r="D374" s="693" t="n">
        <v>5</v>
      </c>
      <c r="E374" s="11" t="inlineStr">
        <is>
          <t>S G L CAMBODIA</t>
        </is>
      </c>
      <c r="F374" s="10" t="inlineStr">
        <is>
          <t>100119816</t>
        </is>
      </c>
      <c r="G374" s="24" t="inlineStr">
        <is>
          <t>440290</t>
        </is>
      </c>
      <c r="H374" s="670" t="n">
        <v>41858</v>
      </c>
      <c r="I374" s="693" t="n">
        <v>5</v>
      </c>
      <c r="J374" s="9" t="n"/>
    </row>
    <row r="375" ht="18" customHeight="1" s="408">
      <c r="A375" s="33" t="n">
        <v>372</v>
      </c>
      <c r="B375" s="24" t="inlineStr">
        <is>
          <t>440321</t>
        </is>
      </c>
      <c r="C375" s="670" t="n">
        <v>41862</v>
      </c>
      <c r="D375" s="693" t="n">
        <v>5</v>
      </c>
      <c r="E375" s="11" t="inlineStr">
        <is>
          <t>S G L CAMBODIA</t>
        </is>
      </c>
      <c r="F375" s="10" t="inlineStr">
        <is>
          <t>100119816</t>
        </is>
      </c>
      <c r="G375" s="24" t="inlineStr">
        <is>
          <t>440321</t>
        </is>
      </c>
      <c r="H375" s="670" t="n">
        <v>41862</v>
      </c>
      <c r="I375" s="693" t="n">
        <v>5</v>
      </c>
      <c r="J375" s="9" t="n"/>
    </row>
    <row r="376" ht="18" customHeight="1" s="408">
      <c r="A376" s="33" t="n">
        <v>373</v>
      </c>
      <c r="B376" s="24" t="inlineStr">
        <is>
          <t>440400</t>
        </is>
      </c>
      <c r="C376" s="670" t="n">
        <v>41863</v>
      </c>
      <c r="D376" s="693" t="n">
        <v>26.6</v>
      </c>
      <c r="E376" s="11" t="inlineStr">
        <is>
          <t>S G L CAMBODIA</t>
        </is>
      </c>
      <c r="F376" s="10" t="inlineStr">
        <is>
          <t>100119816</t>
        </is>
      </c>
      <c r="G376" s="24" t="inlineStr">
        <is>
          <t>440400</t>
        </is>
      </c>
      <c r="H376" s="670" t="n">
        <v>41863</v>
      </c>
      <c r="I376" s="693" t="n">
        <v>26.6</v>
      </c>
      <c r="J376" s="9" t="n"/>
    </row>
    <row r="377" ht="18" customHeight="1" s="408">
      <c r="A377" s="33" t="n">
        <v>374</v>
      </c>
      <c r="B377" s="24" t="inlineStr">
        <is>
          <t>440465</t>
        </is>
      </c>
      <c r="C377" s="670" t="n">
        <v>41863</v>
      </c>
      <c r="D377" s="693" t="n">
        <v>25.27</v>
      </c>
      <c r="E377" s="11" t="inlineStr">
        <is>
          <t>S G L CAMBODIA</t>
        </is>
      </c>
      <c r="F377" s="10" t="inlineStr">
        <is>
          <t>100119816</t>
        </is>
      </c>
      <c r="G377" s="24" t="inlineStr">
        <is>
          <t>440465</t>
        </is>
      </c>
      <c r="H377" s="670" t="n">
        <v>41863</v>
      </c>
      <c r="I377" s="693" t="n">
        <v>25.27</v>
      </c>
      <c r="J377" s="9" t="n"/>
    </row>
    <row r="378" ht="18" customHeight="1" s="408">
      <c r="A378" s="33" t="n">
        <v>375</v>
      </c>
      <c r="B378" s="24" t="inlineStr">
        <is>
          <t>440471</t>
        </is>
      </c>
      <c r="C378" s="670" t="n">
        <v>41863</v>
      </c>
      <c r="D378" s="693" t="n">
        <v>64.75</v>
      </c>
      <c r="E378" s="11" t="inlineStr">
        <is>
          <t>S G L CAMBODIA</t>
        </is>
      </c>
      <c r="F378" s="10" t="inlineStr">
        <is>
          <t>100119816</t>
        </is>
      </c>
      <c r="G378" s="24" t="inlineStr">
        <is>
          <t>440471</t>
        </is>
      </c>
      <c r="H378" s="670" t="n">
        <v>41863</v>
      </c>
      <c r="I378" s="693" t="n">
        <v>64.75</v>
      </c>
      <c r="J378" s="9" t="n"/>
    </row>
    <row r="379" ht="18" customHeight="1" s="408">
      <c r="A379" s="33" t="n">
        <v>376</v>
      </c>
      <c r="B379" s="24" t="inlineStr">
        <is>
          <t>440477</t>
        </is>
      </c>
      <c r="C379" s="670" t="n">
        <v>41863</v>
      </c>
      <c r="D379" s="693" t="n">
        <v>84.08</v>
      </c>
      <c r="E379" s="11" t="inlineStr">
        <is>
          <t>S G L CAMBODIA</t>
        </is>
      </c>
      <c r="F379" s="10" t="inlineStr">
        <is>
          <t>100119816</t>
        </is>
      </c>
      <c r="G379" s="24" t="inlineStr">
        <is>
          <t>440477</t>
        </is>
      </c>
      <c r="H379" s="670" t="n">
        <v>41863</v>
      </c>
      <c r="I379" s="693" t="n">
        <v>84.08</v>
      </c>
      <c r="J379" s="9" t="n"/>
    </row>
    <row r="380" ht="18" customHeight="1" s="408">
      <c r="A380" s="33" t="n">
        <v>377</v>
      </c>
      <c r="B380" s="24" t="inlineStr">
        <is>
          <t>440491</t>
        </is>
      </c>
      <c r="C380" s="670" t="n">
        <v>41863</v>
      </c>
      <c r="D380" s="693" t="n">
        <v>28.4</v>
      </c>
      <c r="E380" s="11" t="inlineStr">
        <is>
          <t>S G L CAMBODIA</t>
        </is>
      </c>
      <c r="F380" s="10" t="inlineStr">
        <is>
          <t>100119816</t>
        </is>
      </c>
      <c r="G380" s="24" t="inlineStr">
        <is>
          <t>440491</t>
        </is>
      </c>
      <c r="H380" s="670" t="n">
        <v>41863</v>
      </c>
      <c r="I380" s="693" t="n">
        <v>28.4</v>
      </c>
      <c r="J380" s="9" t="n"/>
    </row>
    <row r="381" ht="18" customHeight="1" s="408">
      <c r="A381" s="33" t="n">
        <v>378</v>
      </c>
      <c r="B381" s="24" t="inlineStr">
        <is>
          <t>440499</t>
        </is>
      </c>
      <c r="C381" s="670" t="n">
        <v>41863</v>
      </c>
      <c r="D381" s="693" t="n">
        <v>23.09</v>
      </c>
      <c r="E381" s="11" t="inlineStr">
        <is>
          <t>S G L CAMBODIA</t>
        </is>
      </c>
      <c r="F381" s="10" t="inlineStr">
        <is>
          <t>100119816</t>
        </is>
      </c>
      <c r="G381" s="24" t="inlineStr">
        <is>
          <t>440499</t>
        </is>
      </c>
      <c r="H381" s="670" t="n">
        <v>41863</v>
      </c>
      <c r="I381" s="693" t="n">
        <v>23.09</v>
      </c>
      <c r="J381" s="9" t="n"/>
    </row>
    <row r="382" ht="18" customHeight="1" s="408">
      <c r="A382" s="33" t="n">
        <v>379</v>
      </c>
      <c r="B382" s="24" t="inlineStr">
        <is>
          <t>440574</t>
        </is>
      </c>
      <c r="C382" s="670" t="n">
        <v>41869</v>
      </c>
      <c r="D382" s="693" t="n">
        <v>33.19</v>
      </c>
      <c r="E382" s="11" t="inlineStr">
        <is>
          <t>S G L CAMBODIA</t>
        </is>
      </c>
      <c r="F382" s="10" t="inlineStr">
        <is>
          <t>100119816</t>
        </is>
      </c>
      <c r="G382" s="24" t="inlineStr">
        <is>
          <t>440574</t>
        </is>
      </c>
      <c r="H382" s="670" t="n">
        <v>41869</v>
      </c>
      <c r="I382" s="693" t="n">
        <v>33.19</v>
      </c>
      <c r="J382" s="9" t="n"/>
    </row>
    <row r="383" ht="18" customHeight="1" s="408">
      <c r="A383" s="33" t="n">
        <v>380</v>
      </c>
      <c r="B383" s="24" t="inlineStr">
        <is>
          <t>440583</t>
        </is>
      </c>
      <c r="C383" s="670" t="n">
        <v>41869</v>
      </c>
      <c r="D383" s="693" t="n">
        <v>35.99</v>
      </c>
      <c r="E383" s="11" t="inlineStr">
        <is>
          <t>S G L CAMBODIA</t>
        </is>
      </c>
      <c r="F383" s="10" t="inlineStr">
        <is>
          <t>100119816</t>
        </is>
      </c>
      <c r="G383" s="24" t="inlineStr">
        <is>
          <t>440583</t>
        </is>
      </c>
      <c r="H383" s="670" t="n">
        <v>41869</v>
      </c>
      <c r="I383" s="693" t="n">
        <v>35.99</v>
      </c>
      <c r="J383" s="9" t="n"/>
    </row>
    <row r="384" ht="18" customHeight="1" s="408">
      <c r="A384" s="33" t="n">
        <v>381</v>
      </c>
      <c r="B384" s="24" t="inlineStr">
        <is>
          <t>440684</t>
        </is>
      </c>
      <c r="C384" s="670" t="n">
        <v>41876</v>
      </c>
      <c r="D384" s="693" t="n">
        <v>33.26</v>
      </c>
      <c r="E384" s="11" t="inlineStr">
        <is>
          <t>S G L CAMBODIA</t>
        </is>
      </c>
      <c r="F384" s="10" t="inlineStr">
        <is>
          <t>100119816</t>
        </is>
      </c>
      <c r="G384" s="24" t="inlineStr">
        <is>
          <t>440684</t>
        </is>
      </c>
      <c r="H384" s="670" t="n">
        <v>41876</v>
      </c>
      <c r="I384" s="693" t="n">
        <v>33.26</v>
      </c>
      <c r="J384" s="9" t="n"/>
    </row>
    <row r="385" ht="18" customHeight="1" s="408">
      <c r="A385" s="33" t="n">
        <v>382</v>
      </c>
      <c r="B385" s="24" t="inlineStr">
        <is>
          <t>440697</t>
        </is>
      </c>
      <c r="C385" s="670" t="n">
        <v>41876</v>
      </c>
      <c r="D385" s="693" t="n">
        <v>22.3</v>
      </c>
      <c r="E385" s="11" t="inlineStr">
        <is>
          <t>S G L CAMBODIA</t>
        </is>
      </c>
      <c r="F385" s="10" t="inlineStr">
        <is>
          <t>100119816</t>
        </is>
      </c>
      <c r="G385" s="24" t="inlineStr">
        <is>
          <t>440697</t>
        </is>
      </c>
      <c r="H385" s="670" t="n">
        <v>41876</v>
      </c>
      <c r="I385" s="693" t="n">
        <v>22.3</v>
      </c>
      <c r="J385" s="9" t="n"/>
    </row>
    <row r="386" ht="18" customHeight="1" s="408">
      <c r="A386" s="33" t="n">
        <v>383</v>
      </c>
      <c r="B386" s="24" t="inlineStr">
        <is>
          <t>440731</t>
        </is>
      </c>
      <c r="C386" s="670" t="n">
        <v>41876</v>
      </c>
      <c r="D386" s="693" t="n">
        <v>5</v>
      </c>
      <c r="E386" s="11" t="inlineStr">
        <is>
          <t>S G L CAMBODIA</t>
        </is>
      </c>
      <c r="F386" s="10" t="inlineStr">
        <is>
          <t>100119816</t>
        </is>
      </c>
      <c r="G386" s="24" t="inlineStr">
        <is>
          <t>440731</t>
        </is>
      </c>
      <c r="H386" s="670" t="n">
        <v>41876</v>
      </c>
      <c r="I386" s="693" t="n">
        <v>5</v>
      </c>
      <c r="J386" s="9" t="n"/>
    </row>
    <row r="387" ht="18" customHeight="1" s="408">
      <c r="A387" s="33" t="n">
        <v>384</v>
      </c>
      <c r="B387" s="24" t="inlineStr">
        <is>
          <t>440732</t>
        </is>
      </c>
      <c r="C387" s="670" t="n">
        <v>41876</v>
      </c>
      <c r="D387" s="693" t="n">
        <v>5</v>
      </c>
      <c r="E387" s="11" t="inlineStr">
        <is>
          <t>S G L CAMBODIA</t>
        </is>
      </c>
      <c r="F387" s="10" t="inlineStr">
        <is>
          <t>100119816</t>
        </is>
      </c>
      <c r="G387" s="24" t="inlineStr">
        <is>
          <t>440732</t>
        </is>
      </c>
      <c r="H387" s="670" t="n">
        <v>41876</v>
      </c>
      <c r="I387" s="693" t="n">
        <v>5</v>
      </c>
      <c r="J387" s="9" t="n"/>
    </row>
    <row r="388" ht="18" customHeight="1" s="408">
      <c r="A388" s="33" t="n">
        <v>385</v>
      </c>
      <c r="B388" s="24" t="inlineStr">
        <is>
          <t>440769</t>
        </is>
      </c>
      <c r="C388" s="670" t="n">
        <v>41877</v>
      </c>
      <c r="D388" s="693" t="n">
        <v>38.77</v>
      </c>
      <c r="E388" s="11" t="inlineStr">
        <is>
          <t>S G L CAMBODIA</t>
        </is>
      </c>
      <c r="F388" s="10" t="inlineStr">
        <is>
          <t>100119816</t>
        </is>
      </c>
      <c r="G388" s="24" t="inlineStr">
        <is>
          <t>440769</t>
        </is>
      </c>
      <c r="H388" s="670" t="n">
        <v>41877</v>
      </c>
      <c r="I388" s="693" t="n">
        <v>38.77</v>
      </c>
      <c r="J388" s="9" t="n"/>
    </row>
    <row r="389" ht="18" customHeight="1" s="408">
      <c r="A389" s="33" t="n">
        <v>386</v>
      </c>
      <c r="B389" s="24" t="inlineStr">
        <is>
          <t>440797</t>
        </is>
      </c>
      <c r="C389" s="670" t="n">
        <v>41877</v>
      </c>
      <c r="D389" s="693" t="n">
        <v>5</v>
      </c>
      <c r="E389" s="11" t="inlineStr">
        <is>
          <t>S G L CAMBODIA</t>
        </is>
      </c>
      <c r="F389" s="10" t="inlineStr">
        <is>
          <t>100119816</t>
        </is>
      </c>
      <c r="G389" s="24" t="inlineStr">
        <is>
          <t>440797</t>
        </is>
      </c>
      <c r="H389" s="670" t="n">
        <v>41877</v>
      </c>
      <c r="I389" s="693" t="n">
        <v>5</v>
      </c>
      <c r="J389" s="9" t="n"/>
    </row>
    <row r="390" ht="18" customHeight="1" s="408">
      <c r="A390" s="33" t="n">
        <v>387</v>
      </c>
      <c r="B390" s="24" t="inlineStr">
        <is>
          <t>440865</t>
        </is>
      </c>
      <c r="C390" s="670" t="n">
        <v>41881</v>
      </c>
      <c r="D390" s="693" t="n">
        <v>42.84</v>
      </c>
      <c r="E390" s="11" t="inlineStr">
        <is>
          <t>S G L CAMBODIA</t>
        </is>
      </c>
      <c r="F390" s="10" t="inlineStr">
        <is>
          <t>100119816</t>
        </is>
      </c>
      <c r="G390" s="24" t="inlineStr">
        <is>
          <t>440865</t>
        </is>
      </c>
      <c r="H390" s="670" t="n">
        <v>41881</v>
      </c>
      <c r="I390" s="693" t="n">
        <v>42.84</v>
      </c>
      <c r="J390" s="9" t="n"/>
    </row>
    <row r="391" ht="18" customHeight="1" s="408">
      <c r="A391" s="33" t="n">
        <v>388</v>
      </c>
      <c r="B391" s="24" t="inlineStr">
        <is>
          <t>440867</t>
        </is>
      </c>
      <c r="C391" s="670" t="n">
        <v>41881</v>
      </c>
      <c r="D391" s="693" t="n">
        <v>5</v>
      </c>
      <c r="E391" s="11" t="inlineStr">
        <is>
          <t>S G L CAMBODIA</t>
        </is>
      </c>
      <c r="F391" s="10" t="inlineStr">
        <is>
          <t>100119816</t>
        </is>
      </c>
      <c r="G391" s="24" t="inlineStr">
        <is>
          <t>440867</t>
        </is>
      </c>
      <c r="H391" s="670" t="n">
        <v>41881</v>
      </c>
      <c r="I391" s="693" t="n">
        <v>5</v>
      </c>
      <c r="J391" s="9" t="n"/>
    </row>
    <row r="392" ht="18" customHeight="1" s="408">
      <c r="A392" s="33" t="n">
        <v>389</v>
      </c>
      <c r="B392" s="24" t="inlineStr">
        <is>
          <t>440869</t>
        </is>
      </c>
      <c r="C392" s="670" t="n">
        <v>41881</v>
      </c>
      <c r="D392" s="693" t="n">
        <v>5</v>
      </c>
      <c r="E392" s="11" t="inlineStr">
        <is>
          <t>S G L CAMBODIA</t>
        </is>
      </c>
      <c r="F392" s="10" t="inlineStr">
        <is>
          <t>100119816</t>
        </is>
      </c>
      <c r="G392" s="24" t="inlineStr">
        <is>
          <t>440869</t>
        </is>
      </c>
      <c r="H392" s="670" t="n">
        <v>41881</v>
      </c>
      <c r="I392" s="693" t="n">
        <v>5</v>
      </c>
      <c r="J392" s="9" t="n"/>
    </row>
    <row r="393" ht="18" customHeight="1" s="408">
      <c r="A393" s="33" t="n">
        <v>390</v>
      </c>
      <c r="B393" s="24" t="inlineStr">
        <is>
          <t>440881</t>
        </is>
      </c>
      <c r="C393" s="670" t="n">
        <v>41881</v>
      </c>
      <c r="D393" s="693" t="n">
        <v>5</v>
      </c>
      <c r="E393" s="11" t="inlineStr">
        <is>
          <t>S G L CAMBODIA</t>
        </is>
      </c>
      <c r="F393" s="10" t="inlineStr">
        <is>
          <t>100119816</t>
        </is>
      </c>
      <c r="G393" s="24" t="inlineStr">
        <is>
          <t>440881</t>
        </is>
      </c>
      <c r="H393" s="670" t="n">
        <v>41881</v>
      </c>
      <c r="I393" s="693" t="n">
        <v>5</v>
      </c>
      <c r="J393" s="9" t="n"/>
    </row>
    <row r="394" ht="18" customHeight="1" s="408">
      <c r="A394" s="33" t="n">
        <v>391</v>
      </c>
      <c r="B394" s="24" t="inlineStr">
        <is>
          <t>440885</t>
        </is>
      </c>
      <c r="C394" s="670" t="n">
        <v>41882</v>
      </c>
      <c r="D394" s="693" t="n">
        <v>23.84</v>
      </c>
      <c r="E394" s="11" t="inlineStr">
        <is>
          <t>S G L CAMBODIA</t>
        </is>
      </c>
      <c r="F394" s="10" t="inlineStr">
        <is>
          <t>100119816</t>
        </is>
      </c>
      <c r="G394" s="24" t="inlineStr">
        <is>
          <t>440885</t>
        </is>
      </c>
      <c r="H394" s="670" t="n">
        <v>41882</v>
      </c>
      <c r="I394" s="693" t="n">
        <v>23.84</v>
      </c>
      <c r="J394" s="9" t="n"/>
    </row>
    <row r="395" ht="18" customHeight="1" s="408">
      <c r="A395" s="33" t="n">
        <v>392</v>
      </c>
      <c r="B395" s="24" t="inlineStr">
        <is>
          <t>440893</t>
        </is>
      </c>
      <c r="C395" s="670" t="n">
        <v>41882</v>
      </c>
      <c r="D395" s="693" t="n">
        <v>40.29</v>
      </c>
      <c r="E395" s="11" t="inlineStr">
        <is>
          <t>S G L CAMBODIA</t>
        </is>
      </c>
      <c r="F395" s="10" t="inlineStr">
        <is>
          <t>100119816</t>
        </is>
      </c>
      <c r="G395" s="24" t="inlineStr">
        <is>
          <t>440893</t>
        </is>
      </c>
      <c r="H395" s="670" t="n">
        <v>41882</v>
      </c>
      <c r="I395" s="693" t="n">
        <v>40.29</v>
      </c>
      <c r="J395" s="9" t="n"/>
    </row>
    <row r="396" ht="18" customHeight="1" s="408">
      <c r="A396" s="33" t="n">
        <v>393</v>
      </c>
      <c r="B396" s="24" t="inlineStr">
        <is>
          <t>441008</t>
        </is>
      </c>
      <c r="C396" s="670" t="n">
        <v>41890</v>
      </c>
      <c r="D396" s="693" t="n">
        <v>29.84</v>
      </c>
      <c r="E396" s="11" t="inlineStr">
        <is>
          <t>S G L CAMBODIA</t>
        </is>
      </c>
      <c r="F396" s="10" t="inlineStr">
        <is>
          <t>100119816</t>
        </is>
      </c>
      <c r="G396" s="24" t="inlineStr">
        <is>
          <t>441008</t>
        </is>
      </c>
      <c r="H396" s="670" t="n">
        <v>41890</v>
      </c>
      <c r="I396" s="693" t="n">
        <v>29.84</v>
      </c>
      <c r="J396" s="9" t="n"/>
    </row>
    <row r="397" ht="18" customHeight="1" s="408">
      <c r="A397" s="33" t="n">
        <v>394</v>
      </c>
      <c r="B397" s="24" t="inlineStr">
        <is>
          <t>441055</t>
        </is>
      </c>
      <c r="C397" s="670" t="n">
        <v>41891</v>
      </c>
      <c r="D397" s="693" t="n">
        <v>25.19</v>
      </c>
      <c r="E397" s="11" t="inlineStr">
        <is>
          <t>S G L CAMBODIA</t>
        </is>
      </c>
      <c r="F397" s="10" t="inlineStr">
        <is>
          <t>100119816</t>
        </is>
      </c>
      <c r="G397" s="24" t="inlineStr">
        <is>
          <t>441055</t>
        </is>
      </c>
      <c r="H397" s="670" t="n">
        <v>41891</v>
      </c>
      <c r="I397" s="693" t="n">
        <v>25.19</v>
      </c>
      <c r="J397" s="9" t="n"/>
    </row>
    <row r="398" ht="18" customHeight="1" s="408">
      <c r="A398" s="33" t="n">
        <v>395</v>
      </c>
      <c r="B398" s="24" t="inlineStr">
        <is>
          <t>441141</t>
        </is>
      </c>
      <c r="C398" s="670" t="n">
        <v>41891</v>
      </c>
      <c r="D398" s="693" t="n">
        <v>22.58</v>
      </c>
      <c r="E398" s="11" t="inlineStr">
        <is>
          <t>S G L CAMBODIA</t>
        </is>
      </c>
      <c r="F398" s="10" t="inlineStr">
        <is>
          <t>100119816</t>
        </is>
      </c>
      <c r="G398" s="24" t="inlineStr">
        <is>
          <t>441141</t>
        </is>
      </c>
      <c r="H398" s="670" t="n">
        <v>41891</v>
      </c>
      <c r="I398" s="693" t="n">
        <v>22.58</v>
      </c>
      <c r="J398" s="9" t="n"/>
    </row>
    <row r="399" ht="18" customHeight="1" s="408">
      <c r="A399" s="33" t="n">
        <v>396</v>
      </c>
      <c r="B399" s="24" t="inlineStr">
        <is>
          <t>441166</t>
        </is>
      </c>
      <c r="C399" s="670" t="n">
        <v>41891</v>
      </c>
      <c r="D399" s="693" t="n">
        <v>55.57</v>
      </c>
      <c r="E399" s="11" t="inlineStr">
        <is>
          <t>S G L CAMBODIA</t>
        </is>
      </c>
      <c r="F399" s="10" t="inlineStr">
        <is>
          <t>100119816</t>
        </is>
      </c>
      <c r="G399" s="24" t="inlineStr">
        <is>
          <t>441166</t>
        </is>
      </c>
      <c r="H399" s="670" t="n">
        <v>41891</v>
      </c>
      <c r="I399" s="693" t="n">
        <v>55.57</v>
      </c>
      <c r="J399" s="9" t="n"/>
    </row>
    <row r="400" ht="18" customHeight="1" s="408">
      <c r="A400" s="33" t="n">
        <v>397</v>
      </c>
      <c r="B400" s="24" t="inlineStr">
        <is>
          <t>441174</t>
        </is>
      </c>
      <c r="C400" s="670" t="n">
        <v>41891</v>
      </c>
      <c r="D400" s="693" t="n">
        <v>41.18</v>
      </c>
      <c r="E400" s="11" t="inlineStr">
        <is>
          <t>S G L CAMBODIA</t>
        </is>
      </c>
      <c r="F400" s="10" t="inlineStr">
        <is>
          <t>100119816</t>
        </is>
      </c>
      <c r="G400" s="24" t="inlineStr">
        <is>
          <t>441174</t>
        </is>
      </c>
      <c r="H400" s="670" t="n">
        <v>41891</v>
      </c>
      <c r="I400" s="693" t="n">
        <v>41.18</v>
      </c>
      <c r="J400" s="9" t="n"/>
    </row>
    <row r="401" ht="18" customHeight="1" s="408">
      <c r="A401" s="33" t="n">
        <v>398</v>
      </c>
      <c r="B401" s="24" t="inlineStr">
        <is>
          <t>441180</t>
        </is>
      </c>
      <c r="C401" s="670" t="n">
        <v>41891</v>
      </c>
      <c r="D401" s="693" t="n">
        <v>28.4</v>
      </c>
      <c r="E401" s="11" t="inlineStr">
        <is>
          <t>S G L CAMBODIA</t>
        </is>
      </c>
      <c r="F401" s="10" t="inlineStr">
        <is>
          <t>100119816</t>
        </is>
      </c>
      <c r="G401" s="24" t="inlineStr">
        <is>
          <t>441180</t>
        </is>
      </c>
      <c r="H401" s="670" t="n">
        <v>41891</v>
      </c>
      <c r="I401" s="693" t="n">
        <v>28.4</v>
      </c>
      <c r="J401" s="9" t="n"/>
    </row>
    <row r="402" ht="18" customHeight="1" s="408">
      <c r="A402" s="33" t="n">
        <v>399</v>
      </c>
      <c r="B402" s="24" t="inlineStr">
        <is>
          <t>441248</t>
        </is>
      </c>
      <c r="C402" s="670" t="n">
        <v>41896</v>
      </c>
      <c r="D402" s="693" t="n">
        <v>24.08</v>
      </c>
      <c r="E402" s="11" t="inlineStr">
        <is>
          <t>S G L CAMBODIA</t>
        </is>
      </c>
      <c r="F402" s="10" t="inlineStr">
        <is>
          <t>100119816</t>
        </is>
      </c>
      <c r="G402" s="24" t="inlineStr">
        <is>
          <t>441248</t>
        </is>
      </c>
      <c r="H402" s="670" t="n">
        <v>41896</v>
      </c>
      <c r="I402" s="693" t="n">
        <v>24.08</v>
      </c>
      <c r="J402" s="9" t="n"/>
    </row>
    <row r="403" ht="18" customHeight="1" s="408">
      <c r="A403" s="33" t="n">
        <v>400</v>
      </c>
      <c r="B403" s="24" t="inlineStr">
        <is>
          <t>441292</t>
        </is>
      </c>
      <c r="C403" s="670" t="n">
        <v>41897</v>
      </c>
      <c r="D403" s="693" t="n">
        <v>26.6</v>
      </c>
      <c r="E403" s="11" t="inlineStr">
        <is>
          <t>S G L CAMBODIA</t>
        </is>
      </c>
      <c r="F403" s="10" t="inlineStr">
        <is>
          <t>100119816</t>
        </is>
      </c>
      <c r="G403" s="24" t="inlineStr">
        <is>
          <t>441292</t>
        </is>
      </c>
      <c r="H403" s="670" t="n">
        <v>41897</v>
      </c>
      <c r="I403" s="693" t="n">
        <v>26.6</v>
      </c>
      <c r="J403" s="9" t="n"/>
    </row>
    <row r="404" ht="18" customHeight="1" s="408">
      <c r="A404" s="33" t="n">
        <v>401</v>
      </c>
      <c r="B404" s="24" t="inlineStr">
        <is>
          <t>441333</t>
        </is>
      </c>
      <c r="C404" s="670" t="n">
        <v>41898</v>
      </c>
      <c r="D404" s="693" t="n">
        <v>5</v>
      </c>
      <c r="E404" s="11" t="inlineStr">
        <is>
          <t>S G L CAMBODIA</t>
        </is>
      </c>
      <c r="F404" s="10" t="inlineStr">
        <is>
          <t>100119816</t>
        </is>
      </c>
      <c r="G404" s="24" t="inlineStr">
        <is>
          <t>441333</t>
        </is>
      </c>
      <c r="H404" s="670" t="n">
        <v>41898</v>
      </c>
      <c r="I404" s="693" t="n">
        <v>5</v>
      </c>
      <c r="J404" s="9" t="n"/>
    </row>
    <row r="405" ht="18" customHeight="1" s="408">
      <c r="A405" s="33" t="n">
        <v>402</v>
      </c>
      <c r="B405" s="24" t="inlineStr">
        <is>
          <t>441336</t>
        </is>
      </c>
      <c r="C405" s="670" t="n">
        <v>41898</v>
      </c>
      <c r="D405" s="693" t="n">
        <v>5</v>
      </c>
      <c r="E405" s="11" t="inlineStr">
        <is>
          <t>S G L CAMBODIA</t>
        </is>
      </c>
      <c r="F405" s="10" t="inlineStr">
        <is>
          <t>100119816</t>
        </is>
      </c>
      <c r="G405" s="24" t="inlineStr">
        <is>
          <t>441336</t>
        </is>
      </c>
      <c r="H405" s="670" t="n">
        <v>41898</v>
      </c>
      <c r="I405" s="693" t="n">
        <v>5</v>
      </c>
      <c r="J405" s="9" t="n"/>
    </row>
    <row r="406" ht="18" customHeight="1" s="408">
      <c r="A406" s="33" t="n">
        <v>403</v>
      </c>
      <c r="B406" s="24" t="inlineStr">
        <is>
          <t>441377</t>
        </is>
      </c>
      <c r="C406" s="670" t="n">
        <v>41898</v>
      </c>
      <c r="D406" s="693" t="n">
        <v>37.96</v>
      </c>
      <c r="E406" s="11" t="inlineStr">
        <is>
          <t>S G L CAMBODIA</t>
        </is>
      </c>
      <c r="F406" s="10" t="inlineStr">
        <is>
          <t>100119816</t>
        </is>
      </c>
      <c r="G406" s="24" t="inlineStr">
        <is>
          <t>441377</t>
        </is>
      </c>
      <c r="H406" s="670" t="n">
        <v>41898</v>
      </c>
      <c r="I406" s="693" t="n">
        <v>37.96</v>
      </c>
      <c r="J406" s="9" t="n"/>
    </row>
    <row r="407" ht="18" customHeight="1" s="408">
      <c r="A407" s="33" t="n">
        <v>404</v>
      </c>
      <c r="B407" s="24" t="inlineStr">
        <is>
          <t>441389</t>
        </is>
      </c>
      <c r="C407" s="670" t="n">
        <v>41898</v>
      </c>
      <c r="D407" s="693" t="n">
        <v>34.93</v>
      </c>
      <c r="E407" s="11" t="inlineStr">
        <is>
          <t>S G L CAMBODIA</t>
        </is>
      </c>
      <c r="F407" s="10" t="inlineStr">
        <is>
          <t>100119816</t>
        </is>
      </c>
      <c r="G407" s="24" t="inlineStr">
        <is>
          <t>441389</t>
        </is>
      </c>
      <c r="H407" s="670" t="n">
        <v>41898</v>
      </c>
      <c r="I407" s="693" t="n">
        <v>34.93</v>
      </c>
      <c r="J407" s="9" t="n"/>
    </row>
    <row r="408" ht="18" customHeight="1" s="408">
      <c r="A408" s="33" t="n">
        <v>405</v>
      </c>
      <c r="B408" s="24" t="inlineStr">
        <is>
          <t>441409</t>
        </is>
      </c>
      <c r="C408" s="670" t="n">
        <v>41898</v>
      </c>
      <c r="D408" s="693" t="n">
        <v>22.3</v>
      </c>
      <c r="E408" s="11" t="inlineStr">
        <is>
          <t>S G L CAMBODIA</t>
        </is>
      </c>
      <c r="F408" s="10" t="inlineStr">
        <is>
          <t>100119816</t>
        </is>
      </c>
      <c r="G408" s="24" t="inlineStr">
        <is>
          <t>441409</t>
        </is>
      </c>
      <c r="H408" s="670" t="n">
        <v>41898</v>
      </c>
      <c r="I408" s="693" t="n">
        <v>22.3</v>
      </c>
      <c r="J408" s="9" t="n"/>
    </row>
    <row r="409" ht="18" customHeight="1" s="408">
      <c r="A409" s="33" t="n">
        <v>406</v>
      </c>
      <c r="B409" s="24" t="inlineStr">
        <is>
          <t>441411</t>
        </is>
      </c>
      <c r="C409" s="670" t="n">
        <v>41899</v>
      </c>
      <c r="D409" s="693" t="n">
        <v>5</v>
      </c>
      <c r="E409" s="11" t="inlineStr">
        <is>
          <t>S G L CAMBODIA</t>
        </is>
      </c>
      <c r="F409" s="10" t="inlineStr">
        <is>
          <t>100119816</t>
        </is>
      </c>
      <c r="G409" s="24" t="inlineStr">
        <is>
          <t>441411</t>
        </is>
      </c>
      <c r="H409" s="670" t="n">
        <v>41899</v>
      </c>
      <c r="I409" s="693" t="n">
        <v>5</v>
      </c>
      <c r="J409" s="9" t="n"/>
    </row>
    <row r="410" ht="18" customHeight="1" s="408">
      <c r="A410" s="33" t="n">
        <v>407</v>
      </c>
      <c r="B410" s="24" t="inlineStr">
        <is>
          <t>1441481</t>
        </is>
      </c>
      <c r="C410" s="670" t="n">
        <v>41907</v>
      </c>
      <c r="D410" s="693" t="n">
        <v>25.55</v>
      </c>
      <c r="E410" s="11" t="inlineStr">
        <is>
          <t>S G L CAMBODIA</t>
        </is>
      </c>
      <c r="F410" s="10" t="inlineStr">
        <is>
          <t>100119816</t>
        </is>
      </c>
      <c r="G410" s="24" t="inlineStr">
        <is>
          <t>1441481</t>
        </is>
      </c>
      <c r="H410" s="670" t="n">
        <v>41907</v>
      </c>
      <c r="I410" s="693" t="n">
        <v>25.55</v>
      </c>
      <c r="J410" s="9" t="n"/>
    </row>
    <row r="411" ht="18" customHeight="1" s="408">
      <c r="A411" s="33" t="n">
        <v>408</v>
      </c>
      <c r="B411" s="24" t="inlineStr">
        <is>
          <t>441617</t>
        </is>
      </c>
      <c r="C411" s="670" t="n">
        <v>41911</v>
      </c>
      <c r="D411" s="693" t="n">
        <v>5</v>
      </c>
      <c r="E411" s="11" t="inlineStr">
        <is>
          <t>S G L CAMBODIA</t>
        </is>
      </c>
      <c r="F411" s="10" t="inlineStr">
        <is>
          <t>100119816</t>
        </is>
      </c>
      <c r="G411" s="24" t="inlineStr">
        <is>
          <t>441617</t>
        </is>
      </c>
      <c r="H411" s="670" t="n">
        <v>41911</v>
      </c>
      <c r="I411" s="693" t="n">
        <v>5</v>
      </c>
      <c r="J411" s="9" t="n"/>
    </row>
    <row r="412" ht="18" customHeight="1" s="408">
      <c r="A412" s="33" t="n">
        <v>409</v>
      </c>
      <c r="B412" s="24" t="inlineStr">
        <is>
          <t>441699</t>
        </is>
      </c>
      <c r="C412" s="670" t="n">
        <v>41912</v>
      </c>
      <c r="D412" s="693" t="n">
        <v>22.3</v>
      </c>
      <c r="E412" s="11" t="inlineStr">
        <is>
          <t>S G L CAMBODIA</t>
        </is>
      </c>
      <c r="F412" s="10" t="inlineStr">
        <is>
          <t>100119816</t>
        </is>
      </c>
      <c r="G412" s="24" t="inlineStr">
        <is>
          <t>441699</t>
        </is>
      </c>
      <c r="H412" s="670" t="n">
        <v>41912</v>
      </c>
      <c r="I412" s="693" t="n">
        <v>22.3</v>
      </c>
      <c r="J412" s="9" t="n"/>
    </row>
    <row r="413" ht="18" customHeight="1" s="408">
      <c r="A413" s="33" t="n">
        <v>410</v>
      </c>
      <c r="B413" s="24" t="inlineStr">
        <is>
          <t>441709</t>
        </is>
      </c>
      <c r="C413" s="670" t="n">
        <v>41912</v>
      </c>
      <c r="D413" s="693" t="n">
        <v>22.3</v>
      </c>
      <c r="E413" s="11" t="inlineStr">
        <is>
          <t>S G L CAMBODIA</t>
        </is>
      </c>
      <c r="F413" s="10" t="inlineStr">
        <is>
          <t>100119816</t>
        </is>
      </c>
      <c r="G413" s="24" t="inlineStr">
        <is>
          <t>441709</t>
        </is>
      </c>
      <c r="H413" s="670" t="n">
        <v>41912</v>
      </c>
      <c r="I413" s="693" t="n">
        <v>22.3</v>
      </c>
      <c r="J413" s="9" t="n"/>
    </row>
    <row r="414" ht="18" customHeight="1" s="408">
      <c r="A414" s="33" t="n">
        <v>411</v>
      </c>
      <c r="B414" s="24" t="inlineStr">
        <is>
          <t>441792</t>
        </is>
      </c>
      <c r="C414" s="670" t="n">
        <v>41919</v>
      </c>
      <c r="D414" s="693" t="n">
        <v>5</v>
      </c>
      <c r="E414" s="11" t="inlineStr">
        <is>
          <t>S G L CAMBODIA</t>
        </is>
      </c>
      <c r="F414" s="10" t="inlineStr">
        <is>
          <t>100119816</t>
        </is>
      </c>
      <c r="G414" s="24" t="inlineStr">
        <is>
          <t>441792</t>
        </is>
      </c>
      <c r="H414" s="670" t="n">
        <v>41919</v>
      </c>
      <c r="I414" s="693" t="n">
        <v>5</v>
      </c>
      <c r="J414" s="9" t="n"/>
    </row>
    <row r="415" ht="18" customHeight="1" s="408">
      <c r="A415" s="33" t="n">
        <v>412</v>
      </c>
      <c r="B415" s="24" t="inlineStr">
        <is>
          <t>441814</t>
        </is>
      </c>
      <c r="C415" s="670" t="n">
        <v>41919</v>
      </c>
      <c r="D415" s="693" t="n">
        <v>63.66</v>
      </c>
      <c r="E415" s="11" t="inlineStr">
        <is>
          <t>S G L CAMBODIA</t>
        </is>
      </c>
      <c r="F415" s="10" t="inlineStr">
        <is>
          <t>100119816</t>
        </is>
      </c>
      <c r="G415" s="24" t="inlineStr">
        <is>
          <t>441814</t>
        </is>
      </c>
      <c r="H415" s="670" t="n">
        <v>41919</v>
      </c>
      <c r="I415" s="693" t="n">
        <v>63.66</v>
      </c>
      <c r="J415" s="9" t="n"/>
    </row>
    <row r="416" ht="18" customHeight="1" s="408">
      <c r="A416" s="33" t="n">
        <v>413</v>
      </c>
      <c r="B416" s="24" t="inlineStr">
        <is>
          <t>441903</t>
        </is>
      </c>
      <c r="C416" s="670" t="n">
        <v>41920</v>
      </c>
      <c r="D416" s="693" t="n">
        <v>34.37</v>
      </c>
      <c r="E416" s="11" t="inlineStr">
        <is>
          <t>S G L CAMBODIA</t>
        </is>
      </c>
      <c r="F416" s="10" t="inlineStr">
        <is>
          <t>100119816</t>
        </is>
      </c>
      <c r="G416" s="24" t="inlineStr">
        <is>
          <t>441903</t>
        </is>
      </c>
      <c r="H416" s="670" t="n">
        <v>41920</v>
      </c>
      <c r="I416" s="693" t="n">
        <v>34.37</v>
      </c>
      <c r="J416" s="9" t="n"/>
    </row>
    <row r="417" ht="18" customHeight="1" s="408">
      <c r="A417" s="33" t="n">
        <v>414</v>
      </c>
      <c r="B417" s="24" t="inlineStr">
        <is>
          <t>442029</t>
        </is>
      </c>
      <c r="C417" s="670" t="n">
        <v>41921</v>
      </c>
      <c r="D417" s="693" t="n">
        <v>26.6</v>
      </c>
      <c r="E417" s="11" t="inlineStr">
        <is>
          <t>S G L CAMBODIA</t>
        </is>
      </c>
      <c r="F417" s="10" t="inlineStr">
        <is>
          <t>100119816</t>
        </is>
      </c>
      <c r="G417" s="24" t="inlineStr">
        <is>
          <t>442029</t>
        </is>
      </c>
      <c r="H417" s="670" t="n">
        <v>41921</v>
      </c>
      <c r="I417" s="693" t="n">
        <v>26.6</v>
      </c>
      <c r="J417" s="9" t="n"/>
    </row>
    <row r="418" ht="18" customHeight="1" s="408">
      <c r="A418" s="33" t="n">
        <v>415</v>
      </c>
      <c r="B418" s="24" t="inlineStr">
        <is>
          <t>442034</t>
        </is>
      </c>
      <c r="C418" s="670" t="n">
        <v>41921</v>
      </c>
      <c r="D418" s="693" t="n">
        <v>52.59</v>
      </c>
      <c r="E418" s="11" t="inlineStr">
        <is>
          <t>S G L CAMBODIA</t>
        </is>
      </c>
      <c r="F418" s="10" t="inlineStr">
        <is>
          <t>100119816</t>
        </is>
      </c>
      <c r="G418" s="24" t="inlineStr">
        <is>
          <t>442034</t>
        </is>
      </c>
      <c r="H418" s="670" t="n">
        <v>41921</v>
      </c>
      <c r="I418" s="693" t="n">
        <v>52.59</v>
      </c>
      <c r="J418" s="9" t="n"/>
    </row>
    <row r="419" ht="18" customHeight="1" s="408">
      <c r="A419" s="33" t="n">
        <v>416</v>
      </c>
      <c r="B419" s="24" t="inlineStr">
        <is>
          <t>442120</t>
        </is>
      </c>
      <c r="C419" s="670" t="n">
        <v>41925</v>
      </c>
      <c r="D419" s="693" t="n">
        <v>27.43</v>
      </c>
      <c r="E419" s="11" t="inlineStr">
        <is>
          <t>S G L CAMBODIA</t>
        </is>
      </c>
      <c r="F419" s="10" t="inlineStr">
        <is>
          <t>100119816</t>
        </is>
      </c>
      <c r="G419" s="24" t="inlineStr">
        <is>
          <t>442120</t>
        </is>
      </c>
      <c r="H419" s="670" t="n">
        <v>41925</v>
      </c>
      <c r="I419" s="693" t="n">
        <v>27.43</v>
      </c>
      <c r="J419" s="9" t="n"/>
    </row>
    <row r="420" ht="18" customHeight="1" s="408">
      <c r="A420" s="33" t="n">
        <v>417</v>
      </c>
      <c r="B420" s="24" t="inlineStr">
        <is>
          <t>442106</t>
        </is>
      </c>
      <c r="C420" s="670" t="n">
        <v>41925</v>
      </c>
      <c r="D420" s="693" t="n">
        <v>32.57</v>
      </c>
      <c r="E420" s="11" t="inlineStr">
        <is>
          <t>S G L CAMBODIA</t>
        </is>
      </c>
      <c r="F420" s="10" t="inlineStr">
        <is>
          <t>100119816</t>
        </is>
      </c>
      <c r="G420" s="24" t="inlineStr">
        <is>
          <t>442106</t>
        </is>
      </c>
      <c r="H420" s="670" t="n">
        <v>41925</v>
      </c>
      <c r="I420" s="693" t="n">
        <v>32.57</v>
      </c>
      <c r="J420" s="9" t="n"/>
    </row>
    <row r="421" ht="18" customHeight="1" s="408">
      <c r="A421" s="33" t="n">
        <v>418</v>
      </c>
      <c r="B421" s="24" t="inlineStr">
        <is>
          <t>442136</t>
        </is>
      </c>
      <c r="C421" s="670" t="n">
        <v>41926</v>
      </c>
      <c r="D421" s="693" t="n">
        <v>29.73</v>
      </c>
      <c r="E421" s="11" t="inlineStr">
        <is>
          <t>S G L CAMBODIA</t>
        </is>
      </c>
      <c r="F421" s="10" t="inlineStr">
        <is>
          <t>100119816</t>
        </is>
      </c>
      <c r="G421" s="24" t="inlineStr">
        <is>
          <t>442136</t>
        </is>
      </c>
      <c r="H421" s="670" t="n">
        <v>41926</v>
      </c>
      <c r="I421" s="693" t="n">
        <v>29.73</v>
      </c>
      <c r="J421" s="9" t="n"/>
    </row>
    <row r="422" ht="18" customHeight="1" s="408">
      <c r="A422" s="33" t="n">
        <v>419</v>
      </c>
      <c r="B422" s="24" t="inlineStr">
        <is>
          <t>442142</t>
        </is>
      </c>
      <c r="C422" s="670" t="n">
        <v>41926</v>
      </c>
      <c r="D422" s="693" t="n">
        <v>24.2</v>
      </c>
      <c r="E422" s="11" t="inlineStr">
        <is>
          <t>S G L CAMBODIA</t>
        </is>
      </c>
      <c r="F422" s="10" t="inlineStr">
        <is>
          <t>100119816</t>
        </is>
      </c>
      <c r="G422" s="24" t="inlineStr">
        <is>
          <t>442142</t>
        </is>
      </c>
      <c r="H422" s="670" t="n">
        <v>41926</v>
      </c>
      <c r="I422" s="693" t="n">
        <v>24.2</v>
      </c>
      <c r="J422" s="9" t="n"/>
    </row>
    <row r="423" ht="18" customHeight="1" s="408">
      <c r="A423" s="33" t="n">
        <v>420</v>
      </c>
      <c r="B423" s="24" t="inlineStr">
        <is>
          <t>442176</t>
        </is>
      </c>
      <c r="C423" s="670" t="n">
        <v>41926</v>
      </c>
      <c r="D423" s="693" t="n">
        <v>52.82</v>
      </c>
      <c r="E423" s="11" t="inlineStr">
        <is>
          <t>S G L CAMBODIA</t>
        </is>
      </c>
      <c r="F423" s="10" t="inlineStr">
        <is>
          <t>100119816</t>
        </is>
      </c>
      <c r="G423" s="24" t="inlineStr">
        <is>
          <t>442176</t>
        </is>
      </c>
      <c r="H423" s="670" t="n">
        <v>41926</v>
      </c>
      <c r="I423" s="693" t="n">
        <v>52.82</v>
      </c>
      <c r="J423" s="9" t="n"/>
    </row>
    <row r="424" ht="18" customHeight="1" s="408">
      <c r="A424" s="33" t="n">
        <v>421</v>
      </c>
      <c r="B424" s="24" t="inlineStr">
        <is>
          <t>442270</t>
        </is>
      </c>
      <c r="C424" s="670" t="n">
        <v>41933</v>
      </c>
      <c r="D424" s="693" t="n">
        <v>29.71</v>
      </c>
      <c r="E424" s="11" t="inlineStr">
        <is>
          <t>S G L CAMBODIA</t>
        </is>
      </c>
      <c r="F424" s="10" t="inlineStr">
        <is>
          <t>100119816</t>
        </is>
      </c>
      <c r="G424" s="24" t="inlineStr">
        <is>
          <t>442270</t>
        </is>
      </c>
      <c r="H424" s="670" t="n">
        <v>41933</v>
      </c>
      <c r="I424" s="693" t="n">
        <v>29.71</v>
      </c>
      <c r="J424" s="9" t="n"/>
    </row>
    <row r="425" ht="18" customHeight="1" s="408">
      <c r="A425" s="33" t="n">
        <v>422</v>
      </c>
      <c r="B425" s="24" t="inlineStr">
        <is>
          <t>442297</t>
        </is>
      </c>
      <c r="C425" s="670" t="n">
        <v>41933</v>
      </c>
      <c r="D425" s="693" t="n">
        <v>39.18</v>
      </c>
      <c r="E425" s="11" t="inlineStr">
        <is>
          <t>S G L CAMBODIA</t>
        </is>
      </c>
      <c r="F425" s="10" t="inlineStr">
        <is>
          <t>100119816</t>
        </is>
      </c>
      <c r="G425" s="24" t="inlineStr">
        <is>
          <t>442297</t>
        </is>
      </c>
      <c r="H425" s="670" t="n">
        <v>41933</v>
      </c>
      <c r="I425" s="693" t="n">
        <v>39.18</v>
      </c>
      <c r="J425" s="9" t="n"/>
    </row>
    <row r="426" ht="18" customHeight="1" s="408">
      <c r="A426" s="33" t="n">
        <v>423</v>
      </c>
      <c r="B426" s="24" t="inlineStr">
        <is>
          <t>442490</t>
        </is>
      </c>
      <c r="C426" s="670" t="n">
        <v>41940</v>
      </c>
      <c r="D426" s="693" t="n">
        <v>23.89</v>
      </c>
      <c r="E426" s="11" t="inlineStr">
        <is>
          <t>S G L CAMBODIA</t>
        </is>
      </c>
      <c r="F426" s="10" t="inlineStr">
        <is>
          <t>100119816</t>
        </is>
      </c>
      <c r="G426" s="24" t="inlineStr">
        <is>
          <t>442490</t>
        </is>
      </c>
      <c r="H426" s="670" t="n">
        <v>41940</v>
      </c>
      <c r="I426" s="693" t="n">
        <v>23.89</v>
      </c>
      <c r="J426" s="9" t="n"/>
    </row>
    <row r="427" ht="18" customHeight="1" s="408">
      <c r="A427" s="33" t="n">
        <v>424</v>
      </c>
      <c r="B427" s="24" t="inlineStr">
        <is>
          <t>442594</t>
        </is>
      </c>
      <c r="C427" s="670" t="n">
        <v>41946</v>
      </c>
      <c r="D427" s="693" t="n">
        <v>22.3</v>
      </c>
      <c r="E427" s="11" t="inlineStr">
        <is>
          <t>S G L CAMBODIA</t>
        </is>
      </c>
      <c r="F427" s="10" t="inlineStr">
        <is>
          <t>100119816</t>
        </is>
      </c>
      <c r="G427" s="24" t="inlineStr">
        <is>
          <t>442594</t>
        </is>
      </c>
      <c r="H427" s="670" t="n">
        <v>41946</v>
      </c>
      <c r="I427" s="693" t="n">
        <v>22.3</v>
      </c>
      <c r="J427" s="9" t="n"/>
    </row>
    <row r="428" ht="18" customHeight="1" s="408">
      <c r="A428" s="33" t="n">
        <v>425</v>
      </c>
      <c r="B428" s="24" t="inlineStr">
        <is>
          <t>442640</t>
        </is>
      </c>
      <c r="C428" s="670" t="n">
        <v>41947</v>
      </c>
      <c r="D428" s="693" t="n">
        <v>27.35</v>
      </c>
      <c r="E428" s="11" t="inlineStr">
        <is>
          <t>S G L CAMBODIA</t>
        </is>
      </c>
      <c r="F428" s="10" t="inlineStr">
        <is>
          <t>100119816</t>
        </is>
      </c>
      <c r="G428" s="24" t="inlineStr">
        <is>
          <t>442640</t>
        </is>
      </c>
      <c r="H428" s="670" t="n">
        <v>41947</v>
      </c>
      <c r="I428" s="693" t="n">
        <v>27.35</v>
      </c>
      <c r="J428" s="9" t="n"/>
    </row>
    <row r="429" ht="18" customHeight="1" s="408">
      <c r="A429" s="33" t="n">
        <v>426</v>
      </c>
      <c r="B429" s="24" t="inlineStr">
        <is>
          <t>442668</t>
        </is>
      </c>
      <c r="C429" s="670" t="n">
        <v>41947</v>
      </c>
      <c r="D429" s="693" t="n">
        <v>52.29</v>
      </c>
      <c r="E429" s="11" t="inlineStr">
        <is>
          <t>S G L CAMBODIA</t>
        </is>
      </c>
      <c r="F429" s="10" t="inlineStr">
        <is>
          <t>100119816</t>
        </is>
      </c>
      <c r="G429" s="24" t="inlineStr">
        <is>
          <t>442668</t>
        </is>
      </c>
      <c r="H429" s="670" t="n">
        <v>41947</v>
      </c>
      <c r="I429" s="693" t="n">
        <v>52.29</v>
      </c>
      <c r="J429" s="9" t="n"/>
    </row>
    <row r="430" ht="18" customHeight="1" s="408">
      <c r="A430" s="33" t="n">
        <v>427</v>
      </c>
      <c r="B430" s="24" t="inlineStr">
        <is>
          <t>442688</t>
        </is>
      </c>
      <c r="C430" s="670" t="n">
        <v>41947</v>
      </c>
      <c r="D430" s="693" t="n">
        <v>35.23</v>
      </c>
      <c r="E430" s="11" t="inlineStr">
        <is>
          <t>S G L CAMBODIA</t>
        </is>
      </c>
      <c r="F430" s="10" t="inlineStr">
        <is>
          <t>100119816</t>
        </is>
      </c>
      <c r="G430" s="24" t="inlineStr">
        <is>
          <t>442688</t>
        </is>
      </c>
      <c r="H430" s="670" t="n">
        <v>41947</v>
      </c>
      <c r="I430" s="693" t="n">
        <v>35.23</v>
      </c>
      <c r="J430" s="9" t="n"/>
    </row>
    <row r="431" ht="18" customHeight="1" s="408">
      <c r="A431" s="33" t="n">
        <v>428</v>
      </c>
      <c r="B431" s="24" t="inlineStr">
        <is>
          <t>442834</t>
        </is>
      </c>
      <c r="C431" s="670" t="n">
        <v>41954</v>
      </c>
      <c r="D431" s="693" t="n">
        <v>26.96</v>
      </c>
      <c r="E431" s="11" t="inlineStr">
        <is>
          <t>S G L CAMBODIA</t>
        </is>
      </c>
      <c r="F431" s="10" t="inlineStr">
        <is>
          <t>100119816</t>
        </is>
      </c>
      <c r="G431" s="24" t="inlineStr">
        <is>
          <t>442834</t>
        </is>
      </c>
      <c r="H431" s="670" t="n">
        <v>41954</v>
      </c>
      <c r="I431" s="693" t="n">
        <v>26.96</v>
      </c>
      <c r="J431" s="9" t="n"/>
    </row>
    <row r="432" ht="18" customHeight="1" s="408">
      <c r="A432" s="33" t="n">
        <v>429</v>
      </c>
      <c r="B432" s="24" t="inlineStr">
        <is>
          <t>442898</t>
        </is>
      </c>
      <c r="C432" s="670" t="n">
        <v>41955</v>
      </c>
      <c r="D432" s="693" t="n">
        <v>27.26</v>
      </c>
      <c r="E432" s="11" t="inlineStr">
        <is>
          <t>S G L CAMBODIA</t>
        </is>
      </c>
      <c r="F432" s="10" t="inlineStr">
        <is>
          <t>100119816</t>
        </is>
      </c>
      <c r="G432" s="24" t="inlineStr">
        <is>
          <t>442898</t>
        </is>
      </c>
      <c r="H432" s="670" t="n">
        <v>41955</v>
      </c>
      <c r="I432" s="693" t="n">
        <v>27.26</v>
      </c>
      <c r="J432" s="9" t="n"/>
    </row>
    <row r="433" ht="18" customHeight="1" s="408">
      <c r="A433" s="33" t="n">
        <v>430</v>
      </c>
      <c r="B433" s="24" t="inlineStr">
        <is>
          <t>442979</t>
        </is>
      </c>
      <c r="C433" s="670" t="n">
        <v>41961</v>
      </c>
      <c r="D433" s="693" t="n">
        <v>26.23</v>
      </c>
      <c r="E433" s="11" t="inlineStr">
        <is>
          <t>S G L CAMBODIA</t>
        </is>
      </c>
      <c r="F433" s="10" t="inlineStr">
        <is>
          <t>100119816</t>
        </is>
      </c>
      <c r="G433" s="24" t="inlineStr">
        <is>
          <t>442979</t>
        </is>
      </c>
      <c r="H433" s="670" t="n">
        <v>41961</v>
      </c>
      <c r="I433" s="693" t="n">
        <v>26.23</v>
      </c>
      <c r="J433" s="9" t="n"/>
    </row>
    <row r="434" ht="18" customHeight="1" s="408">
      <c r="A434" s="33" t="n">
        <v>431</v>
      </c>
      <c r="B434" s="24" t="inlineStr">
        <is>
          <t>442980</t>
        </is>
      </c>
      <c r="C434" s="670" t="n">
        <v>41961</v>
      </c>
      <c r="D434" s="693" t="n">
        <v>22.3</v>
      </c>
      <c r="E434" s="11" t="inlineStr">
        <is>
          <t>S G L CAMBODIA</t>
        </is>
      </c>
      <c r="F434" s="10" t="inlineStr">
        <is>
          <t>100119816</t>
        </is>
      </c>
      <c r="G434" s="24" t="inlineStr">
        <is>
          <t>442980</t>
        </is>
      </c>
      <c r="H434" s="670" t="n">
        <v>41961</v>
      </c>
      <c r="I434" s="693" t="n">
        <v>22.3</v>
      </c>
      <c r="J434" s="9" t="n"/>
    </row>
    <row r="435" ht="18" customHeight="1" s="408">
      <c r="A435" s="33" t="n">
        <v>432</v>
      </c>
      <c r="B435" s="24" t="inlineStr">
        <is>
          <t>443126</t>
        </is>
      </c>
      <c r="C435" s="670" t="n">
        <v>41967</v>
      </c>
      <c r="D435" s="693" t="n">
        <v>5</v>
      </c>
      <c r="E435" s="11" t="inlineStr">
        <is>
          <t>S G L CAMBODIA</t>
        </is>
      </c>
      <c r="F435" s="10" t="inlineStr">
        <is>
          <t>100119816</t>
        </is>
      </c>
      <c r="G435" s="24" t="inlineStr">
        <is>
          <t>443126</t>
        </is>
      </c>
      <c r="H435" s="670" t="n">
        <v>41967</v>
      </c>
      <c r="I435" s="693" t="n">
        <v>5</v>
      </c>
      <c r="J435" s="9" t="n"/>
    </row>
    <row r="436" ht="18" customHeight="1" s="408">
      <c r="A436" s="33" t="n">
        <v>433</v>
      </c>
      <c r="B436" s="24" t="inlineStr">
        <is>
          <t>443161</t>
        </is>
      </c>
      <c r="C436" s="670" t="n">
        <v>41968</v>
      </c>
      <c r="D436" s="693" t="n">
        <v>26.71</v>
      </c>
      <c r="E436" s="11" t="inlineStr">
        <is>
          <t>S G L CAMBODIA</t>
        </is>
      </c>
      <c r="F436" s="10" t="inlineStr">
        <is>
          <t>100119816</t>
        </is>
      </c>
      <c r="G436" s="24" t="inlineStr">
        <is>
          <t>443161</t>
        </is>
      </c>
      <c r="H436" s="670" t="n">
        <v>41968</v>
      </c>
      <c r="I436" s="693" t="n">
        <v>26.71</v>
      </c>
      <c r="J436" s="9" t="n"/>
    </row>
    <row r="437" ht="18" customHeight="1" s="408">
      <c r="A437" s="33" t="n">
        <v>434</v>
      </c>
      <c r="B437" s="24" t="inlineStr">
        <is>
          <t>43295</t>
        </is>
      </c>
      <c r="C437" s="670" t="n">
        <v>41973</v>
      </c>
      <c r="D437" s="693" t="n">
        <v>29.64</v>
      </c>
      <c r="E437" s="11" t="inlineStr">
        <is>
          <t>S G L CAMBODIA</t>
        </is>
      </c>
      <c r="F437" s="10" t="inlineStr">
        <is>
          <t>100119816</t>
        </is>
      </c>
      <c r="G437" s="24" t="inlineStr">
        <is>
          <t>43295</t>
        </is>
      </c>
      <c r="H437" s="670" t="n">
        <v>41973</v>
      </c>
      <c r="I437" s="693" t="n">
        <v>29.64</v>
      </c>
      <c r="J437" s="9" t="n"/>
    </row>
    <row r="438" ht="18" customHeight="1" s="408">
      <c r="A438" s="33" t="n">
        <v>435</v>
      </c>
      <c r="B438" s="24" t="inlineStr">
        <is>
          <t>443338</t>
        </is>
      </c>
      <c r="C438" s="670" t="n">
        <v>41981</v>
      </c>
      <c r="D438" s="693" t="n">
        <v>5</v>
      </c>
      <c r="E438" s="11" t="inlineStr">
        <is>
          <t>S G L CAMBODIA</t>
        </is>
      </c>
      <c r="F438" s="10" t="inlineStr">
        <is>
          <t>100119816</t>
        </is>
      </c>
      <c r="G438" s="24" t="inlineStr">
        <is>
          <t>443338</t>
        </is>
      </c>
      <c r="H438" s="670" t="n">
        <v>41981</v>
      </c>
      <c r="I438" s="693" t="n">
        <v>5</v>
      </c>
      <c r="J438" s="9" t="n"/>
    </row>
    <row r="439" ht="18" customHeight="1" s="408">
      <c r="A439" s="33" t="n">
        <v>436</v>
      </c>
      <c r="B439" s="24" t="inlineStr">
        <is>
          <t>443425</t>
        </is>
      </c>
      <c r="C439" s="670" t="n">
        <v>41982</v>
      </c>
      <c r="D439" s="693" t="n">
        <v>37.35</v>
      </c>
      <c r="E439" s="11" t="inlineStr">
        <is>
          <t>S G L CAMBODIA</t>
        </is>
      </c>
      <c r="F439" s="10" t="inlineStr">
        <is>
          <t>100119816</t>
        </is>
      </c>
      <c r="G439" s="24" t="inlineStr">
        <is>
          <t>443425</t>
        </is>
      </c>
      <c r="H439" s="670" t="n">
        <v>41982</v>
      </c>
      <c r="I439" s="693" t="n">
        <v>37.35</v>
      </c>
      <c r="J439" s="9" t="n"/>
    </row>
    <row r="440" ht="18" customHeight="1" s="408">
      <c r="A440" s="33" t="n">
        <v>437</v>
      </c>
      <c r="B440" s="24" t="inlineStr">
        <is>
          <t>443430</t>
        </is>
      </c>
      <c r="C440" s="670" t="n">
        <v>41982</v>
      </c>
      <c r="D440" s="693" t="n">
        <v>61.37</v>
      </c>
      <c r="E440" s="11" t="inlineStr">
        <is>
          <t>S G L CAMBODIA</t>
        </is>
      </c>
      <c r="F440" s="10" t="inlineStr">
        <is>
          <t>100119816</t>
        </is>
      </c>
      <c r="G440" s="24" t="inlineStr">
        <is>
          <t>443430</t>
        </is>
      </c>
      <c r="H440" s="670" t="n">
        <v>41982</v>
      </c>
      <c r="I440" s="693" t="n">
        <v>61.37</v>
      </c>
      <c r="J440" s="9" t="n"/>
    </row>
    <row r="441" ht="18" customHeight="1" s="408">
      <c r="A441" s="33" t="n">
        <v>438</v>
      </c>
      <c r="B441" s="24" t="inlineStr">
        <is>
          <t>443464</t>
        </is>
      </c>
      <c r="C441" s="670" t="n">
        <v>41982</v>
      </c>
      <c r="D441" s="693" t="n">
        <v>66.34999999999999</v>
      </c>
      <c r="E441" s="11" t="inlineStr">
        <is>
          <t>S G L CAMBODIA</t>
        </is>
      </c>
      <c r="F441" s="10" t="inlineStr">
        <is>
          <t>100119816</t>
        </is>
      </c>
      <c r="G441" s="24" t="inlineStr">
        <is>
          <t>443464</t>
        </is>
      </c>
      <c r="H441" s="670" t="n">
        <v>41982</v>
      </c>
      <c r="I441" s="693" t="n">
        <v>66.34999999999999</v>
      </c>
      <c r="J441" s="9" t="n"/>
    </row>
    <row r="442" ht="18" customHeight="1" s="408">
      <c r="A442" s="33" t="n">
        <v>439</v>
      </c>
      <c r="B442" s="24" t="inlineStr">
        <is>
          <t>443484</t>
        </is>
      </c>
      <c r="C442" s="670" t="n">
        <v>41982</v>
      </c>
      <c r="D442" s="693" t="n">
        <v>6.8</v>
      </c>
      <c r="E442" s="11" t="inlineStr">
        <is>
          <t>S G L CAMBODIA</t>
        </is>
      </c>
      <c r="F442" s="10" t="inlineStr">
        <is>
          <t>100119816</t>
        </is>
      </c>
      <c r="G442" s="24" t="inlineStr">
        <is>
          <t>443484</t>
        </is>
      </c>
      <c r="H442" s="670" t="n">
        <v>41982</v>
      </c>
      <c r="I442" s="693" t="n">
        <v>6.8</v>
      </c>
      <c r="J442" s="9" t="n"/>
    </row>
    <row r="443" ht="18" customHeight="1" s="408">
      <c r="A443" s="33" t="n">
        <v>440</v>
      </c>
      <c r="B443" s="24" t="inlineStr">
        <is>
          <t>443503</t>
        </is>
      </c>
      <c r="C443" s="670" t="n">
        <v>41983</v>
      </c>
      <c r="D443" s="693" t="n">
        <v>27.22</v>
      </c>
      <c r="E443" s="11" t="inlineStr">
        <is>
          <t>S G L CAMBODIA</t>
        </is>
      </c>
      <c r="F443" s="10" t="inlineStr">
        <is>
          <t>100119816</t>
        </is>
      </c>
      <c r="G443" s="24" t="inlineStr">
        <is>
          <t>443503</t>
        </is>
      </c>
      <c r="H443" s="670" t="n">
        <v>41983</v>
      </c>
      <c r="I443" s="693" t="n">
        <v>27.22</v>
      </c>
      <c r="J443" s="9" t="n"/>
    </row>
    <row r="444" ht="18" customHeight="1" s="408">
      <c r="A444" s="33" t="n">
        <v>441</v>
      </c>
      <c r="B444" s="24" t="inlineStr">
        <is>
          <t>443504</t>
        </is>
      </c>
      <c r="C444" s="670" t="n">
        <v>41983</v>
      </c>
      <c r="D444" s="693" t="n">
        <v>26.55</v>
      </c>
      <c r="E444" s="11" t="inlineStr">
        <is>
          <t>S G L CAMBODIA</t>
        </is>
      </c>
      <c r="F444" s="10" t="inlineStr">
        <is>
          <t>100119816</t>
        </is>
      </c>
      <c r="G444" s="24" t="inlineStr">
        <is>
          <t>443504</t>
        </is>
      </c>
      <c r="H444" s="670" t="n">
        <v>41983</v>
      </c>
      <c r="I444" s="693" t="n">
        <v>26.55</v>
      </c>
      <c r="J444" s="9" t="n"/>
    </row>
    <row r="445" ht="18" customHeight="1" s="408">
      <c r="A445" s="33" t="n">
        <v>442</v>
      </c>
      <c r="B445" s="24" t="inlineStr">
        <is>
          <t>443526</t>
        </is>
      </c>
      <c r="C445" s="670" t="n">
        <v>41983</v>
      </c>
      <c r="D445" s="693" t="n">
        <v>84.88</v>
      </c>
      <c r="E445" s="11" t="inlineStr">
        <is>
          <t>S G L CAMBODIA</t>
        </is>
      </c>
      <c r="F445" s="10" t="inlineStr">
        <is>
          <t>100119816</t>
        </is>
      </c>
      <c r="G445" s="24" t="inlineStr">
        <is>
          <t>443526</t>
        </is>
      </c>
      <c r="H445" s="670" t="n">
        <v>41983</v>
      </c>
      <c r="I445" s="693" t="n">
        <v>84.88</v>
      </c>
      <c r="J445" s="9" t="n"/>
    </row>
    <row r="446" ht="18" customHeight="1" s="408">
      <c r="A446" s="33" t="n">
        <v>443</v>
      </c>
      <c r="B446" s="24" t="inlineStr">
        <is>
          <t>443637</t>
        </is>
      </c>
      <c r="C446" s="670" t="n">
        <v>41983</v>
      </c>
      <c r="D446" s="693" t="n">
        <v>31.72</v>
      </c>
      <c r="E446" s="11" t="inlineStr">
        <is>
          <t>S G L CAMBODIA</t>
        </is>
      </c>
      <c r="F446" s="10" t="inlineStr">
        <is>
          <t>100119816</t>
        </is>
      </c>
      <c r="G446" s="24" t="inlineStr">
        <is>
          <t>443637</t>
        </is>
      </c>
      <c r="H446" s="670" t="n">
        <v>41983</v>
      </c>
      <c r="I446" s="693" t="n">
        <v>31.72</v>
      </c>
      <c r="J446" s="9" t="n"/>
    </row>
    <row r="447" ht="18" customHeight="1" s="408">
      <c r="A447" s="33" t="n">
        <v>444</v>
      </c>
      <c r="B447" s="24" t="inlineStr">
        <is>
          <t>443541</t>
        </is>
      </c>
      <c r="C447" s="670" t="n">
        <v>41984</v>
      </c>
      <c r="D447" s="693" t="n">
        <v>5</v>
      </c>
      <c r="E447" s="11" t="inlineStr">
        <is>
          <t>S G L CAMBODIA</t>
        </is>
      </c>
      <c r="F447" s="10" t="inlineStr">
        <is>
          <t>100119816</t>
        </is>
      </c>
      <c r="G447" s="24" t="inlineStr">
        <is>
          <t>443541</t>
        </is>
      </c>
      <c r="H447" s="670" t="n">
        <v>41984</v>
      </c>
      <c r="I447" s="693" t="n">
        <v>5</v>
      </c>
      <c r="J447" s="9" t="n"/>
    </row>
    <row r="448" ht="18" customHeight="1" s="408">
      <c r="A448" s="33" t="n">
        <v>445</v>
      </c>
      <c r="B448" s="24" t="inlineStr">
        <is>
          <t>443606</t>
        </is>
      </c>
      <c r="C448" s="670" t="n">
        <v>41989</v>
      </c>
      <c r="D448" s="693" t="n">
        <v>47.94</v>
      </c>
      <c r="E448" s="11" t="inlineStr">
        <is>
          <t>S G L CAMBODIA</t>
        </is>
      </c>
      <c r="F448" s="10" t="inlineStr">
        <is>
          <t>100119816</t>
        </is>
      </c>
      <c r="G448" s="24" t="inlineStr">
        <is>
          <t>443606</t>
        </is>
      </c>
      <c r="H448" s="670" t="n">
        <v>41989</v>
      </c>
      <c r="I448" s="693" t="n">
        <v>47.94</v>
      </c>
      <c r="J448" s="9" t="n"/>
    </row>
    <row r="449" ht="18" customHeight="1" s="408">
      <c r="A449" s="33" t="n">
        <v>446</v>
      </c>
      <c r="B449" s="24" t="inlineStr">
        <is>
          <t>443627</t>
        </is>
      </c>
      <c r="C449" s="670" t="n">
        <v>41989</v>
      </c>
      <c r="D449" s="693" t="n">
        <v>40.67</v>
      </c>
      <c r="E449" s="11" t="inlineStr">
        <is>
          <t>S G L CAMBODIA</t>
        </is>
      </c>
      <c r="F449" s="10" t="inlineStr">
        <is>
          <t>100119816</t>
        </is>
      </c>
      <c r="G449" s="24" t="inlineStr">
        <is>
          <t>443627</t>
        </is>
      </c>
      <c r="H449" s="670" t="n">
        <v>41989</v>
      </c>
      <c r="I449" s="693" t="n">
        <v>40.67</v>
      </c>
      <c r="J449" s="9" t="n"/>
    </row>
    <row r="450" ht="18" customHeight="1" s="408">
      <c r="A450" s="33" t="n">
        <v>447</v>
      </c>
      <c r="B450" s="24" t="inlineStr">
        <is>
          <t>443685</t>
        </is>
      </c>
      <c r="C450" s="670" t="n">
        <v>41989</v>
      </c>
      <c r="D450" s="693" t="n">
        <v>52.57</v>
      </c>
      <c r="E450" s="11" t="inlineStr">
        <is>
          <t>S G L CAMBODIA</t>
        </is>
      </c>
      <c r="F450" s="10" t="inlineStr">
        <is>
          <t>100119816</t>
        </is>
      </c>
      <c r="G450" s="24" t="inlineStr">
        <is>
          <t>443685</t>
        </is>
      </c>
      <c r="H450" s="670" t="n">
        <v>41989</v>
      </c>
      <c r="I450" s="693" t="n">
        <v>52.57</v>
      </c>
      <c r="J450" s="9" t="n"/>
    </row>
    <row r="451" ht="18" customHeight="1" s="408">
      <c r="A451" s="33" t="n">
        <v>448</v>
      </c>
      <c r="B451" s="24" t="inlineStr">
        <is>
          <t>443782</t>
        </is>
      </c>
      <c r="C451" s="670" t="n">
        <v>41996</v>
      </c>
      <c r="D451" s="693" t="n">
        <v>26</v>
      </c>
      <c r="E451" s="11" t="inlineStr">
        <is>
          <t>S G L CAMBODIA</t>
        </is>
      </c>
      <c r="F451" s="10" t="inlineStr">
        <is>
          <t>100119816</t>
        </is>
      </c>
      <c r="G451" s="24" t="inlineStr">
        <is>
          <t>443782</t>
        </is>
      </c>
      <c r="H451" s="670" t="n">
        <v>41996</v>
      </c>
      <c r="I451" s="693" t="n">
        <v>26</v>
      </c>
      <c r="J451" s="9" t="n"/>
    </row>
    <row r="452" ht="18" customHeight="1" s="408">
      <c r="A452" s="33" t="n">
        <v>449</v>
      </c>
      <c r="B452" s="24" t="inlineStr">
        <is>
          <t>443809</t>
        </is>
      </c>
      <c r="C452" s="670" t="n">
        <v>41996</v>
      </c>
      <c r="D452" s="693" t="n">
        <v>43.05</v>
      </c>
      <c r="E452" s="11" t="inlineStr">
        <is>
          <t>S G L CAMBODIA</t>
        </is>
      </c>
      <c r="F452" s="10" t="inlineStr">
        <is>
          <t>100119816</t>
        </is>
      </c>
      <c r="G452" s="24" t="inlineStr">
        <is>
          <t>443809</t>
        </is>
      </c>
      <c r="H452" s="670" t="n">
        <v>41996</v>
      </c>
      <c r="I452" s="693" t="n">
        <v>43.05</v>
      </c>
      <c r="J452" s="9" t="n"/>
    </row>
    <row r="453" ht="18" customHeight="1" s="408">
      <c r="A453" s="33" t="n">
        <v>450</v>
      </c>
      <c r="B453" s="24" t="inlineStr">
        <is>
          <t>443817</t>
        </is>
      </c>
      <c r="C453" s="670" t="n">
        <v>41996</v>
      </c>
      <c r="D453" s="693" t="n">
        <v>27.32</v>
      </c>
      <c r="E453" s="11" t="inlineStr">
        <is>
          <t>S G L CAMBODIA</t>
        </is>
      </c>
      <c r="F453" s="10" t="inlineStr">
        <is>
          <t>100119816</t>
        </is>
      </c>
      <c r="G453" s="24" t="inlineStr">
        <is>
          <t>443817</t>
        </is>
      </c>
      <c r="H453" s="670" t="n">
        <v>41996</v>
      </c>
      <c r="I453" s="693" t="n">
        <v>27.32</v>
      </c>
      <c r="J453" s="9" t="n"/>
    </row>
    <row r="454" ht="18" customHeight="1" s="408">
      <c r="A454" s="33" t="n">
        <v>451</v>
      </c>
      <c r="B454" s="24" t="inlineStr">
        <is>
          <t>443886</t>
        </is>
      </c>
      <c r="C454" s="670" t="n">
        <v>42001</v>
      </c>
      <c r="D454" s="693" t="n">
        <v>22.3</v>
      </c>
      <c r="E454" s="11" t="inlineStr">
        <is>
          <t>S G L CAMBODIA</t>
        </is>
      </c>
      <c r="F454" s="10" t="inlineStr">
        <is>
          <t>100119816</t>
        </is>
      </c>
      <c r="G454" s="24" t="inlineStr">
        <is>
          <t>443886</t>
        </is>
      </c>
      <c r="H454" s="670" t="n">
        <v>42001</v>
      </c>
      <c r="I454" s="693" t="n">
        <v>22.3</v>
      </c>
      <c r="J454" s="9" t="n"/>
    </row>
    <row r="455" ht="18" customHeight="1" s="408">
      <c r="A455" s="33" t="n">
        <v>452</v>
      </c>
      <c r="B455" s="24" t="inlineStr">
        <is>
          <t>443897</t>
        </is>
      </c>
      <c r="C455" s="670" t="n">
        <v>42001</v>
      </c>
      <c r="D455" s="693" t="n">
        <v>33.44</v>
      </c>
      <c r="E455" s="11" t="inlineStr">
        <is>
          <t>S G L CAMBODIA</t>
        </is>
      </c>
      <c r="F455" s="10" t="inlineStr">
        <is>
          <t>100119816</t>
        </is>
      </c>
      <c r="G455" s="24" t="inlineStr">
        <is>
          <t>443897</t>
        </is>
      </c>
      <c r="H455" s="670" t="n">
        <v>42001</v>
      </c>
      <c r="I455" s="693" t="n">
        <v>33.44</v>
      </c>
      <c r="J455" s="9" t="n"/>
    </row>
    <row r="456" ht="18" customHeight="1" s="408">
      <c r="A456" s="33" t="n">
        <v>453</v>
      </c>
      <c r="B456" s="24" t="inlineStr">
        <is>
          <t>443951</t>
        </is>
      </c>
      <c r="C456" s="670" t="n">
        <v>42002</v>
      </c>
      <c r="D456" s="693" t="n">
        <v>27.41</v>
      </c>
      <c r="E456" s="11" t="inlineStr">
        <is>
          <t>S G L CAMBODIA</t>
        </is>
      </c>
      <c r="F456" s="10" t="inlineStr">
        <is>
          <t>100119816</t>
        </is>
      </c>
      <c r="G456" s="24" t="inlineStr">
        <is>
          <t>443951</t>
        </is>
      </c>
      <c r="H456" s="670" t="n">
        <v>42002</v>
      </c>
      <c r="I456" s="693" t="n">
        <v>27.41</v>
      </c>
      <c r="J456" s="9" t="n"/>
    </row>
    <row r="457" ht="18" customHeight="1" s="408">
      <c r="A457" s="33" t="n">
        <v>454</v>
      </c>
      <c r="B457" s="24" t="inlineStr">
        <is>
          <t>443953</t>
        </is>
      </c>
      <c r="C457" s="670" t="n">
        <v>42002</v>
      </c>
      <c r="D457" s="693" t="n">
        <v>31.33</v>
      </c>
      <c r="E457" s="11" t="inlineStr">
        <is>
          <t>S G L CAMBODIA</t>
        </is>
      </c>
      <c r="F457" s="10" t="inlineStr">
        <is>
          <t>100119816</t>
        </is>
      </c>
      <c r="G457" s="24" t="inlineStr">
        <is>
          <t>443953</t>
        </is>
      </c>
      <c r="H457" s="670" t="n">
        <v>42002</v>
      </c>
      <c r="I457" s="693" t="n">
        <v>31.33</v>
      </c>
      <c r="J457" s="9" t="n"/>
    </row>
    <row r="458" ht="18" customHeight="1" s="408">
      <c r="A458" s="33" t="n">
        <v>455</v>
      </c>
      <c r="B458" s="24" t="inlineStr">
        <is>
          <t>443954</t>
        </is>
      </c>
      <c r="C458" s="670" t="n">
        <v>42002</v>
      </c>
      <c r="D458" s="693" t="n">
        <v>44.24</v>
      </c>
      <c r="E458" s="11" t="inlineStr">
        <is>
          <t>S G L CAMBODIA</t>
        </is>
      </c>
      <c r="F458" s="10" t="inlineStr">
        <is>
          <t>100119816</t>
        </is>
      </c>
      <c r="G458" s="24" t="inlineStr">
        <is>
          <t>443954</t>
        </is>
      </c>
      <c r="H458" s="670" t="n">
        <v>42002</v>
      </c>
      <c r="I458" s="693" t="n">
        <v>44.24</v>
      </c>
      <c r="J458" s="9" t="n"/>
    </row>
    <row r="459" ht="24" customHeight="1" s="408">
      <c r="A459" s="696" t="inlineStr">
        <is>
          <t>TOTAL 7/2012-02/2015</t>
        </is>
      </c>
      <c r="B459" s="573" t="n"/>
      <c r="C459" s="688" t="n"/>
      <c r="D459" s="689">
        <f>SUM(D8:D458)</f>
        <v/>
      </c>
      <c r="E459" s="690" t="n"/>
      <c r="F459" s="690" t="n"/>
      <c r="G459" s="691" t="n"/>
      <c r="H459" s="688" t="n"/>
      <c r="I459" s="689">
        <f>SUM(I8:I458)</f>
        <v/>
      </c>
      <c r="J459" s="32" t="n"/>
    </row>
  </sheetData>
  <mergeCells count="13">
    <mergeCell ref="A1:J1"/>
    <mergeCell ref="B5:D5"/>
    <mergeCell ref="G6:I6"/>
    <mergeCell ref="A4:D4"/>
    <mergeCell ref="A459:B459"/>
    <mergeCell ref="A5:A7"/>
    <mergeCell ref="E5:I5"/>
    <mergeCell ref="E6:E7"/>
    <mergeCell ref="A2:J2"/>
    <mergeCell ref="J5:J7"/>
    <mergeCell ref="B6:D6"/>
    <mergeCell ref="F6:F7"/>
    <mergeCell ref="A3:E3"/>
  </mergeCells>
  <pageMargins left="0.7" right="0.7" top="0.75" bottom="0.75" header="0.3" footer="0.3"/>
  <pageSetup orientation="portrait" paperSize="9" scale="75" verticalDpi="0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38"/>
  <sheetViews>
    <sheetView topLeftCell="A2" workbookViewId="0">
      <selection activeCell="K11" sqref="K11"/>
    </sheetView>
  </sheetViews>
  <sheetFormatPr baseColWidth="8" defaultRowHeight="13.2"/>
  <cols>
    <col width="12.5546875" customWidth="1" style="408" min="2" max="2"/>
    <col width="13" customWidth="1" style="408" min="3" max="3"/>
    <col width="13.33203125" customWidth="1" style="408" min="4" max="4"/>
    <col width="12.5546875" customWidth="1" style="408" min="5" max="5"/>
    <col width="12.88671875" customWidth="1" style="408" min="6" max="6"/>
    <col width="12.33203125" customWidth="1" style="408" min="7" max="7"/>
    <col width="15.33203125" customWidth="1" style="408" min="8" max="8"/>
    <col width="12" customWidth="1" style="408" min="9" max="9"/>
  </cols>
  <sheetData>
    <row r="1" ht="33.6" customHeight="1" s="408">
      <c r="A1" s="484" t="inlineStr">
        <is>
          <t>តារាងឧបសម្ព័ន្ឋ</t>
        </is>
      </c>
    </row>
    <row r="2" ht="33.6" customHeight="1" s="408">
      <c r="A2" s="484" t="inlineStr">
        <is>
          <t>តារាងប្រៀធៀបវិក្ក័យប័ត្រស្នើសុំបង្វិលសងអាករលើតំលៃបន្ថែម  ( Cross checking )</t>
        </is>
      </c>
    </row>
    <row r="3" ht="27" customHeight="1" s="408">
      <c r="A3" s="527" t="inlineStr">
        <is>
          <t>នាមករណ៏សហគ្រាស  :  Maurea Garments Corp</t>
        </is>
      </c>
      <c r="F3" s="4" t="n"/>
      <c r="G3" s="4" t="n"/>
      <c r="H3" s="4" t="n"/>
      <c r="I3" s="4" t="n"/>
      <c r="J3" s="4" t="n"/>
    </row>
    <row r="4" ht="27" customHeight="1" s="408">
      <c r="A4" s="486" t="inlineStr">
        <is>
          <t>VAT TIN  : 1 0 0 0 5 2 9 6 7</t>
        </is>
      </c>
      <c r="B4" s="590" t="n"/>
      <c r="C4" s="590" t="n"/>
      <c r="D4" s="590" t="n"/>
      <c r="E4" s="5" t="n"/>
      <c r="F4" s="4" t="n"/>
      <c r="G4" s="4" t="n"/>
      <c r="H4" s="4" t="n"/>
      <c r="I4" s="4" t="n"/>
      <c r="J4" s="4" t="n"/>
    </row>
    <row r="5" ht="25.2" customHeight="1" s="408">
      <c r="A5" s="685" t="inlineStr">
        <is>
          <t>ល.រ</t>
        </is>
      </c>
      <c r="B5" s="536" t="inlineStr">
        <is>
          <t>ក្រុមហ៊ុនស្នើសុំបង្វិលសង</t>
        </is>
      </c>
      <c r="C5" s="604" t="n"/>
      <c r="D5" s="605" t="n"/>
      <c r="E5" s="534" t="inlineStr">
        <is>
          <t>អ្នកផ្គត់ផ្គង់</t>
        </is>
      </c>
      <c r="F5" s="584" t="n"/>
      <c r="G5" s="584" t="n"/>
      <c r="H5" s="584" t="n"/>
      <c r="I5" s="573" t="n"/>
      <c r="J5" s="543" t="inlineStr">
        <is>
          <t>ផ្សេងៗ</t>
        </is>
      </c>
    </row>
    <row r="6" ht="25.2" customHeight="1" s="408">
      <c r="A6" s="618" t="n"/>
      <c r="B6" s="538" t="inlineStr">
        <is>
          <t>វិក័យបត្រ័</t>
        </is>
      </c>
      <c r="C6" s="590" t="n"/>
      <c r="D6" s="611" t="n"/>
      <c r="E6" s="542" t="inlineStr">
        <is>
          <t>សហគ្រាស</t>
        </is>
      </c>
      <c r="F6" s="543" t="inlineStr">
        <is>
          <t>លេខអតប</t>
        </is>
      </c>
      <c r="G6" s="538" t="inlineStr">
        <is>
          <t>វិក័យបត្រ័</t>
        </is>
      </c>
      <c r="H6" s="590" t="n"/>
      <c r="I6" s="611" t="n"/>
      <c r="J6" s="618" t="n"/>
    </row>
    <row r="7" ht="25.2" customHeight="1" s="408">
      <c r="A7" s="574" t="n"/>
      <c r="B7" s="538" t="inlineStr">
        <is>
          <t>លេខ</t>
        </is>
      </c>
      <c r="C7" s="538" t="inlineStr">
        <is>
          <t>ថ្ងៃទី ខែ ឆ្នាំ</t>
        </is>
      </c>
      <c r="D7" s="538" t="inlineStr">
        <is>
          <t>ប្រាក់អាករ</t>
        </is>
      </c>
      <c r="E7" s="611" t="n"/>
      <c r="F7" s="574" t="n"/>
      <c r="G7" s="538" t="inlineStr">
        <is>
          <t>លេខ</t>
        </is>
      </c>
      <c r="H7" s="538" t="inlineStr">
        <is>
          <t>ថ្ងៃទី ខែ ឆ្នាំ</t>
        </is>
      </c>
      <c r="I7" s="538" t="inlineStr">
        <is>
          <t>ប្រាក់អាករ</t>
        </is>
      </c>
      <c r="J7" s="574" t="n"/>
    </row>
    <row r="8" ht="25.2" customHeight="1" s="408">
      <c r="A8" s="6" t="n"/>
      <c r="B8" s="12" t="n"/>
      <c r="C8" s="13" t="n"/>
      <c r="D8" s="662" t="n"/>
      <c r="E8" s="11" t="n"/>
      <c r="F8" s="38" t="n"/>
      <c r="G8" s="12" t="n"/>
      <c r="H8" s="13" t="n"/>
      <c r="I8" s="662" t="n"/>
      <c r="J8" s="9" t="n"/>
    </row>
    <row r="9" ht="25.2" customHeight="1" s="408">
      <c r="A9" s="6" t="n"/>
      <c r="B9" s="12" t="n"/>
      <c r="C9" s="13" t="n"/>
      <c r="D9" s="662" t="n"/>
      <c r="E9" s="11" t="n"/>
      <c r="F9" s="38" t="n"/>
      <c r="G9" s="12" t="n"/>
      <c r="H9" s="13" t="n"/>
      <c r="I9" s="662" t="n"/>
      <c r="J9" s="9" t="n"/>
    </row>
    <row r="10" ht="25.2" customHeight="1" s="408">
      <c r="A10" s="6" t="n"/>
      <c r="B10" s="12" t="n"/>
      <c r="C10" s="13" t="n"/>
      <c r="D10" s="662" t="n"/>
      <c r="E10" s="11" t="n"/>
      <c r="F10" s="38" t="n"/>
      <c r="G10" s="12" t="n"/>
      <c r="H10" s="13" t="n"/>
      <c r="I10" s="662" t="n"/>
      <c r="J10" s="9" t="n"/>
    </row>
    <row r="11" ht="25.2" customHeight="1" s="408">
      <c r="A11" s="6" t="n"/>
      <c r="B11" s="12" t="n"/>
      <c r="C11" s="13" t="n"/>
      <c r="D11" s="662" t="n"/>
      <c r="E11" s="11" t="n"/>
      <c r="F11" s="37" t="n"/>
      <c r="G11" s="12" t="n"/>
      <c r="H11" s="13" t="n"/>
      <c r="I11" s="662" t="n"/>
      <c r="J11" s="9" t="n"/>
    </row>
    <row r="12" ht="25.2" customHeight="1" s="408">
      <c r="A12" s="6" t="n"/>
      <c r="B12" s="12" t="n"/>
      <c r="C12" s="13" t="n"/>
      <c r="D12" s="662" t="n"/>
      <c r="E12" s="11" t="n"/>
      <c r="F12" s="10" t="n"/>
      <c r="G12" s="12" t="n"/>
      <c r="H12" s="13" t="n"/>
      <c r="I12" s="662" t="n"/>
      <c r="J12" s="9" t="n"/>
    </row>
    <row r="13" ht="25.2" customHeight="1" s="408">
      <c r="A13" s="6" t="n"/>
      <c r="B13" s="12" t="n"/>
      <c r="C13" s="13" t="n"/>
      <c r="D13" s="662" t="n"/>
      <c r="E13" s="11" t="n"/>
      <c r="F13" s="38" t="n"/>
      <c r="G13" s="12" t="n"/>
      <c r="H13" s="13" t="n"/>
      <c r="I13" s="662" t="n"/>
      <c r="J13" s="9" t="n"/>
    </row>
    <row r="14" ht="25.2" customHeight="1" s="408">
      <c r="A14" s="6" t="n"/>
      <c r="B14" s="12" t="n"/>
      <c r="C14" s="13" t="n"/>
      <c r="D14" s="662" t="n"/>
      <c r="E14" s="11" t="n"/>
      <c r="F14" s="38" t="n"/>
      <c r="G14" s="12" t="n"/>
      <c r="H14" s="13" t="n"/>
      <c r="I14" s="662" t="n"/>
      <c r="J14" s="9" t="n"/>
    </row>
    <row r="15" ht="25.2" customHeight="1" s="408">
      <c r="A15" s="6" t="n"/>
      <c r="B15" s="17" t="n"/>
      <c r="C15" s="18" t="n"/>
      <c r="D15" s="667" t="n"/>
      <c r="E15" s="11" t="n"/>
      <c r="F15" s="16" t="n"/>
      <c r="G15" s="17" t="n"/>
      <c r="H15" s="18" t="n"/>
      <c r="I15" s="667" t="n"/>
      <c r="J15" s="9" t="n"/>
    </row>
    <row r="16" ht="25.2" customHeight="1" s="408">
      <c r="A16" s="6" t="n"/>
      <c r="B16" s="39" t="n"/>
      <c r="C16" s="18" t="n"/>
      <c r="D16" s="667" t="n"/>
      <c r="E16" s="11" t="n"/>
      <c r="F16" s="16" t="n"/>
      <c r="G16" s="17" t="n"/>
      <c r="H16" s="18" t="n"/>
      <c r="I16" s="667" t="n"/>
      <c r="J16" s="9" t="n"/>
    </row>
    <row r="17" ht="25.2" customHeight="1" s="408">
      <c r="A17" s="6" t="n"/>
      <c r="B17" s="17" t="n"/>
      <c r="C17" s="18" t="n"/>
      <c r="D17" s="667" t="n"/>
      <c r="E17" s="11" t="n"/>
      <c r="F17" s="16" t="n"/>
      <c r="G17" s="17" t="n"/>
      <c r="H17" s="18" t="n"/>
      <c r="I17" s="667" t="n"/>
      <c r="J17" s="9" t="n"/>
    </row>
    <row r="18" ht="25.2" customHeight="1" s="408">
      <c r="A18" s="6" t="n"/>
      <c r="B18" s="17" t="n"/>
      <c r="C18" s="18" t="n"/>
      <c r="D18" s="667" t="n"/>
      <c r="E18" s="11" t="n"/>
      <c r="F18" s="16" t="n"/>
      <c r="G18" s="17" t="n"/>
      <c r="H18" s="18" t="n"/>
      <c r="I18" s="667" t="n"/>
      <c r="J18" s="9" t="n"/>
    </row>
    <row r="19" ht="25.2" customHeight="1" s="408">
      <c r="A19" s="6" t="n"/>
      <c r="B19" s="17" t="n"/>
      <c r="C19" s="18" t="n"/>
      <c r="D19" s="667" t="n"/>
      <c r="E19" s="11" t="n"/>
      <c r="F19" s="16" t="n"/>
      <c r="G19" s="17" t="n"/>
      <c r="H19" s="18" t="n"/>
      <c r="I19" s="667" t="n"/>
      <c r="J19" s="9" t="n"/>
    </row>
    <row r="20" ht="25.2" customHeight="1" s="408">
      <c r="A20" s="6" t="n"/>
      <c r="B20" s="17" t="n"/>
      <c r="C20" s="18" t="n"/>
      <c r="D20" s="667" t="n"/>
      <c r="E20" s="11" t="n"/>
      <c r="F20" s="16" t="n"/>
      <c r="G20" s="17" t="n"/>
      <c r="H20" s="18" t="n"/>
      <c r="I20" s="667" t="n"/>
      <c r="J20" s="9" t="n"/>
    </row>
    <row r="21" ht="25.2" customHeight="1" s="408">
      <c r="A21" s="6" t="n"/>
      <c r="B21" s="17" t="n"/>
      <c r="C21" s="18" t="n"/>
      <c r="D21" s="667" t="n"/>
      <c r="E21" s="11" t="n"/>
      <c r="F21" s="16" t="n"/>
      <c r="G21" s="17" t="n"/>
      <c r="H21" s="18" t="n"/>
      <c r="I21" s="667" t="n"/>
      <c r="J21" s="9" t="n"/>
    </row>
    <row r="22" ht="25.2" customHeight="1" s="408">
      <c r="A22" s="6" t="n"/>
      <c r="B22" s="17" t="n"/>
      <c r="C22" s="18" t="n"/>
      <c r="D22" s="667" t="n"/>
      <c r="E22" s="11" t="n"/>
      <c r="F22" s="16" t="n"/>
      <c r="G22" s="17" t="n"/>
      <c r="H22" s="18" t="n"/>
      <c r="I22" s="667" t="n"/>
      <c r="J22" s="9" t="n"/>
    </row>
    <row r="23" ht="25.2" customHeight="1" s="408">
      <c r="A23" s="6" t="n"/>
      <c r="B23" s="17" t="n"/>
      <c r="C23" s="18" t="n"/>
      <c r="D23" s="667" t="n"/>
      <c r="E23" s="11" t="n"/>
      <c r="F23" s="16" t="n"/>
      <c r="G23" s="17" t="n"/>
      <c r="H23" s="18" t="n"/>
      <c r="I23" s="667" t="n"/>
      <c r="J23" s="9" t="n"/>
    </row>
    <row r="24" ht="25.2" customHeight="1" s="408">
      <c r="A24" s="6" t="n"/>
      <c r="B24" s="17" t="n"/>
      <c r="C24" s="18" t="n"/>
      <c r="D24" s="667" t="n"/>
      <c r="E24" s="11" t="n"/>
      <c r="F24" s="16" t="n"/>
      <c r="G24" s="17" t="n"/>
      <c r="H24" s="18" t="n"/>
      <c r="I24" s="667" t="n"/>
      <c r="J24" s="9" t="n"/>
    </row>
    <row r="25" ht="25.2" customHeight="1" s="408">
      <c r="A25" s="6" t="n"/>
      <c r="B25" s="17" t="n"/>
      <c r="C25" s="18" t="n"/>
      <c r="D25" s="667" t="n"/>
      <c r="E25" s="11" t="n"/>
      <c r="F25" s="40" t="n"/>
      <c r="G25" s="17" t="n"/>
      <c r="H25" s="18" t="n"/>
      <c r="I25" s="667" t="n"/>
      <c r="J25" s="9" t="n"/>
    </row>
    <row r="26" ht="25.2" customHeight="1" s="408">
      <c r="A26" s="6" t="n"/>
      <c r="B26" s="17" t="n"/>
      <c r="C26" s="18" t="n"/>
      <c r="D26" s="667" t="n"/>
      <c r="E26" s="11" t="n"/>
      <c r="F26" s="16" t="n"/>
      <c r="G26" s="17" t="n"/>
      <c r="H26" s="18" t="n"/>
      <c r="I26" s="667" t="n"/>
      <c r="J26" s="9" t="n"/>
    </row>
    <row r="27" ht="25.2" customHeight="1" s="408">
      <c r="A27" s="6" t="n"/>
      <c r="B27" s="20" t="n"/>
      <c r="C27" s="670" t="n"/>
      <c r="D27" s="662" t="n"/>
      <c r="E27" s="19" t="n"/>
      <c r="F27" s="20" t="n"/>
      <c r="G27" s="20" t="n"/>
      <c r="H27" s="670" t="n"/>
      <c r="I27" s="662" t="n"/>
      <c r="J27" s="9" t="n"/>
    </row>
    <row r="28" ht="25.2" customHeight="1" s="408">
      <c r="A28" s="6" t="n"/>
      <c r="B28" s="20" t="n"/>
      <c r="C28" s="670" t="n"/>
      <c r="D28" s="662" t="n"/>
      <c r="E28" s="19" t="n"/>
      <c r="F28" s="41" t="n"/>
      <c r="G28" s="20" t="n"/>
      <c r="H28" s="670" t="n"/>
      <c r="I28" s="662" t="n"/>
      <c r="J28" s="9" t="n"/>
    </row>
    <row r="29" ht="25.2" customHeight="1" s="408">
      <c r="A29" s="6" t="n"/>
      <c r="B29" s="20" t="n"/>
      <c r="C29" s="670" t="n"/>
      <c r="D29" s="662" t="n"/>
      <c r="E29" s="19" t="n"/>
      <c r="F29" s="20" t="n"/>
      <c r="G29" s="20" t="n"/>
      <c r="H29" s="670" t="n"/>
      <c r="I29" s="662" t="n"/>
      <c r="J29" s="9" t="n"/>
    </row>
    <row r="30" ht="25.2" customHeight="1" s="408">
      <c r="A30" s="6" t="n"/>
      <c r="B30" s="20" t="n"/>
      <c r="C30" s="670" t="n"/>
      <c r="D30" s="662" t="n"/>
      <c r="E30" s="19" t="n"/>
      <c r="F30" s="20" t="n"/>
      <c r="G30" s="20" t="n"/>
      <c r="H30" s="670" t="n"/>
      <c r="I30" s="662" t="n"/>
      <c r="J30" s="9" t="n"/>
    </row>
    <row r="31" ht="25.2" customHeight="1" s="408">
      <c r="A31" s="6" t="n"/>
      <c r="B31" s="23" t="n"/>
      <c r="C31" s="670" t="n"/>
      <c r="D31" s="662" t="n"/>
      <c r="E31" s="22" t="n"/>
      <c r="F31" s="23" t="n"/>
      <c r="G31" s="23" t="n"/>
      <c r="H31" s="670" t="n"/>
      <c r="I31" s="662" t="n"/>
      <c r="J31" s="9" t="n"/>
    </row>
    <row r="32" ht="25.2" customHeight="1" s="408">
      <c r="A32" s="6" t="n"/>
      <c r="B32" s="24" t="n"/>
      <c r="C32" s="670" t="n"/>
      <c r="D32" s="662" t="n"/>
      <c r="E32" s="11" t="n"/>
      <c r="F32" s="24" t="n"/>
      <c r="G32" s="24" t="n"/>
      <c r="H32" s="670" t="n"/>
      <c r="I32" s="662" t="n"/>
      <c r="J32" s="9" t="n"/>
    </row>
    <row r="33" ht="25.2" customHeight="1" s="408">
      <c r="A33" s="6" t="n"/>
      <c r="B33" s="24" t="n"/>
      <c r="C33" s="670" t="n"/>
      <c r="D33" s="662" t="n"/>
      <c r="E33" s="38" t="n"/>
      <c r="F33" s="42" t="n"/>
      <c r="G33" s="24" t="n"/>
      <c r="H33" s="670" t="n"/>
      <c r="I33" s="662" t="n"/>
      <c r="J33" s="9" t="n"/>
    </row>
    <row r="34" ht="25.2" customHeight="1" s="408">
      <c r="A34" s="6" t="n"/>
      <c r="B34" s="24" t="n"/>
      <c r="C34" s="670" t="n"/>
      <c r="D34" s="662" t="n"/>
      <c r="E34" s="10" t="n"/>
      <c r="F34" s="24" t="n"/>
      <c r="G34" s="24" t="n"/>
      <c r="H34" s="670" t="n"/>
      <c r="I34" s="662" t="n"/>
      <c r="J34" s="9" t="n"/>
    </row>
    <row r="35" ht="25.2" customHeight="1" s="408">
      <c r="A35" s="6" t="n"/>
      <c r="B35" s="24" t="n"/>
      <c r="C35" s="670" t="n"/>
      <c r="D35" s="662" t="n"/>
      <c r="E35" s="10" t="n"/>
      <c r="F35" s="24" t="n"/>
      <c r="G35" s="24" t="n"/>
      <c r="H35" s="670" t="n"/>
      <c r="I35" s="662" t="n"/>
      <c r="J35" s="9" t="n"/>
    </row>
    <row r="36" ht="25.2" customHeight="1" s="408">
      <c r="A36" s="6" t="n"/>
      <c r="B36" s="24" t="n"/>
      <c r="C36" s="670" t="n"/>
      <c r="D36" s="662" t="n"/>
      <c r="E36" s="10" t="n"/>
      <c r="F36" s="24" t="n"/>
      <c r="G36" s="24" t="n"/>
      <c r="H36" s="670" t="n"/>
      <c r="I36" s="662" t="n"/>
      <c r="J36" s="9" t="n"/>
    </row>
    <row r="37" ht="25.2" customHeight="1" s="408">
      <c r="A37" s="6" t="n"/>
      <c r="B37" s="24" t="n"/>
      <c r="C37" s="670" t="n"/>
      <c r="D37" s="662" t="n"/>
      <c r="E37" s="10" t="n"/>
      <c r="F37" s="24" t="n"/>
      <c r="G37" s="24" t="n"/>
      <c r="H37" s="670" t="n"/>
      <c r="I37" s="662" t="n"/>
      <c r="J37" s="9" t="n"/>
    </row>
    <row r="38" ht="25.2" customHeight="1" s="408">
      <c r="A38" s="6" t="n"/>
      <c r="B38" s="24" t="n"/>
      <c r="C38" s="670" t="n"/>
      <c r="D38" s="662" t="n"/>
      <c r="E38" s="10" t="n"/>
      <c r="F38" s="42" t="n"/>
      <c r="G38" s="24" t="n"/>
      <c r="H38" s="670" t="n"/>
      <c r="I38" s="662" t="n"/>
      <c r="J38" s="9" t="n"/>
    </row>
  </sheetData>
  <mergeCells count="12">
    <mergeCell ref="A1:J1"/>
    <mergeCell ref="B5:D5"/>
    <mergeCell ref="G6:I6"/>
    <mergeCell ref="A4:D4"/>
    <mergeCell ref="A5:A7"/>
    <mergeCell ref="E5:I5"/>
    <mergeCell ref="E6:E7"/>
    <mergeCell ref="A2:J2"/>
    <mergeCell ref="J5:J7"/>
    <mergeCell ref="B6:D6"/>
    <mergeCell ref="F6:F7"/>
    <mergeCell ref="A3:E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48"/>
  <sheetViews>
    <sheetView topLeftCell="A10" zoomScale="145" zoomScaleNormal="145" workbookViewId="0">
      <selection activeCell="B26" sqref="B26"/>
    </sheetView>
  </sheetViews>
  <sheetFormatPr baseColWidth="8" defaultColWidth="9.109375" defaultRowHeight="14.25" customHeight="1"/>
  <cols>
    <col width="8.109375" customWidth="1" style="156" min="1" max="1"/>
    <col width="7" customWidth="1" style="155" min="2" max="2"/>
    <col width="19.33203125" customWidth="1" style="155" min="3" max="3"/>
    <col width="7.44140625" customWidth="1" style="155" min="4" max="4"/>
    <col width="17.88671875" customWidth="1" style="155" min="5" max="5"/>
    <col width="8.33203125" customWidth="1" style="697" min="6" max="6"/>
    <col width="11.109375" customWidth="1" style="155" min="7" max="7"/>
    <col width="11.88671875" customWidth="1" style="167" min="8" max="8"/>
    <col width="9" customWidth="1" style="155" min="9" max="9"/>
    <col width="5.44140625" customWidth="1" style="155" min="10" max="10"/>
    <col width="8.44140625" customWidth="1" style="155" min="11" max="11"/>
    <col width="4.33203125" customWidth="1" style="155" min="12" max="12"/>
    <col width="13.33203125" customWidth="1" style="155" min="13" max="13"/>
    <col width="15.109375" bestFit="1" customWidth="1" style="155" min="14" max="14"/>
    <col width="9.109375" customWidth="1" style="155" min="15" max="16384"/>
  </cols>
  <sheetData>
    <row r="1" ht="23.25" customFormat="1" customHeight="1" s="84">
      <c r="A1" s="555" t="inlineStr">
        <is>
          <t xml:space="preserve"> សៀវភៅទិនានុប្បវត្តិលក់- នាំចេញ</t>
        </is>
      </c>
      <c r="N1" s="83" t="n"/>
    </row>
    <row r="2" ht="22.5" customFormat="1" customHeight="1" s="85">
      <c r="A2" s="556" t="inlineStr">
        <is>
          <t xml:space="preserve"> ខែ​​ មិថុនា ឆ្នាំ ២០១៥</t>
        </is>
      </c>
      <c r="N2" s="83" t="n"/>
    </row>
    <row r="3" ht="22.5" customFormat="1" customHeight="1" s="95">
      <c r="A3" s="86" t="inlineStr">
        <is>
          <t xml:space="preserve">ជី អេវើរហ្រ្គីន( ខេមបូឌា​ ) នីតធីង  </t>
        </is>
      </c>
      <c r="B3" s="87" t="n"/>
      <c r="C3" s="556" t="n"/>
      <c r="D3" s="87" t="n"/>
      <c r="E3" s="556" t="n"/>
      <c r="F3" s="555" t="n"/>
      <c r="G3" s="555" t="n"/>
      <c r="H3" s="555" t="n"/>
      <c r="I3" s="90" t="n"/>
      <c r="J3" s="91" t="n"/>
      <c r="K3" s="86" t="inlineStr">
        <is>
          <t>Vat:100193102</t>
        </is>
      </c>
      <c r="L3" s="92" t="n"/>
      <c r="M3" s="93" t="n"/>
      <c r="N3" s="94" t="n"/>
      <c r="O3" s="94" t="n"/>
    </row>
    <row r="4" ht="18" customFormat="1" customHeight="1" s="104" thickBot="1">
      <c r="A4" s="96" t="inlineStr">
        <is>
          <t xml:space="preserve">ភូមិជ្រៃកោង សង្កាត់ចោមចៅ ខណ្ឌ ពោធិសែនជ័យ ក្រុង ភ្នំពេញ </t>
        </is>
      </c>
      <c r="B4" s="97" t="n"/>
      <c r="C4" s="98" t="n"/>
      <c r="D4" s="99" t="n"/>
      <c r="E4" s="99" t="n"/>
      <c r="F4" s="100" t="n"/>
      <c r="G4" s="100" t="n"/>
      <c r="H4" s="100" t="n"/>
      <c r="I4" s="101" t="n"/>
      <c r="J4" s="93" t="n"/>
      <c r="K4" s="97" t="inlineStr">
        <is>
          <t>Average:</t>
        </is>
      </c>
      <c r="L4" s="102" t="n">
        <v>4088</v>
      </c>
      <c r="M4" s="93" t="n"/>
      <c r="N4" s="103" t="n"/>
      <c r="O4" s="94" t="n"/>
    </row>
    <row r="5" ht="16.5" customFormat="1" customHeight="1" s="104">
      <c r="A5" s="557" t="inlineStr">
        <is>
          <t>វិក្ក័យប័ត្រ</t>
        </is>
      </c>
      <c r="B5" s="698" t="n"/>
      <c r="C5" s="698" t="n"/>
      <c r="D5" s="698" t="n"/>
      <c r="E5" s="698" t="n"/>
      <c r="F5" s="698" t="n"/>
      <c r="G5" s="698" t="n"/>
      <c r="H5" s="698" t="n"/>
      <c r="I5" s="559" t="inlineStr">
        <is>
          <t>ការផ្គត់ផ្គង់</t>
        </is>
      </c>
      <c r="J5" s="698" t="n"/>
      <c r="K5" s="698" t="n"/>
      <c r="L5" s="699" t="n"/>
      <c r="M5" s="105" t="n"/>
    </row>
    <row r="6" ht="14.25" customFormat="1" customHeight="1" s="104">
      <c r="A6" s="106" t="inlineStr">
        <is>
          <t>កាលបរិចេ្ឆទ</t>
        </is>
      </c>
      <c r="B6" s="107" t="inlineStr">
        <is>
          <t>វិក្ក័យប័ត្រ</t>
        </is>
      </c>
      <c r="C6" s="107" t="inlineStr">
        <is>
          <t>អ្នកទិញ</t>
        </is>
      </c>
      <c r="D6" s="107" t="inlineStr">
        <is>
          <t>លេខ អតប</t>
        </is>
      </c>
      <c r="E6" s="107" t="inlineStr">
        <is>
          <t>បរិយាយ</t>
        </is>
      </c>
      <c r="F6" s="560" t="inlineStr">
        <is>
          <t>បរិមាណ</t>
        </is>
      </c>
      <c r="G6" s="573" t="n"/>
      <c r="H6" s="108" t="n"/>
      <c r="I6" s="561" t="inlineStr">
        <is>
          <t>karlk;Cab;Gakr</t>
        </is>
      </c>
      <c r="J6" s="590" t="n"/>
      <c r="K6" s="590" t="n"/>
      <c r="L6" s="611" t="n"/>
      <c r="M6" s="109" t="inlineStr">
        <is>
          <t>សរុបថ្លៃទិញ</t>
        </is>
      </c>
    </row>
    <row r="7" ht="14.25" customFormat="1" customHeight="1" s="104">
      <c r="A7" s="110" t="n"/>
      <c r="B7" s="111" t="n"/>
      <c r="C7" s="111" t="n"/>
      <c r="D7" s="112" t="inlineStr">
        <is>
          <t>TIN</t>
        </is>
      </c>
      <c r="E7" s="113" t="n"/>
      <c r="F7" s="700" t="n"/>
      <c r="G7" s="114" t="inlineStr">
        <is>
          <t>ការផ្គត់ផ្គង់</t>
        </is>
      </c>
      <c r="H7" s="114" t="inlineStr">
        <is>
          <t>ការនាំចេញ</t>
        </is>
      </c>
      <c r="I7" s="549" t="inlineStr">
        <is>
          <t>lk;;»übuKþlCab;Gakr</t>
        </is>
      </c>
      <c r="J7" s="573" t="n"/>
      <c r="K7" s="549" t="inlineStr">
        <is>
          <t>lk;;»üGñkeRbIR)as;</t>
        </is>
      </c>
      <c r="L7" s="573" t="n"/>
      <c r="M7" s="109" t="inlineStr">
        <is>
          <t>រួមទាំអាករ</t>
        </is>
      </c>
    </row>
    <row r="8" ht="14.25" customFormat="1" customHeight="1" s="104">
      <c r="A8" s="115" t="n"/>
      <c r="B8" s="116" t="n"/>
      <c r="C8" s="116" t="n"/>
      <c r="D8" s="117" t="n"/>
      <c r="E8" s="118" t="n"/>
      <c r="F8" s="701" t="n"/>
      <c r="G8" s="184" t="inlineStr">
        <is>
          <t>មិនជាប់អាករ</t>
        </is>
      </c>
      <c r="H8" s="119" t="inlineStr">
        <is>
          <t>អត្រា​​ 0 %</t>
        </is>
      </c>
      <c r="I8" s="560" t="inlineStr">
        <is>
          <t>តំលៃជាប់អាករ</t>
        </is>
      </c>
      <c r="J8" s="560" t="inlineStr">
        <is>
          <t>អាករ</t>
        </is>
      </c>
      <c r="K8" s="560" t="inlineStr">
        <is>
          <t>តំលៃជាប់អាករ</t>
        </is>
      </c>
      <c r="L8" s="560" t="inlineStr">
        <is>
          <t>អាករ</t>
        </is>
      </c>
      <c r="M8" s="121" t="n"/>
    </row>
    <row r="9" ht="14.25" customFormat="1" customHeight="1" s="96">
      <c r="A9" s="702" t="n">
        <v>42160</v>
      </c>
      <c r="B9" s="132" t="inlineStr">
        <is>
          <t>E 55119</t>
        </is>
      </c>
      <c r="C9" s="124" t="inlineStr">
        <is>
          <t>LPP S.A</t>
        </is>
      </c>
      <c r="D9" s="125" t="n"/>
      <c r="E9" s="126" t="inlineStr">
        <is>
          <t>Men's Top</t>
        </is>
      </c>
      <c r="F9" s="703" t="inlineStr">
        <is>
          <t>137 CT</t>
        </is>
      </c>
      <c r="G9" s="129" t="n"/>
      <c r="H9" s="703" t="n">
        <v>41519138</v>
      </c>
      <c r="I9" s="560" t="n"/>
      <c r="J9" s="560" t="n"/>
      <c r="K9" s="129" t="n"/>
      <c r="L9" s="560" t="n"/>
      <c r="M9" s="704">
        <f>G9+H9</f>
        <v/>
      </c>
    </row>
    <row r="10" ht="14.25" customFormat="1" customHeight="1" s="96">
      <c r="A10" s="702" t="n">
        <v>42160</v>
      </c>
      <c r="B10" s="132" t="inlineStr">
        <is>
          <t>E 53624</t>
        </is>
      </c>
      <c r="C10" s="124" t="inlineStr">
        <is>
          <t>PRIMARK</t>
        </is>
      </c>
      <c r="D10" s="125" t="n"/>
      <c r="E10" s="126" t="inlineStr">
        <is>
          <t>See Val Note</t>
        </is>
      </c>
      <c r="F10" s="703" t="inlineStr">
        <is>
          <t>655 CT</t>
        </is>
      </c>
      <c r="G10" s="129" t="n"/>
      <c r="H10" s="703" t="n">
        <v>157610622</v>
      </c>
      <c r="I10" s="560" t="n"/>
      <c r="J10" s="560" t="n"/>
      <c r="K10" s="129" t="n"/>
      <c r="L10" s="560" t="n"/>
      <c r="M10" s="704">
        <f>G10+H10</f>
        <v/>
      </c>
    </row>
    <row r="11" ht="14.25" customFormat="1" customHeight="1" s="96">
      <c r="A11" s="702" t="n">
        <v>42160</v>
      </c>
      <c r="B11" s="132" t="inlineStr">
        <is>
          <t>E 9812</t>
        </is>
      </c>
      <c r="C11" s="124" t="inlineStr">
        <is>
          <t>SMYK SP Z.O.O</t>
        </is>
      </c>
      <c r="D11" s="125" t="n"/>
      <c r="E11" s="126" t="inlineStr">
        <is>
          <t>Girls Knitted Dress</t>
        </is>
      </c>
      <c r="F11" s="703" t="inlineStr">
        <is>
          <t>518 CT</t>
        </is>
      </c>
      <c r="G11" s="129" t="n"/>
      <c r="H11" s="703" t="n">
        <v>75926121</v>
      </c>
      <c r="I11" s="560" t="n"/>
      <c r="J11" s="560" t="n"/>
      <c r="K11" s="129" t="n"/>
      <c r="L11" s="560" t="n"/>
      <c r="M11" s="704">
        <f>G11+H11</f>
        <v/>
      </c>
    </row>
    <row r="12" ht="14.25" customFormat="1" customHeight="1" s="96">
      <c r="A12" s="702" t="n">
        <v>42164</v>
      </c>
      <c r="B12" s="132" t="inlineStr">
        <is>
          <t>E 10122</t>
        </is>
      </c>
      <c r="C12" s="124" t="inlineStr">
        <is>
          <t>SMYK SP Z.O.O</t>
        </is>
      </c>
      <c r="D12" s="125" t="n"/>
      <c r="E12" s="126" t="inlineStr">
        <is>
          <t>Girls Knitted Sweat Shirt</t>
        </is>
      </c>
      <c r="F12" s="703" t="inlineStr">
        <is>
          <t>404 CT</t>
        </is>
      </c>
      <c r="G12" s="129" t="n"/>
      <c r="H12" s="703" t="n">
        <v>109260590</v>
      </c>
      <c r="I12" s="560" t="n"/>
      <c r="J12" s="560" t="n"/>
      <c r="K12" s="129" t="n"/>
      <c r="L12" s="560" t="n"/>
      <c r="M12" s="704">
        <f>G12+H12</f>
        <v/>
      </c>
    </row>
    <row r="13" ht="14.25" customFormat="1" customHeight="1" s="96">
      <c r="A13" s="702" t="n">
        <v>42167</v>
      </c>
      <c r="B13" s="132" t="inlineStr">
        <is>
          <t>E 57854</t>
        </is>
      </c>
      <c r="C13" s="124" t="inlineStr">
        <is>
          <t>PRIMARK</t>
        </is>
      </c>
      <c r="D13" s="125" t="n"/>
      <c r="E13" s="126" t="inlineStr">
        <is>
          <t>Men's Long Sleeve Hoodie</t>
        </is>
      </c>
      <c r="F13" s="703" t="inlineStr">
        <is>
          <t>550 CT</t>
        </is>
      </c>
      <c r="G13" s="129" t="n"/>
      <c r="H13" s="703" t="n">
        <v>136860570</v>
      </c>
      <c r="I13" s="560" t="n"/>
      <c r="J13" s="560" t="n"/>
      <c r="K13" s="129" t="n"/>
      <c r="L13" s="560" t="n"/>
      <c r="M13" s="704">
        <f>G13+H13</f>
        <v/>
      </c>
    </row>
    <row r="14" ht="14.25" customFormat="1" customHeight="1" s="96">
      <c r="A14" s="702" t="n">
        <v>42167</v>
      </c>
      <c r="B14" s="132" t="inlineStr">
        <is>
          <t>E 57078</t>
        </is>
      </c>
      <c r="C14" s="124" t="inlineStr">
        <is>
          <t>LPP S.A</t>
        </is>
      </c>
      <c r="D14" s="125" t="n"/>
      <c r="E14" s="126" t="inlineStr">
        <is>
          <t>Men's Top</t>
        </is>
      </c>
      <c r="F14" s="703" t="inlineStr">
        <is>
          <t>1094 CT</t>
        </is>
      </c>
      <c r="G14" s="129" t="n"/>
      <c r="H14" s="703" t="n">
        <v>189450332</v>
      </c>
      <c r="I14" s="560" t="n"/>
      <c r="J14" s="560" t="n"/>
      <c r="K14" s="129" t="n"/>
      <c r="L14" s="560" t="n"/>
      <c r="M14" s="704">
        <f>G14+H14</f>
        <v/>
      </c>
    </row>
    <row r="15" ht="14.25" customFormat="1" customHeight="1" s="96">
      <c r="A15" s="702" t="n">
        <v>42174</v>
      </c>
      <c r="B15" s="132" t="inlineStr">
        <is>
          <t>E 60607</t>
        </is>
      </c>
      <c r="C15" s="124" t="inlineStr">
        <is>
          <t>CAPRI SRL</t>
        </is>
      </c>
      <c r="D15" s="125" t="n"/>
      <c r="E15" s="126" t="inlineStr">
        <is>
          <t>Men's Hoody</t>
        </is>
      </c>
      <c r="F15" s="703" t="inlineStr">
        <is>
          <t>827 CT</t>
        </is>
      </c>
      <c r="G15" s="129" t="n"/>
      <c r="H15" s="703" t="n">
        <v>267888456</v>
      </c>
      <c r="I15" s="560" t="n"/>
      <c r="J15" s="560" t="n"/>
      <c r="K15" s="129" t="n"/>
      <c r="L15" s="560" t="n"/>
      <c r="M15" s="704">
        <f>G15+H15</f>
        <v/>
      </c>
    </row>
    <row r="16" ht="14.25" customFormat="1" customHeight="1" s="96">
      <c r="A16" s="702" t="n">
        <v>42174</v>
      </c>
      <c r="B16" s="132" t="inlineStr">
        <is>
          <t>E 59730</t>
        </is>
      </c>
      <c r="C16" s="124" t="inlineStr">
        <is>
          <t>LPP S.A</t>
        </is>
      </c>
      <c r="D16" s="125" t="n"/>
      <c r="E16" s="124" t="inlineStr">
        <is>
          <t>Men's Jogging Top</t>
        </is>
      </c>
      <c r="F16" s="703" t="inlineStr">
        <is>
          <t>815 CT</t>
        </is>
      </c>
      <c r="G16" s="129" t="n"/>
      <c r="H16" s="703" t="n">
        <v>233561904</v>
      </c>
      <c r="I16" s="560" t="n"/>
      <c r="J16" s="560" t="n"/>
      <c r="K16" s="129" t="n"/>
      <c r="L16" s="560" t="n"/>
      <c r="M16" s="704">
        <f>G16+H16</f>
        <v/>
      </c>
    </row>
    <row r="17" ht="14.25" customFormat="1" customHeight="1" s="96">
      <c r="A17" s="702" t="n">
        <v>42174</v>
      </c>
      <c r="B17" s="132" t="inlineStr">
        <is>
          <t>E 60079</t>
        </is>
      </c>
      <c r="C17" s="124" t="inlineStr">
        <is>
          <t>LPP S.A</t>
        </is>
      </c>
      <c r="D17" s="125" t="n"/>
      <c r="E17" s="126" t="inlineStr">
        <is>
          <t>Men's Sweater +Top</t>
        </is>
      </c>
      <c r="F17" s="703" t="inlineStr">
        <is>
          <t>400 CT</t>
        </is>
      </c>
      <c r="G17" s="129" t="n"/>
      <c r="H17" s="703" t="n">
        <v>106100285</v>
      </c>
      <c r="I17" s="560" t="n"/>
      <c r="J17" s="560" t="n"/>
      <c r="K17" s="129" t="n"/>
      <c r="L17" s="560" t="n"/>
      <c r="M17" s="704">
        <f>G17+H17</f>
        <v/>
      </c>
    </row>
    <row r="18" ht="14.25" customFormat="1" customHeight="1" s="96">
      <c r="A18" s="702" t="n">
        <v>42175</v>
      </c>
      <c r="B18" s="132" t="inlineStr">
        <is>
          <t>E 61426</t>
        </is>
      </c>
      <c r="C18" s="124" t="inlineStr">
        <is>
          <t>VISAGE LIMITED</t>
        </is>
      </c>
      <c r="D18" s="125" t="n"/>
      <c r="E18" s="126" t="inlineStr">
        <is>
          <t>Men's Pari / Monica / Leyton Crew</t>
        </is>
      </c>
      <c r="F18" s="703" t="inlineStr">
        <is>
          <t>556 CT</t>
        </is>
      </c>
      <c r="G18" s="129" t="n"/>
      <c r="H18" s="703" t="n">
        <v>145296432</v>
      </c>
      <c r="I18" s="560" t="n"/>
      <c r="J18" s="560" t="n"/>
      <c r="K18" s="129" t="n"/>
      <c r="L18" s="560" t="n"/>
      <c r="M18" s="704">
        <f>G18+H18</f>
        <v/>
      </c>
    </row>
    <row r="19" ht="14.25" customFormat="1" customHeight="1" s="96">
      <c r="A19" s="702" t="n">
        <v>42175</v>
      </c>
      <c r="B19" s="132" t="inlineStr">
        <is>
          <t>E 61432</t>
        </is>
      </c>
      <c r="C19" s="124" t="inlineStr">
        <is>
          <t>PRIMARK STORES LIMITED</t>
        </is>
      </c>
      <c r="D19" s="125" t="n"/>
      <c r="E19" s="126" t="inlineStr">
        <is>
          <t>See Val Note</t>
        </is>
      </c>
      <c r="F19" s="703" t="inlineStr">
        <is>
          <t>1220 CT</t>
        </is>
      </c>
      <c r="G19" s="129" t="n"/>
      <c r="H19" s="703" t="n">
        <v>299682480</v>
      </c>
      <c r="I19" s="560" t="n"/>
      <c r="J19" s="560" t="n"/>
      <c r="K19" s="129" t="n"/>
      <c r="L19" s="560" t="n"/>
      <c r="M19" s="704">
        <f>G19+H19</f>
        <v/>
      </c>
    </row>
    <row r="20" ht="14.25" customFormat="1" customHeight="1" s="96">
      <c r="A20" s="702" t="n">
        <v>42181</v>
      </c>
      <c r="B20" s="132" t="inlineStr">
        <is>
          <t>E 63424</t>
        </is>
      </c>
      <c r="C20" s="124" t="inlineStr">
        <is>
          <t>PRIMARK US CORP</t>
        </is>
      </c>
      <c r="D20" s="125" t="n"/>
      <c r="E20" s="126" t="inlineStr">
        <is>
          <t>Men Chest Print Zip</t>
        </is>
      </c>
      <c r="F20" s="703" t="inlineStr">
        <is>
          <t>37 CT</t>
        </is>
      </c>
      <c r="G20" s="129" t="n"/>
      <c r="H20" s="703" t="n">
        <v>6493691</v>
      </c>
      <c r="I20" s="560" t="n"/>
      <c r="J20" s="560" t="n"/>
      <c r="K20" s="129" t="n"/>
      <c r="L20" s="560" t="n"/>
      <c r="M20" s="704">
        <f>G20+H20</f>
        <v/>
      </c>
    </row>
    <row r="21" ht="14.25" customFormat="1" customHeight="1" s="96">
      <c r="A21" s="702" t="n">
        <v>42181</v>
      </c>
      <c r="B21" s="132" t="inlineStr">
        <is>
          <t>E 62715</t>
        </is>
      </c>
      <c r="C21" s="124" t="inlineStr">
        <is>
          <t>LPP S.A</t>
        </is>
      </c>
      <c r="D21" s="125" t="n"/>
      <c r="E21" s="126" t="inlineStr">
        <is>
          <t>Men's Top</t>
        </is>
      </c>
      <c r="F21" s="703" t="inlineStr">
        <is>
          <t>145 CT</t>
        </is>
      </c>
      <c r="G21" s="129" t="n"/>
      <c r="H21" s="703" t="n">
        <v>26361287</v>
      </c>
      <c r="I21" s="560" t="n"/>
      <c r="J21" s="560" t="n"/>
      <c r="K21" s="129" t="n"/>
      <c r="L21" s="560" t="n"/>
      <c r="M21" s="704">
        <f>G21+H21</f>
        <v/>
      </c>
    </row>
    <row r="22" ht="20.25" customFormat="1" customHeight="1" s="96">
      <c r="A22" s="702" t="n">
        <v>42181</v>
      </c>
      <c r="B22" s="132" t="inlineStr">
        <is>
          <t>E 63568</t>
        </is>
      </c>
      <c r="C22" s="124" t="inlineStr">
        <is>
          <t>VISAGE LIMITED</t>
        </is>
      </c>
      <c r="D22" s="125" t="n"/>
      <c r="E22" s="126" t="inlineStr">
        <is>
          <t>Men's Morgan Crew + Connect Crew+ Leyton</t>
        </is>
      </c>
      <c r="F22" s="703" t="inlineStr">
        <is>
          <t>338 CT</t>
        </is>
      </c>
      <c r="G22" s="129" t="n"/>
      <c r="H22" s="703" t="n">
        <v>94840834</v>
      </c>
      <c r="I22" s="560" t="n"/>
      <c r="J22" s="560" t="n"/>
      <c r="K22" s="129" t="n"/>
      <c r="L22" s="560" t="n"/>
      <c r="M22" s="704">
        <f>G22+H22</f>
        <v/>
      </c>
    </row>
    <row r="23" ht="14.25" customFormat="1" customHeight="1" s="139">
      <c r="A23" s="705">
        <f>L4</f>
        <v/>
      </c>
      <c r="B23" s="584" t="n"/>
      <c r="C23" s="584" t="n"/>
      <c r="D23" s="573" t="n"/>
      <c r="E23" s="133" t="inlineStr">
        <is>
          <t>Riel</t>
        </is>
      </c>
      <c r="F23" s="706">
        <f>SUM(F9:F22)</f>
        <v/>
      </c>
      <c r="G23" s="135" t="n"/>
      <c r="H23" s="707">
        <f>SUM(H9:H22)</f>
        <v/>
      </c>
      <c r="I23" s="137" t="n"/>
      <c r="J23" s="137" t="n"/>
      <c r="K23" s="137" t="n"/>
      <c r="L23" s="137" t="n"/>
      <c r="M23" s="708">
        <f>SUM(M9:M22)</f>
        <v/>
      </c>
    </row>
    <row r="24" ht="14.25" customFormat="1" customHeight="1" s="139" thickBot="1">
      <c r="A24" s="709" t="inlineStr">
        <is>
          <t>Total USD</t>
        </is>
      </c>
      <c r="B24" s="710" t="n"/>
      <c r="C24" s="710" t="n"/>
      <c r="D24" s="711" t="n"/>
      <c r="E24" s="140" t="inlineStr">
        <is>
          <t>USD</t>
        </is>
      </c>
      <c r="F24" s="712" t="n"/>
      <c r="G24" s="143">
        <f>G23/L4</f>
        <v/>
      </c>
      <c r="H24" s="713">
        <f>H23/L4</f>
        <v/>
      </c>
      <c r="I24" s="714">
        <f>I23*4034</f>
        <v/>
      </c>
      <c r="J24" s="714">
        <f>J23*4034</f>
        <v/>
      </c>
      <c r="K24" s="714">
        <f>K23*4034</f>
        <v/>
      </c>
      <c r="L24" s="714">
        <f>L23*4034</f>
        <v/>
      </c>
      <c r="M24" s="715">
        <f>M23/L4</f>
        <v/>
      </c>
    </row>
    <row r="25" ht="15.75" customFormat="1" customHeight="1" s="151">
      <c r="A25" s="147" t="n"/>
      <c r="B25" s="148" t="n"/>
      <c r="C25" s="148" t="n"/>
      <c r="D25" s="148" t="n"/>
      <c r="E25" s="148" t="n"/>
      <c r="F25" s="716" t="n"/>
      <c r="G25" s="148" t="inlineStr">
        <is>
          <t>Box 12</t>
        </is>
      </c>
      <c r="H25" s="150" t="inlineStr">
        <is>
          <t>Box 13</t>
        </is>
      </c>
      <c r="I25" s="148" t="inlineStr">
        <is>
          <t>Box 14</t>
        </is>
      </c>
      <c r="J25" s="148" t="inlineStr">
        <is>
          <t>Box 15</t>
        </is>
      </c>
      <c r="K25" s="148" t="inlineStr">
        <is>
          <t>Box 14</t>
        </is>
      </c>
      <c r="L25" s="148" t="inlineStr">
        <is>
          <t>Box 15</t>
        </is>
      </c>
      <c r="M25" s="148" t="n"/>
    </row>
    <row r="26" ht="14.25" customHeight="1" s="408">
      <c r="A26" s="152" t="n"/>
      <c r="B26" s="153" t="n"/>
      <c r="C26" s="153" t="n"/>
      <c r="D26" s="153" t="n"/>
      <c r="E26" s="153" t="n"/>
      <c r="F26" s="717" t="n"/>
      <c r="G26" s="153" t="n"/>
      <c r="H26" s="553" t="inlineStr">
        <is>
          <t>Approved By :</t>
        </is>
      </c>
    </row>
    <row r="27" ht="19.5" customHeight="1" s="408">
      <c r="H27" s="554" t="n"/>
      <c r="N27" s="718">
        <f>H23*1%</f>
        <v/>
      </c>
    </row>
    <row r="28" hidden="1" ht="18" customHeight="1" s="408">
      <c r="H28" s="719">
        <f>H24*1%</f>
        <v/>
      </c>
      <c r="I28" s="160" t="n"/>
      <c r="J28" s="720" t="n"/>
      <c r="K28" s="721" t="n"/>
      <c r="L28" s="721" t="n"/>
    </row>
    <row r="29" ht="14.25" customHeight="1" s="408">
      <c r="G29" s="155" t="inlineStr">
        <is>
          <t>Sales</t>
        </is>
      </c>
      <c r="H29" s="163" t="n"/>
      <c r="I29" s="546" t="n"/>
      <c r="L29" s="163" t="n"/>
    </row>
    <row r="30" ht="14.25" customHeight="1" s="408">
      <c r="C30" s="164" t="n"/>
      <c r="D30" s="165" t="n"/>
      <c r="E30" s="165" t="n"/>
      <c r="F30" s="722" t="n"/>
      <c r="G30" s="723" t="inlineStr">
        <is>
          <t>July</t>
        </is>
      </c>
      <c r="H30" s="724">
        <f>'Sale - Jul'!H30</f>
        <v/>
      </c>
      <c r="I30" s="725" t="inlineStr">
        <is>
          <t>21 invoices</t>
        </is>
      </c>
    </row>
    <row r="31" ht="14.25" customHeight="1" s="408">
      <c r="F31" s="697" t="n"/>
      <c r="G31" s="723" t="inlineStr">
        <is>
          <t>Aug</t>
        </is>
      </c>
      <c r="H31" s="726">
        <f>'Sale - Aug'!I47</f>
        <v/>
      </c>
      <c r="I31" s="725" t="inlineStr">
        <is>
          <t>38 invoices</t>
        </is>
      </c>
    </row>
    <row r="32" ht="14.25" customHeight="1" s="408">
      <c r="C32" s="170" t="n"/>
      <c r="D32" s="171" t="n"/>
      <c r="E32" s="172" t="n"/>
      <c r="F32" s="171" t="n"/>
      <c r="G32" s="723" t="inlineStr">
        <is>
          <t>June</t>
        </is>
      </c>
      <c r="H32" s="727">
        <f>H23</f>
        <v/>
      </c>
      <c r="I32" s="725" t="inlineStr">
        <is>
          <t>14 invoices</t>
        </is>
      </c>
      <c r="J32" s="175" t="n"/>
      <c r="K32" s="175" t="n"/>
    </row>
    <row r="33" ht="14.25" customHeight="1" s="408" thickBot="1">
      <c r="F33" s="697" t="n"/>
      <c r="G33" s="155" t="inlineStr">
        <is>
          <t>Total:</t>
        </is>
      </c>
      <c r="H33" s="728">
        <f>SUM(H30:H32)</f>
        <v/>
      </c>
      <c r="I33" s="177">
        <f>14+38+21</f>
        <v/>
      </c>
      <c r="J33" s="177" t="n"/>
      <c r="K33" s="139" t="n"/>
    </row>
    <row r="34" ht="14.25" customHeight="1" s="408" thickTop="1">
      <c r="H34" s="173" t="n"/>
      <c r="I34" s="729" t="n"/>
      <c r="J34" s="139" t="n"/>
      <c r="K34" s="139" t="n"/>
    </row>
    <row r="35" ht="14.25" customHeight="1" s="408">
      <c r="H35" s="730" t="n"/>
      <c r="I35" s="725" t="n"/>
      <c r="J35" s="139" t="n"/>
      <c r="K35" s="139" t="n"/>
    </row>
    <row r="36" ht="14.25" customHeight="1" s="408">
      <c r="H36" s="731" t="n"/>
      <c r="J36" s="139" t="n"/>
      <c r="K36" s="139" t="n"/>
      <c r="M36" s="732" t="n"/>
    </row>
    <row r="37" hidden="1" ht="14.25" customHeight="1" s="408">
      <c r="H37" s="733">
        <f>H24*1%</f>
        <v/>
      </c>
    </row>
    <row r="38" ht="14.25" customHeight="1" s="408">
      <c r="H38" s="175" t="n"/>
      <c r="I38" s="139" t="n"/>
    </row>
    <row r="39" ht="14.25" customHeight="1" s="408">
      <c r="H39" s="175" t="n"/>
    </row>
    <row r="40" ht="14.25" customHeight="1" s="408">
      <c r="H40" s="175" t="n"/>
    </row>
    <row r="41" ht="14.25" customHeight="1" s="408">
      <c r="H41" s="175" t="n"/>
    </row>
    <row r="42" ht="14.25" customHeight="1" s="408">
      <c r="H42" s="725" t="n"/>
    </row>
    <row r="43" ht="14.25" customHeight="1" s="408">
      <c r="H43" s="175" t="n"/>
    </row>
    <row r="44" ht="14.25" customHeight="1" s="408">
      <c r="H44" s="175" t="n"/>
    </row>
    <row r="45" ht="14.25" customHeight="1" s="408">
      <c r="H45" s="175" t="n"/>
    </row>
    <row r="46" ht="14.25" customHeight="1" s="408">
      <c r="H46" s="175" t="n"/>
    </row>
    <row r="47" ht="14.25" customHeight="1" s="408">
      <c r="H47" s="175" t="n"/>
    </row>
    <row r="48" ht="14.25" customHeight="1" s="408">
      <c r="H48" s="175" t="n"/>
    </row>
  </sheetData>
  <mergeCells count="15">
    <mergeCell ref="A23:D23"/>
    <mergeCell ref="K7:L7"/>
    <mergeCell ref="A1:M1"/>
    <mergeCell ref="I7:J7"/>
    <mergeCell ref="I6:L6"/>
    <mergeCell ref="H27:M27"/>
    <mergeCell ref="F6:G6"/>
    <mergeCell ref="A24:D24"/>
    <mergeCell ref="H36:I36"/>
    <mergeCell ref="A5:H5"/>
    <mergeCell ref="H37:I37"/>
    <mergeCell ref="H26:M26"/>
    <mergeCell ref="A2:M2"/>
    <mergeCell ref="I29:K29"/>
    <mergeCell ref="I5:L5"/>
  </mergeCells>
  <pageMargins left="0.45" right="0.16" top="0.51" bottom="0.5" header="0.46" footer="0.2"/>
  <pageSetup orientation="landscape" verticalDpi="0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55"/>
  <sheetViews>
    <sheetView topLeftCell="A16" zoomScale="145" zoomScaleNormal="145" workbookViewId="0">
      <selection activeCell="D32" sqref="D32"/>
    </sheetView>
  </sheetViews>
  <sheetFormatPr baseColWidth="8" defaultColWidth="9.109375" defaultRowHeight="14.25" customHeight="1"/>
  <cols>
    <col width="8.109375" customWidth="1" style="156" min="1" max="1"/>
    <col width="7" customWidth="1" style="155" min="2" max="2"/>
    <col width="19.33203125" customWidth="1" style="155" min="3" max="3"/>
    <col width="7.44140625" customWidth="1" style="155" min="4" max="4"/>
    <col width="17.88671875" customWidth="1" style="155" min="5" max="5"/>
    <col width="8.33203125" customWidth="1" style="697" min="6" max="6"/>
    <col width="11.109375" customWidth="1" style="155" min="7" max="7"/>
    <col width="11.88671875" customWidth="1" style="167" min="8" max="8"/>
    <col width="9" customWidth="1" style="155" min="9" max="9"/>
    <col width="5.44140625" customWidth="1" style="155" min="10" max="10"/>
    <col width="8.44140625" customWidth="1" style="155" min="11" max="11"/>
    <col width="4.33203125" customWidth="1" style="155" min="12" max="12"/>
    <col width="13.33203125" customWidth="1" style="155" min="13" max="13"/>
    <col width="15.109375" bestFit="1" customWidth="1" style="155" min="14" max="14"/>
    <col width="9.109375" customWidth="1" style="155" min="15" max="16384"/>
  </cols>
  <sheetData>
    <row r="1" ht="23.25" customFormat="1" customHeight="1" s="84">
      <c r="A1" s="555" t="inlineStr">
        <is>
          <t xml:space="preserve"> សៀវភៅទិនានុប្បវត្តិលក់- នាំចេញ</t>
        </is>
      </c>
      <c r="N1" s="83" t="n"/>
    </row>
    <row r="2" ht="22.5" customFormat="1" customHeight="1" s="85">
      <c r="A2" s="556" t="inlineStr">
        <is>
          <t xml:space="preserve"> ខែ​​ កក្កដា ឆ្នាំ ២០១៥</t>
        </is>
      </c>
      <c r="N2" s="83" t="n"/>
    </row>
    <row r="3" ht="22.5" customFormat="1" customHeight="1" s="95">
      <c r="A3" s="86" t="inlineStr">
        <is>
          <t xml:space="preserve">ជី អេវើរហ្រ្គីន( ខេមបូឌា​ ) នីតធីង  </t>
        </is>
      </c>
      <c r="B3" s="87" t="n"/>
      <c r="C3" s="556" t="n"/>
      <c r="D3" s="87" t="n"/>
      <c r="E3" s="556" t="n"/>
      <c r="F3" s="555" t="n"/>
      <c r="G3" s="555" t="n"/>
      <c r="H3" s="555" t="n"/>
      <c r="I3" s="90" t="n"/>
      <c r="J3" s="91" t="n"/>
      <c r="K3" s="86" t="inlineStr">
        <is>
          <t>Vat:100193102</t>
        </is>
      </c>
      <c r="L3" s="92" t="n"/>
      <c r="M3" s="93" t="n"/>
      <c r="N3" s="94" t="n"/>
      <c r="O3" s="94" t="n"/>
    </row>
    <row r="4" ht="18" customFormat="1" customHeight="1" s="104" thickBot="1">
      <c r="A4" s="96" t="inlineStr">
        <is>
          <t xml:space="preserve">ភូមិជ្រៃកោង សង្កាត់ចោមចៅ ខណ្ឌ ពោធិសែនជ័យ ក្រុង ភ្នំពេញ </t>
        </is>
      </c>
      <c r="B4" s="97" t="n"/>
      <c r="C4" s="98" t="n"/>
      <c r="D4" s="99" t="n"/>
      <c r="E4" s="99" t="n"/>
      <c r="F4" s="100" t="n"/>
      <c r="G4" s="100" t="n"/>
      <c r="H4" s="100" t="n"/>
      <c r="I4" s="101" t="n"/>
      <c r="J4" s="93" t="n"/>
      <c r="K4" s="97" t="inlineStr">
        <is>
          <t>Average:</t>
        </is>
      </c>
      <c r="L4" s="102" t="n">
        <v>4099</v>
      </c>
      <c r="M4" s="93" t="n"/>
      <c r="N4" s="103" t="n"/>
      <c r="O4" s="94" t="n"/>
    </row>
    <row r="5" ht="16.5" customFormat="1" customHeight="1" s="104">
      <c r="A5" s="557" t="inlineStr">
        <is>
          <t>វិក្ក័យប័ត្រ</t>
        </is>
      </c>
      <c r="B5" s="698" t="n"/>
      <c r="C5" s="698" t="n"/>
      <c r="D5" s="698" t="n"/>
      <c r="E5" s="698" t="n"/>
      <c r="F5" s="698" t="n"/>
      <c r="G5" s="698" t="n"/>
      <c r="H5" s="698" t="n"/>
      <c r="I5" s="559" t="inlineStr">
        <is>
          <t>ការផ្គត់ផ្គង់</t>
        </is>
      </c>
      <c r="J5" s="698" t="n"/>
      <c r="K5" s="698" t="n"/>
      <c r="L5" s="699" t="n"/>
      <c r="M5" s="105" t="n"/>
    </row>
    <row r="6" ht="14.25" customFormat="1" customHeight="1" s="104">
      <c r="A6" s="106" t="inlineStr">
        <is>
          <t>កាលបរិចេ្ឆទ</t>
        </is>
      </c>
      <c r="B6" s="107" t="inlineStr">
        <is>
          <t>វិក្ក័យប័ត្រ</t>
        </is>
      </c>
      <c r="C6" s="107" t="inlineStr">
        <is>
          <t>អ្នកទិញ</t>
        </is>
      </c>
      <c r="D6" s="107" t="inlineStr">
        <is>
          <t>លេខ អតប</t>
        </is>
      </c>
      <c r="E6" s="107" t="inlineStr">
        <is>
          <t>បរិយាយ</t>
        </is>
      </c>
      <c r="F6" s="560" t="inlineStr">
        <is>
          <t>បរិមាណ</t>
        </is>
      </c>
      <c r="G6" s="573" t="n"/>
      <c r="H6" s="108" t="n"/>
      <c r="I6" s="561" t="inlineStr">
        <is>
          <t>karlk;Cab;Gakr</t>
        </is>
      </c>
      <c r="J6" s="590" t="n"/>
      <c r="K6" s="590" t="n"/>
      <c r="L6" s="611" t="n"/>
      <c r="M6" s="109" t="inlineStr">
        <is>
          <t>សរុបថ្លៃទិញ</t>
        </is>
      </c>
    </row>
    <row r="7" ht="14.25" customFormat="1" customHeight="1" s="104">
      <c r="A7" s="110" t="n"/>
      <c r="B7" s="111" t="n"/>
      <c r="C7" s="111" t="n"/>
      <c r="D7" s="112" t="inlineStr">
        <is>
          <t>TIN</t>
        </is>
      </c>
      <c r="E7" s="113" t="n"/>
      <c r="F7" s="700" t="n"/>
      <c r="G7" s="114" t="inlineStr">
        <is>
          <t>ការផ្គត់ផ្គង់</t>
        </is>
      </c>
      <c r="H7" s="114" t="inlineStr">
        <is>
          <t>ការនាំចេញ</t>
        </is>
      </c>
      <c r="I7" s="549" t="inlineStr">
        <is>
          <t>lk;;»übuKþlCab;Gakr</t>
        </is>
      </c>
      <c r="J7" s="573" t="n"/>
      <c r="K7" s="549" t="inlineStr">
        <is>
          <t>lk;;»üGñkeRbIR)as;</t>
        </is>
      </c>
      <c r="L7" s="573" t="n"/>
      <c r="M7" s="109" t="inlineStr">
        <is>
          <t>រួមទាំអាករ</t>
        </is>
      </c>
    </row>
    <row r="8" ht="14.25" customFormat="1" customHeight="1" s="104">
      <c r="A8" s="115" t="n"/>
      <c r="B8" s="116" t="n"/>
      <c r="C8" s="116" t="n"/>
      <c r="D8" s="117" t="n"/>
      <c r="E8" s="118" t="n"/>
      <c r="F8" s="701" t="n"/>
      <c r="G8" s="184" t="inlineStr">
        <is>
          <t>មិនជាប់អាករ</t>
        </is>
      </c>
      <c r="H8" s="119" t="inlineStr">
        <is>
          <t>អត្រា​​ 0 %</t>
        </is>
      </c>
      <c r="I8" s="560" t="inlineStr">
        <is>
          <t>តំលៃជាប់អាករ</t>
        </is>
      </c>
      <c r="J8" s="560" t="inlineStr">
        <is>
          <t>អាករ</t>
        </is>
      </c>
      <c r="K8" s="560" t="inlineStr">
        <is>
          <t>តំលៃជាប់អាករ</t>
        </is>
      </c>
      <c r="L8" s="560" t="inlineStr">
        <is>
          <t>អាករ</t>
        </is>
      </c>
      <c r="M8" s="121" t="n"/>
    </row>
    <row r="9" ht="14.25" customFormat="1" customHeight="1" s="96">
      <c r="A9" s="702" t="n">
        <v>42188</v>
      </c>
      <c r="B9" s="123" t="inlineStr">
        <is>
          <t>E 65884</t>
        </is>
      </c>
      <c r="C9" s="124" t="inlineStr">
        <is>
          <t>LPP S.A</t>
        </is>
      </c>
      <c r="D9" s="125" t="n"/>
      <c r="E9" s="126" t="inlineStr">
        <is>
          <t>Men's Jogging Top</t>
        </is>
      </c>
      <c r="F9" s="703" t="inlineStr">
        <is>
          <t>1841 CT</t>
        </is>
      </c>
      <c r="G9" s="129" t="n"/>
      <c r="H9" s="703" t="n">
        <v>469164366</v>
      </c>
      <c r="I9" s="560" t="n"/>
      <c r="J9" s="560" t="n"/>
      <c r="K9" s="129" t="n"/>
      <c r="L9" s="560" t="n"/>
      <c r="M9" s="704">
        <f>G9+H9</f>
        <v/>
      </c>
    </row>
    <row r="10" ht="14.25" customFormat="1" customHeight="1" s="96">
      <c r="A10" s="702" t="n">
        <v>42188</v>
      </c>
      <c r="B10" s="123" t="inlineStr">
        <is>
          <t>E 65884</t>
        </is>
      </c>
      <c r="C10" s="124" t="inlineStr">
        <is>
          <t>LPP S.A</t>
        </is>
      </c>
      <c r="D10" s="125" t="n"/>
      <c r="E10" s="126" t="inlineStr">
        <is>
          <t>Men's Knit Trousers</t>
        </is>
      </c>
      <c r="F10" s="703" t="inlineStr">
        <is>
          <t>631 CT</t>
        </is>
      </c>
      <c r="G10" s="129" t="n"/>
      <c r="H10" s="703" t="n">
        <v>224637197</v>
      </c>
      <c r="I10" s="560" t="n"/>
      <c r="J10" s="560" t="n"/>
      <c r="K10" s="129" t="n"/>
      <c r="L10" s="560" t="n"/>
      <c r="M10" s="704">
        <f>G10+H10</f>
        <v/>
      </c>
    </row>
    <row r="11" ht="14.25" customFormat="1" customHeight="1" s="96">
      <c r="A11" s="702" t="n">
        <v>42188</v>
      </c>
      <c r="B11" s="123" t="inlineStr">
        <is>
          <t>E 65484</t>
        </is>
      </c>
      <c r="C11" s="124" t="inlineStr">
        <is>
          <t>Primark Tiendas Slu</t>
        </is>
      </c>
      <c r="D11" s="125" t="n"/>
      <c r="E11" s="126" t="inlineStr">
        <is>
          <t>Men's Zip Thru Hoody</t>
        </is>
      </c>
      <c r="F11" s="703" t="inlineStr">
        <is>
          <t>343 CT</t>
        </is>
      </c>
      <c r="G11" s="129" t="n"/>
      <c r="H11" s="703" t="n">
        <v>88553682</v>
      </c>
      <c r="I11" s="560" t="n"/>
      <c r="J11" s="560" t="n"/>
      <c r="K11" s="129" t="n"/>
      <c r="L11" s="560" t="n"/>
      <c r="M11" s="704">
        <f>G11+H11</f>
        <v/>
      </c>
    </row>
    <row r="12" ht="14.25" customFormat="1" customHeight="1" s="96">
      <c r="A12" s="702" t="n">
        <v>42189</v>
      </c>
      <c r="B12" s="123" t="inlineStr">
        <is>
          <t>E 67494</t>
        </is>
      </c>
      <c r="C12" s="124" t="inlineStr">
        <is>
          <t>PRIMARK</t>
        </is>
      </c>
      <c r="D12" s="125" t="n"/>
      <c r="E12" s="126" t="inlineStr">
        <is>
          <t>Men's Long Sleeve Zip Thru Hoodie</t>
        </is>
      </c>
      <c r="F12" s="703" t="inlineStr">
        <is>
          <t>1093 CT</t>
        </is>
      </c>
      <c r="G12" s="129" t="n"/>
      <c r="H12" s="703" t="n">
        <v>282184182</v>
      </c>
      <c r="I12" s="560" t="n"/>
      <c r="J12" s="560" t="n"/>
      <c r="K12" s="129" t="n"/>
      <c r="L12" s="560" t="n"/>
      <c r="M12" s="704">
        <f>G12+H12</f>
        <v/>
      </c>
    </row>
    <row r="13" ht="14.25" customFormat="1" customHeight="1" s="96">
      <c r="A13" s="702" t="n">
        <v>42194</v>
      </c>
      <c r="B13" s="123" t="inlineStr">
        <is>
          <t>E 68109</t>
        </is>
      </c>
      <c r="C13" s="124" t="inlineStr">
        <is>
          <t>PRIMARK STORES LIMITED</t>
        </is>
      </c>
      <c r="D13" s="125" t="n"/>
      <c r="E13" s="126" t="inlineStr">
        <is>
          <t>7B (Boy) Core Hoody</t>
        </is>
      </c>
      <c r="F13" s="703" t="inlineStr">
        <is>
          <t>600 CT</t>
        </is>
      </c>
      <c r="G13" s="129" t="n"/>
      <c r="H13" s="703" t="n">
        <v>137692800</v>
      </c>
      <c r="I13" s="560" t="n"/>
      <c r="J13" s="560" t="n"/>
      <c r="K13" s="129" t="n"/>
      <c r="L13" s="560" t="n"/>
      <c r="M13" s="704">
        <f>G13+H13</f>
        <v/>
      </c>
    </row>
    <row r="14" ht="14.25" customFormat="1" customHeight="1" s="96">
      <c r="A14" s="702" t="n">
        <v>42194</v>
      </c>
      <c r="B14" s="123" t="inlineStr">
        <is>
          <t>E 68146</t>
        </is>
      </c>
      <c r="C14" s="124" t="inlineStr">
        <is>
          <t>PRIMARK</t>
        </is>
      </c>
      <c r="D14" s="125" t="n"/>
      <c r="E14" s="126" t="inlineStr">
        <is>
          <t>Men's Zip Thru Hoody</t>
        </is>
      </c>
      <c r="F14" s="703" t="inlineStr">
        <is>
          <t>772 CT</t>
        </is>
      </c>
      <c r="G14" s="129" t="n"/>
      <c r="H14" s="703" t="n">
        <v>199310328</v>
      </c>
      <c r="I14" s="560" t="n"/>
      <c r="J14" s="560" t="n"/>
      <c r="K14" s="129" t="n"/>
      <c r="L14" s="560" t="n"/>
      <c r="M14" s="704">
        <f>G14+H14</f>
        <v/>
      </c>
    </row>
    <row r="15" ht="14.25" customFormat="1" customHeight="1" s="96">
      <c r="A15" s="702" t="n">
        <v>42195</v>
      </c>
      <c r="B15" s="123" t="inlineStr">
        <is>
          <t>E 69396</t>
        </is>
      </c>
      <c r="C15" s="124" t="inlineStr">
        <is>
          <t>LPP S.A</t>
        </is>
      </c>
      <c r="D15" s="125" t="n"/>
      <c r="E15" s="126" t="inlineStr">
        <is>
          <t>Men's Knit Sweater + Jogging Top</t>
        </is>
      </c>
      <c r="F15" s="703" t="inlineStr">
        <is>
          <t>1133 CT</t>
        </is>
      </c>
      <c r="G15" s="129" t="n"/>
      <c r="H15" s="703" t="n">
        <v>222232983</v>
      </c>
      <c r="I15" s="560" t="n"/>
      <c r="J15" s="560" t="n"/>
      <c r="K15" s="129" t="n"/>
      <c r="L15" s="560" t="n"/>
      <c r="M15" s="704">
        <f>G15+H15</f>
        <v/>
      </c>
    </row>
    <row r="16" ht="14.25" customFormat="1" customHeight="1" s="96">
      <c r="A16" s="702" t="n">
        <v>42195</v>
      </c>
      <c r="B16" s="123" t="inlineStr">
        <is>
          <t>E 69396</t>
        </is>
      </c>
      <c r="C16" s="124" t="inlineStr">
        <is>
          <t>LPP S.A</t>
        </is>
      </c>
      <c r="D16" s="125" t="n"/>
      <c r="E16" s="126" t="inlineStr">
        <is>
          <t>Men's Knit Trousers</t>
        </is>
      </c>
      <c r="F16" s="703" t="inlineStr">
        <is>
          <t>39 CT</t>
        </is>
      </c>
      <c r="G16" s="129" t="n"/>
      <c r="H16" s="703" t="n">
        <v>15787217</v>
      </c>
      <c r="I16" s="560" t="n"/>
      <c r="J16" s="560" t="n"/>
      <c r="K16" s="129" t="n"/>
      <c r="L16" s="560" t="n"/>
      <c r="M16" s="704">
        <f>G16+H16</f>
        <v/>
      </c>
    </row>
    <row r="17" ht="14.25" customFormat="1" customHeight="1" s="96">
      <c r="A17" s="702" t="n">
        <v>42195</v>
      </c>
      <c r="B17" s="123" t="inlineStr">
        <is>
          <t>E 69549</t>
        </is>
      </c>
      <c r="C17" s="124" t="inlineStr">
        <is>
          <t>PRIMARK STORES LIMITED</t>
        </is>
      </c>
      <c r="D17" s="125" t="n"/>
      <c r="E17" s="126" t="inlineStr">
        <is>
          <t>Men + Boy Hoodies</t>
        </is>
      </c>
      <c r="F17" s="703" t="inlineStr">
        <is>
          <t>638 CT</t>
        </is>
      </c>
      <c r="G17" s="129" t="n"/>
      <c r="H17" s="703" t="n">
        <v>147298512</v>
      </c>
      <c r="I17" s="560" t="n"/>
      <c r="J17" s="560" t="n"/>
      <c r="K17" s="129" t="n"/>
      <c r="L17" s="560" t="n"/>
      <c r="M17" s="704">
        <f>G17+H17</f>
        <v/>
      </c>
    </row>
    <row r="18" ht="14.25" customFormat="1" customHeight="1" s="96">
      <c r="A18" s="702" t="n">
        <v>42196</v>
      </c>
      <c r="B18" s="123" t="inlineStr">
        <is>
          <t>E 70637</t>
        </is>
      </c>
      <c r="C18" s="124" t="inlineStr">
        <is>
          <t>LPP S.A</t>
        </is>
      </c>
      <c r="D18" s="125" t="n"/>
      <c r="E18" s="126" t="inlineStr">
        <is>
          <t>Ladies Jogging Top</t>
        </is>
      </c>
      <c r="F18" s="703" t="inlineStr">
        <is>
          <t>490 CT</t>
        </is>
      </c>
      <c r="G18" s="129" t="n"/>
      <c r="H18" s="703" t="n">
        <v>108300780</v>
      </c>
      <c r="I18" s="560" t="n"/>
      <c r="J18" s="560" t="n"/>
      <c r="K18" s="129" t="n"/>
      <c r="L18" s="560" t="n"/>
      <c r="M18" s="704">
        <f>G18+H18</f>
        <v/>
      </c>
    </row>
    <row r="19" ht="14.25" customFormat="1" customHeight="1" s="96">
      <c r="A19" s="702" t="n">
        <v>42196</v>
      </c>
      <c r="B19" s="123" t="inlineStr">
        <is>
          <t>E 70637</t>
        </is>
      </c>
      <c r="C19" s="124" t="inlineStr">
        <is>
          <t>LPP S.A</t>
        </is>
      </c>
      <c r="D19" s="125" t="n"/>
      <c r="E19" s="126" t="inlineStr">
        <is>
          <t>Men's Knit Trousers</t>
        </is>
      </c>
      <c r="F19" s="703" t="inlineStr">
        <is>
          <t>99 CT</t>
        </is>
      </c>
      <c r="G19" s="129" t="n"/>
      <c r="H19" s="703" t="n">
        <v>39649873</v>
      </c>
      <c r="I19" s="560" t="n"/>
      <c r="J19" s="560" t="n"/>
      <c r="K19" s="129" t="n"/>
      <c r="L19" s="560" t="n"/>
      <c r="M19" s="704">
        <f>G19+H19</f>
        <v/>
      </c>
    </row>
    <row r="20" ht="14.25" customFormat="1" customHeight="1" s="96">
      <c r="A20" s="702" t="n">
        <v>42196</v>
      </c>
      <c r="B20" s="123" t="inlineStr">
        <is>
          <t>E 70627</t>
        </is>
      </c>
      <c r="C20" s="124" t="inlineStr">
        <is>
          <t>Primark Tiendas Slu</t>
        </is>
      </c>
      <c r="D20" s="125" t="n"/>
      <c r="E20" s="126" t="inlineStr">
        <is>
          <t>Men's Zip Thru Hoody</t>
        </is>
      </c>
      <c r="F20" s="703" t="inlineStr">
        <is>
          <t>2066 CT</t>
        </is>
      </c>
      <c r="G20" s="129" t="n"/>
      <c r="H20" s="703" t="n">
        <v>532736694</v>
      </c>
      <c r="I20" s="560" t="n"/>
      <c r="J20" s="560" t="n"/>
      <c r="K20" s="129" t="n"/>
      <c r="L20" s="560" t="n"/>
      <c r="M20" s="704">
        <f>G20+H20</f>
        <v/>
      </c>
    </row>
    <row r="21" ht="14.25" customFormat="1" customHeight="1" s="96">
      <c r="A21" s="702" t="n">
        <v>42200</v>
      </c>
      <c r="B21" s="123" t="inlineStr">
        <is>
          <t>E 12774</t>
        </is>
      </c>
      <c r="C21" s="124" t="inlineStr">
        <is>
          <t>PRIMARK STORES LIMITED</t>
        </is>
      </c>
      <c r="D21" s="125" t="n"/>
      <c r="E21" s="126" t="inlineStr">
        <is>
          <t>2B Core Hoody</t>
        </is>
      </c>
      <c r="F21" s="703" t="inlineStr">
        <is>
          <t>540 CT</t>
        </is>
      </c>
      <c r="G21" s="129" t="n"/>
      <c r="H21" s="703" t="n">
        <v>111616110</v>
      </c>
      <c r="I21" s="560" t="n"/>
      <c r="J21" s="560" t="n"/>
      <c r="K21" s="129" t="n"/>
      <c r="L21" s="560" t="n"/>
      <c r="M21" s="704">
        <f>G21+H21</f>
        <v/>
      </c>
    </row>
    <row r="22" ht="14.25" customFormat="1" customHeight="1" s="96">
      <c r="A22" s="702" t="n">
        <v>42202</v>
      </c>
      <c r="B22" s="123" t="inlineStr">
        <is>
          <t>E 71959</t>
        </is>
      </c>
      <c r="C22" s="124" t="inlineStr">
        <is>
          <t>LPP S.A</t>
        </is>
      </c>
      <c r="D22" s="125" t="n"/>
      <c r="E22" s="126" t="inlineStr">
        <is>
          <t>Men's  Knit Jogging Top</t>
        </is>
      </c>
      <c r="F22" s="703" t="inlineStr">
        <is>
          <t>796 CT</t>
        </is>
      </c>
      <c r="G22" s="129" t="n"/>
      <c r="H22" s="703" t="n">
        <v>145841012</v>
      </c>
      <c r="I22" s="560" t="n"/>
      <c r="J22" s="560" t="n"/>
      <c r="K22" s="129" t="n"/>
      <c r="L22" s="560" t="n"/>
      <c r="M22" s="704">
        <f>G22+H22</f>
        <v/>
      </c>
    </row>
    <row r="23" ht="14.25" customFormat="1" customHeight="1" s="96">
      <c r="A23" s="702" t="n">
        <v>42203</v>
      </c>
      <c r="B23" s="123" t="inlineStr">
        <is>
          <t xml:space="preserve"> E 73334</t>
        </is>
      </c>
      <c r="C23" s="124" t="inlineStr">
        <is>
          <t>VDR FASHION GROUP BV</t>
        </is>
      </c>
      <c r="D23" s="125" t="n"/>
      <c r="E23" s="126" t="inlineStr">
        <is>
          <t>Ladies Skirt</t>
        </is>
      </c>
      <c r="F23" s="703" t="inlineStr">
        <is>
          <t>38 CT</t>
        </is>
      </c>
      <c r="G23" s="129" t="n"/>
      <c r="H23" s="703" t="n">
        <v>30111334</v>
      </c>
      <c r="I23" s="560" t="n"/>
      <c r="J23" s="560" t="n"/>
      <c r="K23" s="129" t="n"/>
      <c r="L23" s="560" t="n"/>
      <c r="M23" s="704">
        <f>G23+H23</f>
        <v/>
      </c>
    </row>
    <row r="24" ht="14.25" customFormat="1" customHeight="1" s="96">
      <c r="A24" s="702" t="n">
        <v>42203</v>
      </c>
      <c r="B24" s="123" t="inlineStr">
        <is>
          <t>E 73525</t>
        </is>
      </c>
      <c r="C24" s="124" t="inlineStr">
        <is>
          <t>A.LEVY &amp; SON LIMITED</t>
        </is>
      </c>
      <c r="D24" s="125" t="n"/>
      <c r="E24" s="126" t="inlineStr">
        <is>
          <t>Men's Neck Pullover</t>
        </is>
      </c>
      <c r="F24" s="703" t="inlineStr">
        <is>
          <t>346 CT</t>
        </is>
      </c>
      <c r="G24" s="129" t="n"/>
      <c r="H24" s="703" t="n">
        <v>149495808</v>
      </c>
      <c r="I24" s="560" t="n"/>
      <c r="J24" s="560" t="n"/>
      <c r="K24" s="129" t="n"/>
      <c r="L24" s="560" t="n"/>
      <c r="M24" s="704">
        <f>G24+H24</f>
        <v/>
      </c>
    </row>
    <row r="25" ht="14.25" customFormat="1" customHeight="1" s="96">
      <c r="A25" s="702" t="n">
        <v>42203</v>
      </c>
      <c r="B25" s="123" t="inlineStr">
        <is>
          <t>E 73514</t>
        </is>
      </c>
      <c r="C25" s="124" t="inlineStr">
        <is>
          <t>LPP S.A</t>
        </is>
      </c>
      <c r="D25" s="125" t="n"/>
      <c r="E25" s="126" t="inlineStr">
        <is>
          <t>Ladies Jogging Top</t>
        </is>
      </c>
      <c r="F25" s="703" t="inlineStr">
        <is>
          <t>349 CT</t>
        </is>
      </c>
      <c r="G25" s="129" t="n"/>
      <c r="H25" s="703" t="n">
        <v>96535757</v>
      </c>
      <c r="I25" s="560" t="n"/>
      <c r="J25" s="560" t="n"/>
      <c r="K25" s="129" t="n"/>
      <c r="L25" s="560" t="n"/>
      <c r="M25" s="704">
        <f>G25+H25</f>
        <v/>
      </c>
    </row>
    <row r="26" ht="14.25" customFormat="1" customHeight="1" s="96">
      <c r="A26" s="702" t="n">
        <v>42203</v>
      </c>
      <c r="B26" s="123" t="inlineStr">
        <is>
          <t>E 73514</t>
        </is>
      </c>
      <c r="C26" s="124" t="inlineStr">
        <is>
          <t>LPP S.A</t>
        </is>
      </c>
      <c r="D26" s="125" t="n"/>
      <c r="E26" s="126" t="inlineStr">
        <is>
          <t>Men's  Knit Jogging Top</t>
        </is>
      </c>
      <c r="F26" s="703" t="inlineStr">
        <is>
          <t>228 CT</t>
        </is>
      </c>
      <c r="G26" s="129" t="n"/>
      <c r="H26" s="703" t="n">
        <v>67763405</v>
      </c>
      <c r="I26" s="560" t="n"/>
      <c r="J26" s="560" t="n"/>
      <c r="K26" s="129" t="n"/>
      <c r="L26" s="560" t="n"/>
      <c r="M26" s="704">
        <f>G26+H26</f>
        <v/>
      </c>
    </row>
    <row r="27" ht="14.25" customFormat="1" customHeight="1" s="96">
      <c r="A27" s="702" t="n">
        <v>42203</v>
      </c>
      <c r="B27" s="123" t="inlineStr">
        <is>
          <t>E 73514</t>
        </is>
      </c>
      <c r="C27" s="124" t="inlineStr">
        <is>
          <t>LPP S.A</t>
        </is>
      </c>
      <c r="D27" s="125" t="n"/>
      <c r="E27" s="126" t="inlineStr">
        <is>
          <t>Men's Knit Jogging Top</t>
        </is>
      </c>
      <c r="F27" s="703" t="inlineStr">
        <is>
          <t>200CT</t>
        </is>
      </c>
      <c r="G27" s="129" t="n"/>
      <c r="H27" s="703" t="n">
        <v>45686784</v>
      </c>
      <c r="I27" s="560" t="n"/>
      <c r="J27" s="560" t="n"/>
      <c r="K27" s="129" t="n"/>
      <c r="L27" s="560" t="n"/>
      <c r="M27" s="704">
        <f>G27+H27</f>
        <v/>
      </c>
    </row>
    <row r="28" ht="14.25" customFormat="1" customHeight="1" s="96">
      <c r="A28" s="702" t="n">
        <v>42203</v>
      </c>
      <c r="B28" s="123" t="inlineStr">
        <is>
          <t>E 73524</t>
        </is>
      </c>
      <c r="C28" s="124" t="inlineStr">
        <is>
          <t>VDR FASHION GROUP BV</t>
        </is>
      </c>
      <c r="D28" s="125" t="n"/>
      <c r="E28" s="126" t="inlineStr">
        <is>
          <t>Ladies Knitted Tregging</t>
        </is>
      </c>
      <c r="F28" s="703" t="inlineStr">
        <is>
          <t>245 CT</t>
        </is>
      </c>
      <c r="G28" s="129" t="n"/>
      <c r="H28" s="703" t="n">
        <v>150505472</v>
      </c>
      <c r="I28" s="560" t="n"/>
      <c r="J28" s="560" t="n"/>
      <c r="K28" s="129" t="n"/>
      <c r="L28" s="560" t="n"/>
      <c r="M28" s="704">
        <f>G28+H28</f>
        <v/>
      </c>
    </row>
    <row r="29" ht="13.5" customFormat="1" customHeight="1" s="96">
      <c r="A29" s="702" t="n">
        <v>42203</v>
      </c>
      <c r="B29" s="123" t="inlineStr">
        <is>
          <t>E 73524</t>
        </is>
      </c>
      <c r="C29" s="124" t="inlineStr">
        <is>
          <t>VDR FASHION GROUP BV</t>
        </is>
      </c>
      <c r="D29" s="125" t="n"/>
      <c r="E29" s="126" t="inlineStr">
        <is>
          <t>Ladies Knitted Blazer</t>
        </is>
      </c>
      <c r="F29" s="703" t="inlineStr">
        <is>
          <t>191 CT</t>
        </is>
      </c>
      <c r="G29" s="129" t="n"/>
      <c r="H29" s="703" t="n">
        <v>114575606</v>
      </c>
      <c r="I29" s="560" t="n"/>
      <c r="J29" s="560" t="n"/>
      <c r="K29" s="129" t="n"/>
      <c r="L29" s="560" t="n"/>
      <c r="M29" s="704">
        <f>G29+H29</f>
        <v/>
      </c>
    </row>
    <row r="30" ht="14.25" customFormat="1" customHeight="1" s="139">
      <c r="A30" s="705">
        <f>L4</f>
        <v/>
      </c>
      <c r="B30" s="584" t="n"/>
      <c r="C30" s="584" t="n"/>
      <c r="D30" s="573" t="n"/>
      <c r="E30" s="133" t="inlineStr">
        <is>
          <t>Riel</t>
        </is>
      </c>
      <c r="F30" s="706">
        <f>SUM(F9:F29)</f>
        <v/>
      </c>
      <c r="G30" s="135" t="n"/>
      <c r="H30" s="707">
        <f>SUM(H9:H29)</f>
        <v/>
      </c>
      <c r="I30" s="137" t="n"/>
      <c r="J30" s="137" t="n"/>
      <c r="K30" s="137" t="n"/>
      <c r="L30" s="137" t="n"/>
      <c r="M30" s="708">
        <f>SUM(M9:M29)</f>
        <v/>
      </c>
    </row>
    <row r="31" ht="14.25" customFormat="1" customHeight="1" s="139" thickBot="1">
      <c r="A31" s="709" t="inlineStr">
        <is>
          <t>Total USD</t>
        </is>
      </c>
      <c r="B31" s="710" t="n"/>
      <c r="C31" s="710" t="n"/>
      <c r="D31" s="711" t="n"/>
      <c r="E31" s="140" t="inlineStr">
        <is>
          <t>USD</t>
        </is>
      </c>
      <c r="F31" s="712" t="n"/>
      <c r="G31" s="143">
        <f>G30/L4</f>
        <v/>
      </c>
      <c r="H31" s="713">
        <f>H30/L4</f>
        <v/>
      </c>
      <c r="I31" s="714">
        <f>I30*4034</f>
        <v/>
      </c>
      <c r="J31" s="714">
        <f>J30*4034</f>
        <v/>
      </c>
      <c r="K31" s="714">
        <f>K30*4034</f>
        <v/>
      </c>
      <c r="L31" s="714">
        <f>L30*4034</f>
        <v/>
      </c>
      <c r="M31" s="715">
        <f>M30/L4</f>
        <v/>
      </c>
    </row>
    <row r="32" ht="15.75" customFormat="1" customHeight="1" s="151">
      <c r="A32" s="147" t="n"/>
      <c r="B32" s="148" t="n"/>
      <c r="C32" s="148" t="n"/>
      <c r="D32" s="148" t="n"/>
      <c r="E32" s="148" t="n"/>
      <c r="F32" s="716" t="n"/>
      <c r="G32" s="148" t="inlineStr">
        <is>
          <t>Box 12</t>
        </is>
      </c>
      <c r="H32" s="150" t="inlineStr">
        <is>
          <t>Box 13</t>
        </is>
      </c>
      <c r="I32" s="148" t="inlineStr">
        <is>
          <t>Box 14</t>
        </is>
      </c>
      <c r="J32" s="148" t="inlineStr">
        <is>
          <t>Box 15</t>
        </is>
      </c>
      <c r="K32" s="148" t="inlineStr">
        <is>
          <t>Box 14</t>
        </is>
      </c>
      <c r="L32" s="148" t="inlineStr">
        <is>
          <t>Box 15</t>
        </is>
      </c>
      <c r="M32" s="148" t="n"/>
    </row>
    <row r="33" ht="14.25" customHeight="1" s="408">
      <c r="A33" s="152" t="n"/>
      <c r="B33" s="153" t="n"/>
      <c r="C33" s="153" t="n"/>
      <c r="D33" s="153" t="n"/>
      <c r="E33" s="153" t="n"/>
      <c r="F33" s="717" t="n"/>
      <c r="G33" s="153" t="n"/>
      <c r="H33" s="553" t="inlineStr">
        <is>
          <t>Approved By :</t>
        </is>
      </c>
    </row>
    <row r="34" ht="19.5" customHeight="1" s="408">
      <c r="H34" s="554" t="n"/>
      <c r="N34" s="718" t="n"/>
    </row>
    <row r="35" hidden="1" ht="18" customHeight="1" s="408">
      <c r="H35" s="719">
        <f>H31*1%</f>
        <v/>
      </c>
      <c r="I35" s="160" t="n"/>
      <c r="J35" s="734" t="n"/>
      <c r="K35" s="721" t="n"/>
      <c r="L35" s="721" t="n"/>
    </row>
    <row r="36" ht="14.25" customHeight="1" s="408">
      <c r="H36" s="163" t="n"/>
      <c r="I36" s="546" t="n"/>
      <c r="L36" s="163" t="n"/>
    </row>
    <row r="37" ht="14.25" customHeight="1" s="408">
      <c r="C37" s="164" t="n"/>
      <c r="D37" s="165" t="n"/>
      <c r="E37" s="165" t="n"/>
      <c r="F37" s="722" t="n"/>
    </row>
    <row r="38" ht="14.25" customHeight="1" s="408">
      <c r="F38" s="697" t="n"/>
      <c r="G38" s="735" t="n"/>
      <c r="I38" s="169" t="n"/>
    </row>
    <row r="39" ht="14.25" customHeight="1" s="408">
      <c r="C39" s="170" t="n"/>
      <c r="D39" s="171" t="n"/>
      <c r="E39" s="172" t="n"/>
      <c r="F39" s="171" t="n"/>
      <c r="G39" s="160" t="n"/>
      <c r="H39" s="173" t="n"/>
      <c r="I39" s="725" t="n"/>
      <c r="J39" s="175" t="n"/>
      <c r="K39" s="175" t="n"/>
    </row>
    <row r="40" ht="14.25" customHeight="1" s="408">
      <c r="F40" s="697" t="n"/>
      <c r="H40" s="730" t="n"/>
      <c r="I40" s="177" t="n"/>
      <c r="J40" s="177" t="n"/>
      <c r="K40" s="139" t="n"/>
    </row>
    <row r="41" ht="14.25" customHeight="1" s="408">
      <c r="H41" s="173" t="n"/>
      <c r="I41" s="729" t="n"/>
      <c r="J41" s="139" t="n"/>
      <c r="K41" s="139" t="n"/>
    </row>
    <row r="42" ht="14.25" customHeight="1" s="408">
      <c r="H42" s="730" t="n"/>
      <c r="I42" s="725" t="n"/>
      <c r="J42" s="139" t="n"/>
      <c r="K42" s="139" t="n"/>
    </row>
    <row r="43" ht="14.25" customHeight="1" s="408">
      <c r="H43" s="731" t="n"/>
      <c r="J43" s="139" t="n"/>
      <c r="K43" s="139" t="n"/>
      <c r="M43" s="732" t="n"/>
    </row>
    <row r="44" hidden="1" ht="14.25" customHeight="1" s="408">
      <c r="H44" s="733">
        <f>H31*1%</f>
        <v/>
      </c>
    </row>
    <row r="45" ht="14.25" customHeight="1" s="408">
      <c r="H45" s="175" t="n"/>
      <c r="I45" s="139" t="n"/>
    </row>
    <row r="46" ht="14.25" customHeight="1" s="408">
      <c r="H46" s="175" t="n"/>
    </row>
    <row r="47" ht="14.25" customHeight="1" s="408">
      <c r="H47" s="175" t="n"/>
    </row>
    <row r="48" ht="14.25" customHeight="1" s="408">
      <c r="H48" s="175" t="n"/>
    </row>
    <row r="49" ht="14.25" customHeight="1" s="408">
      <c r="H49" s="725" t="n"/>
    </row>
    <row r="50" ht="14.25" customHeight="1" s="408">
      <c r="H50" s="175" t="n"/>
    </row>
    <row r="51" ht="14.25" customHeight="1" s="408">
      <c r="H51" s="175" t="n"/>
    </row>
    <row r="52" ht="14.25" customHeight="1" s="408">
      <c r="H52" s="175" t="n"/>
    </row>
    <row r="53" ht="14.25" customHeight="1" s="408">
      <c r="H53" s="175" t="n"/>
    </row>
    <row r="54" ht="14.25" customHeight="1" s="408">
      <c r="H54" s="175" t="n"/>
    </row>
    <row r="55" ht="14.25" customHeight="1" s="408">
      <c r="H55" s="175" t="n"/>
    </row>
  </sheetData>
  <mergeCells count="16">
    <mergeCell ref="K7:L7"/>
    <mergeCell ref="A31:D31"/>
    <mergeCell ref="H33:M33"/>
    <mergeCell ref="A1:M1"/>
    <mergeCell ref="I36:K36"/>
    <mergeCell ref="G38:H38"/>
    <mergeCell ref="I7:J7"/>
    <mergeCell ref="H43:I43"/>
    <mergeCell ref="A30:D30"/>
    <mergeCell ref="H34:M34"/>
    <mergeCell ref="I6:L6"/>
    <mergeCell ref="F6:G6"/>
    <mergeCell ref="A5:H5"/>
    <mergeCell ref="H44:I44"/>
    <mergeCell ref="A2:M2"/>
    <mergeCell ref="I5:L5"/>
  </mergeCells>
  <pageMargins left="0.45" right="0.16" top="0.51" bottom="0.5" header="0.46" footer="0.2"/>
  <pageSetup orientation="landscape" horizontalDpi="0" verticalDpi="0"/>
  <legacyDrawing xmlns:r="http://schemas.openxmlformats.org/officeDocument/2006/relationships" r:id="anysvml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P72"/>
  <sheetViews>
    <sheetView topLeftCell="F35" zoomScale="190" zoomScaleNormal="190" workbookViewId="0">
      <selection activeCell="I9" sqref="I9:I46"/>
    </sheetView>
  </sheetViews>
  <sheetFormatPr baseColWidth="8" defaultColWidth="9.109375" defaultRowHeight="14.25" customHeight="1"/>
  <cols>
    <col width="8.109375" customWidth="1" style="156" min="1" max="1"/>
    <col width="7" customWidth="1" style="155" min="2" max="2"/>
    <col width="19.33203125" customWidth="1" style="155" min="3" max="3"/>
    <col width="7.44140625" customWidth="1" style="155" min="4" max="4"/>
    <col width="17.88671875" customWidth="1" style="155" min="5" max="5"/>
    <col width="4.6640625" customWidth="1" style="697" min="6" max="6"/>
    <col width="3" customWidth="1" style="697" min="7" max="7"/>
    <col width="11.109375" customWidth="1" style="155" min="8" max="8"/>
    <col width="11.88671875" customWidth="1" style="167" min="9" max="9"/>
    <col width="9" customWidth="1" style="155" min="10" max="10"/>
    <col width="5.44140625" customWidth="1" style="155" min="11" max="11"/>
    <col width="8.44140625" customWidth="1" style="155" min="12" max="12"/>
    <col width="4.33203125" customWidth="1" style="155" min="13" max="13"/>
    <col width="13.33203125" customWidth="1" style="155" min="14" max="14"/>
    <col width="15.109375" bestFit="1" customWidth="1" style="155" min="15" max="15"/>
    <col width="9.109375" customWidth="1" style="155" min="16" max="16384"/>
  </cols>
  <sheetData>
    <row r="1" ht="23.25" customFormat="1" customHeight="1" s="84">
      <c r="A1" s="555" t="inlineStr">
        <is>
          <t xml:space="preserve"> សៀវភៅទិនានុប្បវត្តិលក់- នាំចេញ</t>
        </is>
      </c>
      <c r="O1" s="83" t="n"/>
    </row>
    <row r="2" ht="22.5" customFormat="1" customHeight="1" s="85">
      <c r="A2" s="556" t="inlineStr">
        <is>
          <t xml:space="preserve"> ខែ​​ សីហា ឆ្នាំ ២០១៥</t>
        </is>
      </c>
      <c r="O2" s="83" t="n"/>
    </row>
    <row r="3" ht="22.5" customFormat="1" customHeight="1" s="95">
      <c r="A3" s="86" t="inlineStr">
        <is>
          <t xml:space="preserve">ជី អេវើរហ្រ្គីន( ខេមបូឌា​ ) នីតធីង  </t>
        </is>
      </c>
      <c r="B3" s="87" t="n"/>
      <c r="C3" s="556" t="n"/>
      <c r="D3" s="87" t="n"/>
      <c r="E3" s="556" t="n"/>
      <c r="F3" s="555" t="n"/>
      <c r="G3" s="555" t="n"/>
      <c r="H3" s="555" t="n"/>
      <c r="I3" s="555" t="n"/>
      <c r="J3" s="90" t="n"/>
      <c r="K3" s="91" t="n"/>
      <c r="L3" s="86" t="inlineStr">
        <is>
          <t>Vat:100193102</t>
        </is>
      </c>
      <c r="M3" s="92" t="n"/>
      <c r="N3" s="93" t="n"/>
      <c r="O3" s="94" t="n"/>
      <c r="P3" s="94" t="n"/>
    </row>
    <row r="4" ht="18" customFormat="1" customHeight="1" s="104" thickBot="1">
      <c r="A4" s="96" t="inlineStr">
        <is>
          <t xml:space="preserve">ភូមិជ្រៃកោង សង្កាត់ចោមចៅ ខណ្ឌ ពោធិសែនជ័យ ក្រុង ភ្នំពេញ </t>
        </is>
      </c>
      <c r="B4" s="97" t="n"/>
      <c r="C4" s="98" t="n"/>
      <c r="D4" s="99" t="n"/>
      <c r="E4" s="99" t="n"/>
      <c r="F4" s="100" t="n"/>
      <c r="G4" s="100" t="n"/>
      <c r="H4" s="100" t="n"/>
      <c r="I4" s="100" t="n"/>
      <c r="J4" s="101" t="n"/>
      <c r="K4" s="93" t="n"/>
      <c r="L4" s="97" t="inlineStr">
        <is>
          <t>Average:</t>
        </is>
      </c>
      <c r="M4" s="102" t="n">
        <v>4095</v>
      </c>
      <c r="N4" s="93" t="n"/>
      <c r="O4" s="103" t="n"/>
      <c r="P4" s="94" t="n"/>
    </row>
    <row r="5" ht="16.5" customFormat="1" customHeight="1" s="104">
      <c r="A5" s="557" t="inlineStr">
        <is>
          <t>វិក្ក័យប័ត្រ</t>
        </is>
      </c>
      <c r="B5" s="698" t="n"/>
      <c r="C5" s="698" t="n"/>
      <c r="D5" s="698" t="n"/>
      <c r="E5" s="698" t="n"/>
      <c r="F5" s="698" t="n"/>
      <c r="G5" s="698" t="n"/>
      <c r="H5" s="698" t="n"/>
      <c r="I5" s="698" t="n"/>
      <c r="J5" s="559" t="inlineStr">
        <is>
          <t>ការផ្គត់ផ្គង់</t>
        </is>
      </c>
      <c r="K5" s="698" t="n"/>
      <c r="L5" s="698" t="n"/>
      <c r="M5" s="699" t="n"/>
      <c r="N5" s="105" t="n"/>
    </row>
    <row r="6" ht="14.25" customFormat="1" customHeight="1" s="104">
      <c r="A6" s="106" t="inlineStr">
        <is>
          <t>កាលបរិចេ្ឆទ</t>
        </is>
      </c>
      <c r="B6" s="107" t="inlineStr">
        <is>
          <t>វិក្ក័យប័ត្រ</t>
        </is>
      </c>
      <c r="C6" s="107" t="inlineStr">
        <is>
          <t>អ្នកទិញ</t>
        </is>
      </c>
      <c r="D6" s="107" t="inlineStr">
        <is>
          <t>លេខ អតប</t>
        </is>
      </c>
      <c r="E6" s="107" t="inlineStr">
        <is>
          <t>បរិយាយ</t>
        </is>
      </c>
      <c r="F6" s="560" t="inlineStr">
        <is>
          <t>បរិមាណ</t>
        </is>
      </c>
      <c r="G6" s="584" t="n"/>
      <c r="H6" s="573" t="n"/>
      <c r="I6" s="108" t="n"/>
      <c r="J6" s="561" t="inlineStr">
        <is>
          <t>karlk;Cab;Gakr</t>
        </is>
      </c>
      <c r="K6" s="590" t="n"/>
      <c r="L6" s="590" t="n"/>
      <c r="M6" s="611" t="n"/>
      <c r="N6" s="109" t="inlineStr">
        <is>
          <t>សរុបថ្លៃទិញ</t>
        </is>
      </c>
    </row>
    <row r="7" ht="14.25" customFormat="1" customHeight="1" s="104">
      <c r="A7" s="110" t="n"/>
      <c r="B7" s="111" t="n"/>
      <c r="C7" s="111" t="n"/>
      <c r="D7" s="112" t="inlineStr">
        <is>
          <t>TIN</t>
        </is>
      </c>
      <c r="E7" s="113" t="n"/>
      <c r="F7" s="114" t="inlineStr">
        <is>
          <t>ការផ្គត់ផ្គង់</t>
        </is>
      </c>
      <c r="G7" s="584" t="n"/>
      <c r="H7" s="573" t="n"/>
      <c r="I7" s="114" t="inlineStr">
        <is>
          <t>ការនាំចេញ</t>
        </is>
      </c>
      <c r="J7" s="549" t="inlineStr">
        <is>
          <t>lk;;»übuKþlCab;Gakr</t>
        </is>
      </c>
      <c r="K7" s="573" t="n"/>
      <c r="L7" s="549" t="inlineStr">
        <is>
          <t>lk;;»üGñkeRbIR)as;</t>
        </is>
      </c>
      <c r="M7" s="573" t="n"/>
      <c r="N7" s="109" t="inlineStr">
        <is>
          <t>រួមទាំអាករ</t>
        </is>
      </c>
    </row>
    <row r="8" ht="14.25" customFormat="1" customHeight="1" s="104">
      <c r="A8" s="115" t="n"/>
      <c r="B8" s="116" t="n"/>
      <c r="C8" s="116" t="n"/>
      <c r="D8" s="117" t="n"/>
      <c r="E8" s="118" t="n"/>
      <c r="F8" s="114" t="inlineStr">
        <is>
          <t>មិនជាប់អាករ</t>
        </is>
      </c>
      <c r="G8" s="584" t="n"/>
      <c r="H8" s="573" t="n"/>
      <c r="I8" s="119" t="inlineStr">
        <is>
          <t>អត្រា​​ 0 %</t>
        </is>
      </c>
      <c r="J8" s="560" t="inlineStr">
        <is>
          <t>តំលៃជាប់អាករ</t>
        </is>
      </c>
      <c r="K8" s="560" t="inlineStr">
        <is>
          <t>អាករ</t>
        </is>
      </c>
      <c r="L8" s="560" t="inlineStr">
        <is>
          <t>តំលៃជាប់អាករ</t>
        </is>
      </c>
      <c r="M8" s="560" t="inlineStr">
        <is>
          <t>អាករ</t>
        </is>
      </c>
      <c r="N8" s="121" t="n"/>
    </row>
    <row r="9" ht="14.25" customFormat="1" customHeight="1" s="96">
      <c r="A9" s="702" t="n">
        <v>42202</v>
      </c>
      <c r="B9" s="123" t="inlineStr">
        <is>
          <t>E 72202</t>
        </is>
      </c>
      <c r="C9" s="124" t="inlineStr">
        <is>
          <t>Primark Us Corp</t>
        </is>
      </c>
      <c r="D9" s="125" t="n"/>
      <c r="E9" s="126" t="inlineStr">
        <is>
          <t>Men Zip Thru Hoody</t>
        </is>
      </c>
      <c r="F9" s="736" t="n">
        <v>65</v>
      </c>
      <c r="G9" s="128" t="inlineStr">
        <is>
          <t>CT</t>
        </is>
      </c>
      <c r="H9" s="129" t="n"/>
      <c r="I9" s="703" t="n">
        <v>16764930</v>
      </c>
      <c r="J9" s="560" t="n"/>
      <c r="K9" s="560" t="n"/>
      <c r="L9" s="129" t="n"/>
      <c r="M9" s="560" t="n"/>
      <c r="N9" s="704">
        <f>H9+I9</f>
        <v/>
      </c>
    </row>
    <row r="10" ht="14.25" customFormat="1" customHeight="1" s="96">
      <c r="A10" s="702" t="n">
        <v>42203</v>
      </c>
      <c r="B10" s="123" t="inlineStr">
        <is>
          <t>E 13027</t>
        </is>
      </c>
      <c r="C10" s="124" t="inlineStr">
        <is>
          <t>LPP S.A</t>
        </is>
      </c>
      <c r="D10" s="125" t="n"/>
      <c r="E10" s="126" t="inlineStr">
        <is>
          <t>Ladies Knit Jogging Top</t>
        </is>
      </c>
      <c r="F10" s="736" t="n">
        <v>64</v>
      </c>
      <c r="G10" s="128" t="inlineStr">
        <is>
          <t>CT</t>
        </is>
      </c>
      <c r="H10" s="129" t="n"/>
      <c r="I10" s="703" t="n">
        <v>26424115</v>
      </c>
      <c r="J10" s="560" t="n"/>
      <c r="K10" s="560" t="n"/>
      <c r="L10" s="129" t="n"/>
      <c r="M10" s="560" t="n"/>
      <c r="N10" s="704">
        <f>H10+I10</f>
        <v/>
      </c>
    </row>
    <row r="11" ht="14.25" customFormat="1" customHeight="1" s="96">
      <c r="A11" s="702" t="n">
        <v>42208</v>
      </c>
      <c r="B11" s="123" t="inlineStr">
        <is>
          <t>E 13359</t>
        </is>
      </c>
      <c r="C11" s="124" t="inlineStr">
        <is>
          <t>VDR Fashion Group BV</t>
        </is>
      </c>
      <c r="D11" s="125" t="n"/>
      <c r="E11" s="126" t="inlineStr">
        <is>
          <t>Ladies Knit Shirt</t>
        </is>
      </c>
      <c r="F11" s="736" t="n">
        <v>36</v>
      </c>
      <c r="G11" s="128" t="inlineStr">
        <is>
          <t>CT</t>
        </is>
      </c>
      <c r="H11" s="129" t="n"/>
      <c r="I11" s="703" t="n">
        <v>29192000</v>
      </c>
      <c r="J11" s="560" t="n"/>
      <c r="K11" s="560" t="n"/>
      <c r="L11" s="129" t="n"/>
      <c r="M11" s="560" t="n"/>
      <c r="N11" s="704">
        <f>H11+I11</f>
        <v/>
      </c>
    </row>
    <row r="12" ht="14.25" customFormat="1" customHeight="1" s="96">
      <c r="A12" s="702" t="n">
        <v>42209</v>
      </c>
      <c r="B12" s="123" t="inlineStr">
        <is>
          <t>E 74804</t>
        </is>
      </c>
      <c r="C12" s="124" t="inlineStr">
        <is>
          <t>Primark Us Corp</t>
        </is>
      </c>
      <c r="D12" s="125" t="n"/>
      <c r="E12" s="126" t="inlineStr">
        <is>
          <t>Boy Hoody</t>
        </is>
      </c>
      <c r="F12" s="736" t="n">
        <v>305</v>
      </c>
      <c r="G12" s="128" t="inlineStr">
        <is>
          <t>CT</t>
        </is>
      </c>
      <c r="H12" s="129" t="n"/>
      <c r="I12" s="703" t="n">
        <v>70028000</v>
      </c>
      <c r="J12" s="560" t="n"/>
      <c r="K12" s="560" t="n"/>
      <c r="L12" s="129" t="n"/>
      <c r="M12" s="560" t="n"/>
      <c r="N12" s="704">
        <f>H12+I12</f>
        <v/>
      </c>
    </row>
    <row r="13" ht="14.25" customFormat="1" customHeight="1" s="96">
      <c r="A13" s="702" t="n">
        <v>42209</v>
      </c>
      <c r="B13" s="123" t="inlineStr">
        <is>
          <t>E 74578</t>
        </is>
      </c>
      <c r="C13" s="124" t="inlineStr">
        <is>
          <t>LPP S.A</t>
        </is>
      </c>
      <c r="D13" s="125" t="n"/>
      <c r="E13" s="126" t="inlineStr">
        <is>
          <t>Men's Jogging Top</t>
        </is>
      </c>
      <c r="F13" s="736" t="n">
        <v>904</v>
      </c>
      <c r="G13" s="128" t="inlineStr">
        <is>
          <t>CT</t>
        </is>
      </c>
      <c r="H13" s="129" t="n"/>
      <c r="I13" s="703" t="n">
        <v>242980473</v>
      </c>
      <c r="J13" s="560" t="n"/>
      <c r="K13" s="560" t="n"/>
      <c r="L13" s="129" t="n"/>
      <c r="M13" s="560" t="n"/>
      <c r="N13" s="704">
        <f>H13+I13</f>
        <v/>
      </c>
    </row>
    <row r="14" ht="14.25" customFormat="1" customHeight="1" s="96">
      <c r="A14" s="702" t="n">
        <v>42210</v>
      </c>
      <c r="B14" s="123" t="inlineStr">
        <is>
          <t>E 76431</t>
        </is>
      </c>
      <c r="C14" s="124" t="inlineStr">
        <is>
          <t xml:space="preserve">Primark </t>
        </is>
      </c>
      <c r="D14" s="125" t="n"/>
      <c r="E14" s="126" t="inlineStr">
        <is>
          <t>Men Zip Thru Hoody</t>
        </is>
      </c>
      <c r="F14" s="736" t="n">
        <v>700</v>
      </c>
      <c r="G14" s="128" t="inlineStr">
        <is>
          <t>CT</t>
        </is>
      </c>
      <c r="H14" s="129" t="n"/>
      <c r="I14" s="703" t="n">
        <v>180986400</v>
      </c>
      <c r="J14" s="560" t="n"/>
      <c r="K14" s="560" t="n"/>
      <c r="L14" s="129" t="n"/>
      <c r="M14" s="560" t="n"/>
      <c r="N14" s="704">
        <f>H14+I14</f>
        <v/>
      </c>
    </row>
    <row r="15" ht="14.25" customFormat="1" customHeight="1" s="96">
      <c r="A15" s="702" t="n">
        <v>42210</v>
      </c>
      <c r="B15" s="123" t="inlineStr">
        <is>
          <t>E 76547</t>
        </is>
      </c>
      <c r="C15" s="124" t="inlineStr">
        <is>
          <t>Primark Stores Limited</t>
        </is>
      </c>
      <c r="D15" s="125" t="n"/>
      <c r="E15" s="126" t="inlineStr">
        <is>
          <t>7/2Boy Core Hoody</t>
        </is>
      </c>
      <c r="F15" s="736" t="n">
        <v>800</v>
      </c>
      <c r="G15" s="128" t="inlineStr">
        <is>
          <t>CT</t>
        </is>
      </c>
      <c r="H15" s="129" t="n"/>
      <c r="I15" s="703" t="n">
        <v>174420000</v>
      </c>
      <c r="J15" s="560" t="n"/>
      <c r="K15" s="560" t="n"/>
      <c r="L15" s="129" t="n"/>
      <c r="M15" s="560" t="n"/>
      <c r="N15" s="704">
        <f>H15+I15</f>
        <v/>
      </c>
    </row>
    <row r="16" ht="14.25" customFormat="1" customHeight="1" s="96">
      <c r="A16" s="702" t="n">
        <v>42210</v>
      </c>
      <c r="B16" s="123" t="inlineStr">
        <is>
          <t>E 65557</t>
        </is>
      </c>
      <c r="C16" s="124" t="inlineStr">
        <is>
          <t>LPP S.A</t>
        </is>
      </c>
      <c r="D16" s="125" t="n"/>
      <c r="E16" s="126" t="inlineStr">
        <is>
          <t>Ladies Jogging Top</t>
        </is>
      </c>
      <c r="F16" s="736" t="n">
        <v>680</v>
      </c>
      <c r="G16" s="128" t="inlineStr">
        <is>
          <t>CT</t>
        </is>
      </c>
      <c r="H16" s="129" t="n"/>
      <c r="I16" s="703" t="n">
        <v>178829338</v>
      </c>
      <c r="J16" s="560" t="n"/>
      <c r="K16" s="560" t="n"/>
      <c r="L16" s="129" t="n"/>
      <c r="M16" s="560" t="n"/>
      <c r="N16" s="704">
        <f>H16+I16</f>
        <v/>
      </c>
    </row>
    <row r="17" ht="14.25" customFormat="1" customHeight="1" s="96">
      <c r="A17" s="702" t="n">
        <v>42210</v>
      </c>
      <c r="B17" s="123" t="inlineStr">
        <is>
          <t>E 65557</t>
        </is>
      </c>
      <c r="C17" s="124" t="inlineStr">
        <is>
          <t>LPP S.A</t>
        </is>
      </c>
      <c r="D17" s="125" t="n"/>
      <c r="E17" s="126" t="inlineStr">
        <is>
          <t>Men's Knit Trousers</t>
        </is>
      </c>
      <c r="F17" s="736" t="n">
        <v>93</v>
      </c>
      <c r="G17" s="128" t="inlineStr">
        <is>
          <t>CT</t>
        </is>
      </c>
      <c r="H17" s="129" t="n"/>
      <c r="I17" s="703" t="n">
        <v>36022203</v>
      </c>
      <c r="J17" s="560" t="n"/>
      <c r="K17" s="560" t="n"/>
      <c r="L17" s="129" t="n"/>
      <c r="M17" s="560" t="n"/>
      <c r="N17" s="704">
        <f>H17+I17</f>
        <v/>
      </c>
    </row>
    <row r="18" ht="14.25" customFormat="1" customHeight="1" s="96">
      <c r="A18" s="702" t="n">
        <v>42215</v>
      </c>
      <c r="B18" s="132" t="inlineStr">
        <is>
          <t>E 76966</t>
        </is>
      </c>
      <c r="C18" s="124" t="inlineStr">
        <is>
          <t>Primark</t>
        </is>
      </c>
      <c r="D18" s="125" t="n"/>
      <c r="E18" s="126" t="inlineStr">
        <is>
          <t>See Val Note</t>
        </is>
      </c>
      <c r="F18" s="736" t="n">
        <v>355</v>
      </c>
      <c r="G18" s="128" t="inlineStr">
        <is>
          <t>CT</t>
        </is>
      </c>
      <c r="H18" s="129" t="n"/>
      <c r="I18" s="703" t="n">
        <v>89531330</v>
      </c>
      <c r="J18" s="560" t="n"/>
      <c r="K18" s="560" t="n"/>
      <c r="L18" s="129" t="n"/>
      <c r="M18" s="560" t="n"/>
      <c r="N18" s="704">
        <f>H18+I18</f>
        <v/>
      </c>
    </row>
    <row r="19" ht="14.25" customFormat="1" customHeight="1" s="96">
      <c r="A19" s="702" t="n">
        <v>42215</v>
      </c>
      <c r="B19" s="132" t="inlineStr">
        <is>
          <t>E 76966</t>
        </is>
      </c>
      <c r="C19" s="124" t="inlineStr">
        <is>
          <t>Primark</t>
        </is>
      </c>
      <c r="D19" s="125" t="n"/>
      <c r="E19" s="126" t="inlineStr">
        <is>
          <t>Ladies Nylon Zip Back Fl Legging</t>
        </is>
      </c>
      <c r="F19" s="736" t="n">
        <v>267</v>
      </c>
      <c r="G19" s="128" t="inlineStr">
        <is>
          <t>CT</t>
        </is>
      </c>
      <c r="H19" s="129" t="n"/>
      <c r="I19" s="703" t="n">
        <v>191743220</v>
      </c>
      <c r="J19" s="560" t="n"/>
      <c r="K19" s="560" t="n"/>
      <c r="L19" s="129" t="n"/>
      <c r="M19" s="560" t="n"/>
      <c r="N19" s="704">
        <f>H19+I19</f>
        <v/>
      </c>
    </row>
    <row r="20" ht="14.25" customFormat="1" customHeight="1" s="96">
      <c r="A20" s="702" t="n">
        <v>42216</v>
      </c>
      <c r="B20" s="132" t="inlineStr">
        <is>
          <t>E 78298</t>
        </is>
      </c>
      <c r="C20" s="124" t="inlineStr">
        <is>
          <t>Primark Us Corp</t>
        </is>
      </c>
      <c r="D20" s="125" t="n"/>
      <c r="E20" s="126" t="inlineStr">
        <is>
          <t>Mens Hoody</t>
        </is>
      </c>
      <c r="F20" s="736" t="n">
        <v>70</v>
      </c>
      <c r="G20" s="128" t="inlineStr">
        <is>
          <t>CT</t>
        </is>
      </c>
      <c r="H20" s="129" t="n"/>
      <c r="I20" s="703" t="n">
        <v>18116280</v>
      </c>
      <c r="J20" s="560" t="n"/>
      <c r="K20" s="560" t="n"/>
      <c r="L20" s="129" t="n"/>
      <c r="M20" s="560" t="n"/>
      <c r="N20" s="704">
        <f>H20+I20</f>
        <v/>
      </c>
    </row>
    <row r="21" ht="14.25" customFormat="1" customHeight="1" s="96">
      <c r="A21" s="702" t="n">
        <v>42216</v>
      </c>
      <c r="B21" s="132" t="inlineStr">
        <is>
          <t>E 77699</t>
        </is>
      </c>
      <c r="C21" s="124" t="inlineStr">
        <is>
          <t>LPP S.A</t>
        </is>
      </c>
      <c r="D21" s="125" t="n"/>
      <c r="E21" s="126" t="inlineStr">
        <is>
          <t>Men's Knit Trousers</t>
        </is>
      </c>
      <c r="F21" s="736" t="n">
        <v>256</v>
      </c>
      <c r="G21" s="128" t="inlineStr">
        <is>
          <t>CT</t>
        </is>
      </c>
      <c r="H21" s="129" t="n"/>
      <c r="I21" s="703" t="n">
        <v>101220463</v>
      </c>
      <c r="J21" s="560" t="n"/>
      <c r="K21" s="560" t="n"/>
      <c r="L21" s="129" t="n"/>
      <c r="M21" s="560" t="n"/>
      <c r="N21" s="704">
        <f>H21+I21</f>
        <v/>
      </c>
    </row>
    <row r="22" ht="14.25" customFormat="1" customHeight="1" s="96">
      <c r="A22" s="702" t="n">
        <v>42216</v>
      </c>
      <c r="B22" s="132" t="inlineStr">
        <is>
          <t>E 77699</t>
        </is>
      </c>
      <c r="C22" s="124" t="inlineStr">
        <is>
          <t>LPP S.A</t>
        </is>
      </c>
      <c r="D22" s="125" t="n"/>
      <c r="E22" s="126" t="inlineStr">
        <is>
          <t>Men's Jogging Top</t>
        </is>
      </c>
      <c r="F22" s="736" t="n">
        <v>79</v>
      </c>
      <c r="G22" s="128" t="inlineStr">
        <is>
          <t>CT</t>
        </is>
      </c>
      <c r="H22" s="129" t="n"/>
      <c r="I22" s="703" t="n">
        <v>18672092</v>
      </c>
      <c r="J22" s="560" t="n"/>
      <c r="K22" s="560" t="n"/>
      <c r="L22" s="129" t="n"/>
      <c r="M22" s="560" t="n"/>
      <c r="N22" s="704">
        <f>H22+I22</f>
        <v/>
      </c>
    </row>
    <row r="23" ht="14.25" customFormat="1" customHeight="1" s="96">
      <c r="A23" s="702" t="n">
        <v>42216</v>
      </c>
      <c r="B23" s="132" t="inlineStr">
        <is>
          <t>E 78825</t>
        </is>
      </c>
      <c r="C23" s="124" t="inlineStr">
        <is>
          <t>Primark Stores Limited</t>
        </is>
      </c>
      <c r="D23" s="125" t="n"/>
      <c r="E23" s="126" t="inlineStr">
        <is>
          <t>Ladies Legging</t>
        </is>
      </c>
      <c r="F23" s="736" t="n">
        <v>500</v>
      </c>
      <c r="G23" s="128" t="inlineStr">
        <is>
          <t>CT</t>
        </is>
      </c>
      <c r="H23" s="129" t="n"/>
      <c r="I23" s="703" t="n">
        <v>359244600</v>
      </c>
      <c r="J23" s="560" t="n"/>
      <c r="K23" s="560" t="n"/>
      <c r="L23" s="129" t="n"/>
      <c r="M23" s="560" t="n"/>
      <c r="N23" s="704">
        <f>H23+I23</f>
        <v/>
      </c>
    </row>
    <row r="24" ht="14.25" customFormat="1" customHeight="1" s="96">
      <c r="A24" s="702" t="n">
        <v>42217</v>
      </c>
      <c r="B24" s="132" t="inlineStr">
        <is>
          <t>E 79325</t>
        </is>
      </c>
      <c r="C24" s="124" t="inlineStr">
        <is>
          <t>Primark Stores Limited</t>
        </is>
      </c>
      <c r="D24" s="125" t="n"/>
      <c r="E24" s="126" t="inlineStr">
        <is>
          <t>7Boy/2Boy Core Hoody</t>
        </is>
      </c>
      <c r="F24" s="736" t="n">
        <v>640</v>
      </c>
      <c r="G24" s="128" t="inlineStr">
        <is>
          <t>CT</t>
        </is>
      </c>
      <c r="H24" s="129" t="n"/>
      <c r="I24" s="703" t="n">
        <v>141980760</v>
      </c>
      <c r="J24" s="560" t="n"/>
      <c r="K24" s="560" t="n"/>
      <c r="L24" s="129" t="n"/>
      <c r="M24" s="560" t="n"/>
      <c r="N24" s="704">
        <f>H24+I24</f>
        <v/>
      </c>
    </row>
    <row r="25" ht="14.25" customFormat="1" customHeight="1" s="96">
      <c r="A25" s="702" t="n">
        <v>42217</v>
      </c>
      <c r="B25" s="132" t="inlineStr">
        <is>
          <t>E 79317</t>
        </is>
      </c>
      <c r="C25" s="124" t="inlineStr">
        <is>
          <t>A.Levy &amp; Son Limited</t>
        </is>
      </c>
      <c r="D25" s="125" t="n"/>
      <c r="E25" s="126" t="inlineStr">
        <is>
          <t>Men's Neck Pullver / Hoody</t>
        </is>
      </c>
      <c r="F25" s="736" t="n">
        <v>635</v>
      </c>
      <c r="G25" s="128" t="inlineStr">
        <is>
          <t>CT</t>
        </is>
      </c>
      <c r="H25" s="129" t="n"/>
      <c r="I25" s="703" t="n">
        <v>311688076</v>
      </c>
      <c r="J25" s="560" t="n"/>
      <c r="K25" s="560" t="n"/>
      <c r="L25" s="129" t="n"/>
      <c r="M25" s="560" t="n"/>
      <c r="N25" s="704">
        <f>H25+I25</f>
        <v/>
      </c>
    </row>
    <row r="26" ht="14.25" customFormat="1" customHeight="1" s="96">
      <c r="A26" s="702" t="n">
        <v>42217</v>
      </c>
      <c r="B26" s="132" t="inlineStr">
        <is>
          <t>E 79287</t>
        </is>
      </c>
      <c r="C26" s="124" t="inlineStr">
        <is>
          <t>Primakr Tiendas Slu</t>
        </is>
      </c>
      <c r="D26" s="125" t="n"/>
      <c r="E26" s="126" t="inlineStr">
        <is>
          <t>Men's Zip Thru Hoody</t>
        </is>
      </c>
      <c r="F26" s="736" t="n">
        <v>2285</v>
      </c>
      <c r="G26" s="128" t="inlineStr">
        <is>
          <t>CT</t>
        </is>
      </c>
      <c r="H26" s="129" t="n"/>
      <c r="I26" s="703" t="n">
        <v>592086915</v>
      </c>
      <c r="J26" s="560" t="n"/>
      <c r="K26" s="560" t="n"/>
      <c r="L26" s="129" t="n"/>
      <c r="M26" s="560" t="n"/>
      <c r="N26" s="704">
        <f>H26+I26</f>
        <v/>
      </c>
    </row>
    <row r="27" ht="14.25" customFormat="1" customHeight="1" s="96">
      <c r="A27" s="702" t="n">
        <v>42217</v>
      </c>
      <c r="B27" s="132" t="inlineStr">
        <is>
          <t>E 79296</t>
        </is>
      </c>
      <c r="C27" s="124" t="inlineStr">
        <is>
          <t>Primark</t>
        </is>
      </c>
      <c r="D27" s="125" t="n"/>
      <c r="E27" s="126" t="inlineStr">
        <is>
          <t>Men's Zip Thru Hoody</t>
        </is>
      </c>
      <c r="F27" s="736" t="n">
        <v>695</v>
      </c>
      <c r="G27" s="128" t="inlineStr">
        <is>
          <t>CT</t>
        </is>
      </c>
      <c r="H27" s="129" t="n"/>
      <c r="I27" s="703" t="n">
        <v>180087705</v>
      </c>
      <c r="J27" s="560" t="n"/>
      <c r="K27" s="560" t="n"/>
      <c r="L27" s="129" t="n"/>
      <c r="M27" s="560" t="n"/>
      <c r="N27" s="704">
        <f>H27+I27</f>
        <v/>
      </c>
    </row>
    <row r="28" ht="14.25" customFormat="1" customHeight="1" s="96">
      <c r="A28" s="702" t="n">
        <v>42220</v>
      </c>
      <c r="B28" s="132" t="inlineStr">
        <is>
          <t>E 14352</t>
        </is>
      </c>
      <c r="C28" s="124" t="inlineStr">
        <is>
          <t>LPP S.A</t>
        </is>
      </c>
      <c r="D28" s="125" t="n"/>
      <c r="E28" s="126" t="inlineStr">
        <is>
          <t>Men's Knit Jogging Top</t>
        </is>
      </c>
      <c r="F28" s="736" t="n">
        <v>292</v>
      </c>
      <c r="G28" s="128" t="inlineStr">
        <is>
          <t>CT</t>
        </is>
      </c>
      <c r="H28" s="129" t="n"/>
      <c r="I28" s="703" t="n">
        <v>67012117</v>
      </c>
      <c r="J28" s="560" t="n"/>
      <c r="K28" s="560" t="n"/>
      <c r="L28" s="129" t="n"/>
      <c r="M28" s="560" t="n"/>
      <c r="N28" s="704">
        <f>H28+I28</f>
        <v/>
      </c>
    </row>
    <row r="29" ht="14.25" customFormat="1" customHeight="1" s="96">
      <c r="A29" s="702" t="n">
        <v>42222</v>
      </c>
      <c r="B29" s="132" t="inlineStr">
        <is>
          <t>E 79660</t>
        </is>
      </c>
      <c r="C29" s="124" t="inlineStr">
        <is>
          <t>Kik Texlilien Und-Food GMBH</t>
        </is>
      </c>
      <c r="D29" s="125" t="n"/>
      <c r="E29" s="126" t="inlineStr">
        <is>
          <t>Men's Knitted Sweatshirt</t>
        </is>
      </c>
      <c r="F29" s="736" t="n">
        <v>2875</v>
      </c>
      <c r="G29" s="128" t="inlineStr">
        <is>
          <t>CT</t>
        </is>
      </c>
      <c r="H29" s="129" t="n"/>
      <c r="I29" s="703" t="n">
        <v>344438512</v>
      </c>
      <c r="J29" s="560" t="n"/>
      <c r="K29" s="560" t="n"/>
      <c r="L29" s="129" t="n"/>
      <c r="M29" s="560" t="n"/>
      <c r="N29" s="704">
        <f>H29+I29</f>
        <v/>
      </c>
    </row>
    <row r="30" ht="14.25" customFormat="1" customHeight="1" s="96">
      <c r="A30" s="702" t="n">
        <v>42223</v>
      </c>
      <c r="B30" s="132" t="inlineStr">
        <is>
          <t>E 81282</t>
        </is>
      </c>
      <c r="C30" s="124" t="inlineStr">
        <is>
          <t>Primark</t>
        </is>
      </c>
      <c r="D30" s="125" t="n"/>
      <c r="E30" s="126" t="inlineStr">
        <is>
          <t>Men's +Boy Zip</t>
        </is>
      </c>
      <c r="F30" s="736" t="n">
        <v>75</v>
      </c>
      <c r="G30" s="128" t="inlineStr">
        <is>
          <t>CT</t>
        </is>
      </c>
      <c r="H30" s="129" t="n"/>
      <c r="I30" s="703" t="n">
        <v>18300065</v>
      </c>
      <c r="J30" s="560" t="n"/>
      <c r="K30" s="560" t="n"/>
      <c r="L30" s="129" t="n"/>
      <c r="M30" s="560" t="n"/>
      <c r="N30" s="704">
        <f>H30+I30</f>
        <v/>
      </c>
    </row>
    <row r="31" ht="14.25" customFormat="1" customHeight="1" s="96">
      <c r="A31" s="702" t="n">
        <v>42223</v>
      </c>
      <c r="B31" s="132" t="inlineStr">
        <is>
          <t>E 81282</t>
        </is>
      </c>
      <c r="C31" s="124" t="inlineStr">
        <is>
          <t>Primark</t>
        </is>
      </c>
      <c r="D31" s="125" t="n"/>
      <c r="E31" s="126" t="inlineStr">
        <is>
          <t>Ladies Legging</t>
        </is>
      </c>
      <c r="F31" s="736" t="n">
        <v>100</v>
      </c>
      <c r="G31" s="128" t="inlineStr">
        <is>
          <t>CT</t>
        </is>
      </c>
      <c r="H31" s="129" t="n"/>
      <c r="I31" s="703" t="n">
        <v>43228500</v>
      </c>
      <c r="J31" s="560" t="n"/>
      <c r="K31" s="560" t="n"/>
      <c r="L31" s="129" t="n"/>
      <c r="M31" s="560" t="n"/>
      <c r="N31" s="704">
        <f>H31+I31</f>
        <v/>
      </c>
    </row>
    <row r="32" ht="14.25" customFormat="1" customHeight="1" s="96">
      <c r="A32" s="702" t="n">
        <v>42223</v>
      </c>
      <c r="B32" s="132" t="inlineStr">
        <is>
          <t>E 80591</t>
        </is>
      </c>
      <c r="C32" s="124" t="inlineStr">
        <is>
          <t>Primark Stores Limited</t>
        </is>
      </c>
      <c r="D32" s="125" t="n"/>
      <c r="E32" s="126" t="inlineStr">
        <is>
          <t>Boy Contrast Hoody Core Hoody</t>
        </is>
      </c>
      <c r="F32" s="736" t="n">
        <v>720</v>
      </c>
      <c r="G32" s="128" t="inlineStr">
        <is>
          <t>CT</t>
        </is>
      </c>
      <c r="H32" s="129" t="n"/>
      <c r="I32" s="703" t="n">
        <v>158751520</v>
      </c>
      <c r="J32" s="560" t="n"/>
      <c r="K32" s="560" t="n"/>
      <c r="L32" s="129" t="n"/>
      <c r="M32" s="560" t="n"/>
      <c r="N32" s="704">
        <f>H32+I32</f>
        <v/>
      </c>
    </row>
    <row r="33" ht="14.25" customFormat="1" customHeight="1" s="96">
      <c r="A33" s="702" t="n">
        <v>42224</v>
      </c>
      <c r="B33" s="132" t="inlineStr">
        <is>
          <t>E 81979</t>
        </is>
      </c>
      <c r="C33" s="124" t="inlineStr">
        <is>
          <t>Primark Stores Limited</t>
        </is>
      </c>
      <c r="D33" s="125" t="n"/>
      <c r="E33" s="126" t="inlineStr">
        <is>
          <t>Ladies' Nylon Back FL Legging</t>
        </is>
      </c>
      <c r="F33" s="736" t="n">
        <v>167</v>
      </c>
      <c r="G33" s="128" t="inlineStr">
        <is>
          <t>CT</t>
        </is>
      </c>
      <c r="H33" s="129" t="n"/>
      <c r="I33" s="703" t="n">
        <v>72191595</v>
      </c>
      <c r="J33" s="560" t="n"/>
      <c r="K33" s="560" t="n"/>
      <c r="L33" s="129" t="n"/>
      <c r="M33" s="560" t="n"/>
      <c r="N33" s="704">
        <f>H33+I33</f>
        <v/>
      </c>
    </row>
    <row r="34" ht="14.25" customFormat="1" customHeight="1" s="96">
      <c r="A34" s="702" t="n">
        <v>42229</v>
      </c>
      <c r="B34" s="132" t="inlineStr">
        <is>
          <t>E 82631</t>
        </is>
      </c>
      <c r="C34" s="124" t="inlineStr">
        <is>
          <t>Adler Czech A.S</t>
        </is>
      </c>
      <c r="D34" s="125" t="n"/>
      <c r="E34" s="126" t="inlineStr">
        <is>
          <t>Gent Knit Sweatshirt + Sweater</t>
        </is>
      </c>
      <c r="F34" s="736" t="n">
        <v>853</v>
      </c>
      <c r="G34" s="128" t="inlineStr">
        <is>
          <t>CT</t>
        </is>
      </c>
      <c r="H34" s="129" t="n"/>
      <c r="I34" s="703" t="n">
        <v>348972482</v>
      </c>
      <c r="J34" s="560" t="n"/>
      <c r="K34" s="560" t="n"/>
      <c r="L34" s="129" t="n"/>
      <c r="M34" s="560" t="n"/>
      <c r="N34" s="704">
        <f>H34+I34</f>
        <v/>
      </c>
    </row>
    <row r="35" ht="14.25" customFormat="1" customHeight="1" s="96">
      <c r="A35" s="702" t="n">
        <v>42229</v>
      </c>
      <c r="B35" s="132" t="inlineStr">
        <is>
          <t>E 82631</t>
        </is>
      </c>
      <c r="C35" s="124" t="inlineStr">
        <is>
          <t>Adler Czech A.S</t>
        </is>
      </c>
      <c r="D35" s="125" t="n"/>
      <c r="E35" s="126" t="inlineStr">
        <is>
          <t>Ladies Knit Sweatshirt</t>
        </is>
      </c>
      <c r="F35" s="736" t="n">
        <v>171</v>
      </c>
      <c r="G35" s="128" t="inlineStr">
        <is>
          <t>CT</t>
        </is>
      </c>
      <c r="H35" s="129" t="n"/>
      <c r="I35" s="703" t="n">
        <v>103909128</v>
      </c>
      <c r="J35" s="560" t="n"/>
      <c r="K35" s="560" t="n"/>
      <c r="L35" s="129" t="n"/>
      <c r="M35" s="560" t="n"/>
      <c r="N35" s="704">
        <f>H35+I35</f>
        <v/>
      </c>
    </row>
    <row r="36" ht="14.25" customFormat="1" customHeight="1" s="96">
      <c r="A36" s="702" t="n">
        <v>42230</v>
      </c>
      <c r="B36" s="132" t="inlineStr">
        <is>
          <t>E 84211</t>
        </is>
      </c>
      <c r="C36" s="124" t="inlineStr">
        <is>
          <t>LPP S.A</t>
        </is>
      </c>
      <c r="D36" s="125" t="n"/>
      <c r="E36" s="126" t="inlineStr">
        <is>
          <t>Men's Trousers</t>
        </is>
      </c>
      <c r="F36" s="736" t="n">
        <v>230</v>
      </c>
      <c r="G36" s="128" t="inlineStr">
        <is>
          <t>CT</t>
        </is>
      </c>
      <c r="H36" s="129" t="n"/>
      <c r="I36" s="703" t="n">
        <v>83919611</v>
      </c>
      <c r="J36" s="560" t="n"/>
      <c r="K36" s="560" t="n"/>
      <c r="L36" s="129" t="n"/>
      <c r="M36" s="560" t="n"/>
      <c r="N36" s="704">
        <f>H36+I36</f>
        <v/>
      </c>
    </row>
    <row r="37" ht="18.75" customFormat="1" customHeight="1" s="96">
      <c r="A37" s="702" t="n">
        <v>42230</v>
      </c>
      <c r="B37" s="132" t="inlineStr">
        <is>
          <t>E 83211</t>
        </is>
      </c>
      <c r="C37" s="124" t="inlineStr">
        <is>
          <t>A.Levy &amp; Son Limited</t>
        </is>
      </c>
      <c r="D37" s="125" t="n"/>
      <c r="E37" s="126" t="inlineStr">
        <is>
          <t>Men's Knit Long Sleeve Zip Thru Jacket</t>
        </is>
      </c>
      <c r="F37" s="736" t="n">
        <v>244</v>
      </c>
      <c r="G37" s="128" t="inlineStr">
        <is>
          <t>CT</t>
        </is>
      </c>
      <c r="H37" s="129" t="n"/>
      <c r="I37" s="703" t="n">
        <v>123404769</v>
      </c>
      <c r="J37" s="560" t="n"/>
      <c r="K37" s="560" t="n"/>
      <c r="L37" s="129" t="n"/>
      <c r="M37" s="560" t="n"/>
      <c r="N37" s="704">
        <f>H37+I37</f>
        <v/>
      </c>
    </row>
    <row r="38" ht="14.25" customFormat="1" customHeight="1" s="96">
      <c r="A38" s="702" t="n">
        <v>42230</v>
      </c>
      <c r="B38" s="132" t="inlineStr">
        <is>
          <t>E 83211</t>
        </is>
      </c>
      <c r="C38" s="124" t="inlineStr">
        <is>
          <t>A.Levy &amp; Son Limited</t>
        </is>
      </c>
      <c r="D38" s="125" t="n"/>
      <c r="E38" s="126" t="inlineStr">
        <is>
          <t>Men's Knit Hoody</t>
        </is>
      </c>
      <c r="F38" s="736" t="n">
        <v>178</v>
      </c>
      <c r="G38" s="128" t="inlineStr">
        <is>
          <t>CT</t>
        </is>
      </c>
      <c r="H38" s="129" t="n"/>
      <c r="I38" s="703" t="n">
        <v>89718899</v>
      </c>
      <c r="J38" s="560" t="n"/>
      <c r="K38" s="560" t="n"/>
      <c r="L38" s="129" t="n"/>
      <c r="M38" s="560" t="n"/>
      <c r="N38" s="704">
        <f>H38+I38</f>
        <v/>
      </c>
    </row>
    <row r="39" ht="14.25" customFormat="1" customHeight="1" s="96">
      <c r="A39" s="702" t="n">
        <v>42236</v>
      </c>
      <c r="B39" s="132" t="inlineStr">
        <is>
          <t>E 85424</t>
        </is>
      </c>
      <c r="C39" s="124" t="inlineStr">
        <is>
          <t>A.Levy &amp; Son Limited</t>
        </is>
      </c>
      <c r="D39" s="125" t="n"/>
      <c r="E39" s="126" t="inlineStr">
        <is>
          <t>Men's Knit Pullover</t>
        </is>
      </c>
      <c r="F39" s="736" t="n">
        <v>253</v>
      </c>
      <c r="G39" s="128" t="inlineStr">
        <is>
          <t>CT</t>
        </is>
      </c>
      <c r="H39" s="129" t="n"/>
      <c r="I39" s="703" t="n">
        <v>107902807</v>
      </c>
      <c r="J39" s="560" t="n"/>
      <c r="K39" s="560" t="n"/>
      <c r="L39" s="129" t="n"/>
      <c r="M39" s="560" t="n"/>
      <c r="N39" s="704">
        <f>H39+I39</f>
        <v/>
      </c>
    </row>
    <row r="40" ht="14.25" customFormat="1" customHeight="1" s="96">
      <c r="A40" s="702" t="n">
        <v>42237</v>
      </c>
      <c r="B40" s="132" t="inlineStr">
        <is>
          <t>E 86517</t>
        </is>
      </c>
      <c r="C40" s="124" t="inlineStr">
        <is>
          <t>Primarkus Corp</t>
        </is>
      </c>
      <c r="D40" s="125" t="n"/>
      <c r="E40" s="126" t="inlineStr">
        <is>
          <t>Men Knit Chesi Print Zip</t>
        </is>
      </c>
      <c r="F40" s="736" t="n">
        <v>17</v>
      </c>
      <c r="G40" s="128" t="inlineStr">
        <is>
          <t>CT</t>
        </is>
      </c>
      <c r="H40" s="129" t="n"/>
      <c r="I40" s="703" t="n">
        <v>4368609</v>
      </c>
      <c r="J40" s="560" t="n"/>
      <c r="K40" s="560" t="n"/>
      <c r="L40" s="129" t="n"/>
      <c r="M40" s="560" t="n"/>
      <c r="N40" s="704">
        <f>H40+I40</f>
        <v/>
      </c>
    </row>
    <row r="41" ht="14.25" customFormat="1" customHeight="1" s="96">
      <c r="A41" s="702" t="n">
        <v>42237</v>
      </c>
      <c r="B41" s="132" t="inlineStr">
        <is>
          <t>E 87246</t>
        </is>
      </c>
      <c r="C41" s="124" t="inlineStr">
        <is>
          <t>Primark Stores Limited</t>
        </is>
      </c>
      <c r="D41" s="125" t="n"/>
      <c r="E41" s="126" t="inlineStr">
        <is>
          <t>Boy's Hoody</t>
        </is>
      </c>
      <c r="F41" s="736" t="n">
        <v>200</v>
      </c>
      <c r="G41" s="128" t="inlineStr">
        <is>
          <t>CT</t>
        </is>
      </c>
      <c r="H41" s="129" t="n"/>
      <c r="I41" s="703" t="n">
        <v>41197900</v>
      </c>
      <c r="J41" s="560" t="n"/>
      <c r="K41" s="560" t="n"/>
      <c r="L41" s="129" t="n"/>
      <c r="M41" s="560" t="n"/>
      <c r="N41" s="704">
        <f>H41+I41</f>
        <v/>
      </c>
    </row>
    <row r="42" ht="14.25" customFormat="1" customHeight="1" s="96">
      <c r="A42" s="702" t="n">
        <v>42237</v>
      </c>
      <c r="B42" s="132" t="inlineStr">
        <is>
          <t>E 87199</t>
        </is>
      </c>
      <c r="C42" s="124" t="inlineStr">
        <is>
          <t>Primakr Tiendas S.l.u.</t>
        </is>
      </c>
      <c r="D42" s="125" t="n"/>
      <c r="E42" s="126" t="inlineStr">
        <is>
          <t>Men's Knit Chest Print Zip Thru</t>
        </is>
      </c>
      <c r="F42" s="736" t="n">
        <v>250</v>
      </c>
      <c r="G42" s="128" t="inlineStr">
        <is>
          <t>CT</t>
        </is>
      </c>
      <c r="H42" s="129" t="n"/>
      <c r="I42" s="703">
        <f>15750*4079</f>
        <v/>
      </c>
      <c r="J42" s="560" t="n"/>
      <c r="K42" s="560" t="n"/>
      <c r="L42" s="129" t="n"/>
      <c r="M42" s="560" t="n"/>
      <c r="N42" s="704">
        <f>H42+I42</f>
        <v/>
      </c>
    </row>
    <row r="43" ht="14.25" customFormat="1" customHeight="1" s="96">
      <c r="A43" s="702" t="n">
        <v>42237</v>
      </c>
      <c r="B43" s="132" t="inlineStr">
        <is>
          <t>E 87074</t>
        </is>
      </c>
      <c r="C43" s="124" t="inlineStr">
        <is>
          <t>Primark 47 Mary Street Dublin1.</t>
        </is>
      </c>
      <c r="D43" s="125" t="n"/>
      <c r="E43" s="126" t="inlineStr">
        <is>
          <t>Men's Knit Chest Print Zip Thru</t>
        </is>
      </c>
      <c r="F43" s="736" t="n">
        <v>192</v>
      </c>
      <c r="G43" s="128" t="inlineStr">
        <is>
          <t>CT</t>
        </is>
      </c>
      <c r="H43" s="129" t="n"/>
      <c r="I43" s="703" t="n">
        <v>49339584</v>
      </c>
      <c r="J43" s="560" t="n"/>
      <c r="K43" s="560" t="n"/>
      <c r="L43" s="129" t="n"/>
      <c r="M43" s="560" t="n"/>
      <c r="N43" s="704">
        <f>H43+I43</f>
        <v/>
      </c>
    </row>
    <row r="44" ht="14.25" customFormat="1" customHeight="1" s="96">
      <c r="A44" s="702" t="n">
        <v>42237</v>
      </c>
      <c r="B44" s="132" t="inlineStr">
        <is>
          <t>E 86097</t>
        </is>
      </c>
      <c r="C44" s="124" t="inlineStr">
        <is>
          <t>Primark Stores Limited</t>
        </is>
      </c>
      <c r="D44" s="125" t="n"/>
      <c r="E44" s="126" t="inlineStr">
        <is>
          <t>See Val Note</t>
        </is>
      </c>
      <c r="F44" s="736" t="n">
        <v>756</v>
      </c>
      <c r="G44" s="128" t="inlineStr">
        <is>
          <t>CT</t>
        </is>
      </c>
      <c r="H44" s="129" t="n"/>
      <c r="I44" s="703" t="n">
        <v>178378749</v>
      </c>
      <c r="J44" s="560" t="n"/>
      <c r="K44" s="560" t="n"/>
      <c r="L44" s="129" t="n"/>
      <c r="M44" s="560" t="n"/>
      <c r="N44" s="704">
        <f>H44+I44</f>
        <v/>
      </c>
    </row>
    <row r="45" ht="14.25" customFormat="1" customHeight="1" s="96">
      <c r="A45" s="702" t="n">
        <v>42237</v>
      </c>
      <c r="B45" s="132" t="inlineStr">
        <is>
          <t>E 86347</t>
        </is>
      </c>
      <c r="C45" s="124" t="inlineStr">
        <is>
          <t>LPP S.A</t>
        </is>
      </c>
      <c r="D45" s="125" t="n"/>
      <c r="E45" s="126" t="inlineStr">
        <is>
          <t>Men's Jogging Top</t>
        </is>
      </c>
      <c r="F45" s="736" t="n">
        <v>725</v>
      </c>
      <c r="G45" s="128" t="inlineStr">
        <is>
          <t>CT</t>
        </is>
      </c>
      <c r="H45" s="129" t="n"/>
      <c r="I45" s="703" t="n">
        <v>162100480</v>
      </c>
      <c r="J45" s="560" t="n"/>
      <c r="K45" s="560" t="n"/>
      <c r="L45" s="129" t="n"/>
      <c r="M45" s="560" t="n"/>
      <c r="N45" s="704">
        <f>H45+I45</f>
        <v/>
      </c>
    </row>
    <row r="46" ht="14.25" customFormat="1" customHeight="1" s="96">
      <c r="A46" s="702" t="n">
        <v>42237</v>
      </c>
      <c r="B46" s="132" t="inlineStr">
        <is>
          <t>E 86347</t>
        </is>
      </c>
      <c r="C46" s="124" t="inlineStr">
        <is>
          <t>LPP S.A</t>
        </is>
      </c>
      <c r="D46" s="125" t="n"/>
      <c r="E46" s="126" t="inlineStr">
        <is>
          <t>Men's Knit Trousers</t>
        </is>
      </c>
      <c r="F46" s="736" t="n">
        <v>531</v>
      </c>
      <c r="G46" s="128" t="inlineStr">
        <is>
          <t>CT</t>
        </is>
      </c>
      <c r="H46" s="129" t="n"/>
      <c r="I46" s="703" t="n">
        <v>203679970</v>
      </c>
      <c r="J46" s="560" t="n"/>
      <c r="K46" s="560" t="n"/>
      <c r="L46" s="129" t="n"/>
      <c r="M46" s="560" t="n"/>
      <c r="N46" s="704">
        <f>H46+I46</f>
        <v/>
      </c>
    </row>
    <row r="47" ht="14.25" customFormat="1" customHeight="1" s="139">
      <c r="A47" s="705">
        <f>M4</f>
        <v/>
      </c>
      <c r="B47" s="584" t="n"/>
      <c r="C47" s="584" t="n"/>
      <c r="D47" s="573" t="n"/>
      <c r="E47" s="133" t="inlineStr">
        <is>
          <t>Riel</t>
        </is>
      </c>
      <c r="F47" s="134" t="n"/>
      <c r="G47" s="128" t="n"/>
      <c r="H47" s="135" t="n"/>
      <c r="I47" s="707">
        <f>SUM(I9:I46)</f>
        <v/>
      </c>
      <c r="J47" s="137" t="n"/>
      <c r="K47" s="137" t="n"/>
      <c r="L47" s="137" t="n"/>
      <c r="M47" s="137" t="n"/>
      <c r="N47" s="708">
        <f>SUM(N9:N46)</f>
        <v/>
      </c>
    </row>
    <row r="48" ht="14.25" customFormat="1" customHeight="1" s="139" thickBot="1">
      <c r="A48" s="709" t="inlineStr">
        <is>
          <t>Total USD</t>
        </is>
      </c>
      <c r="B48" s="710" t="n"/>
      <c r="C48" s="710" t="n"/>
      <c r="D48" s="711" t="n"/>
      <c r="E48" s="140" t="inlineStr">
        <is>
          <t>USD</t>
        </is>
      </c>
      <c r="F48" s="737" t="n"/>
      <c r="G48" s="738" t="n"/>
      <c r="H48" s="143">
        <f>H47/M4</f>
        <v/>
      </c>
      <c r="I48" s="713">
        <f>I47/M4</f>
        <v/>
      </c>
      <c r="J48" s="714">
        <f>J47*4034</f>
        <v/>
      </c>
      <c r="K48" s="714">
        <f>K47*4034</f>
        <v/>
      </c>
      <c r="L48" s="714">
        <f>L47*4034</f>
        <v/>
      </c>
      <c r="M48" s="714">
        <f>M47*4034</f>
        <v/>
      </c>
      <c r="N48" s="715">
        <f>N47/M4</f>
        <v/>
      </c>
    </row>
    <row r="49" ht="15.75" customFormat="1" customHeight="1" s="151">
      <c r="A49" s="147" t="n"/>
      <c r="B49" s="148" t="n"/>
      <c r="C49" s="148" t="n"/>
      <c r="D49" s="148" t="n"/>
      <c r="E49" s="148" t="n"/>
      <c r="F49" s="716" t="n"/>
      <c r="G49" s="716" t="n"/>
      <c r="H49" s="148" t="inlineStr">
        <is>
          <t>Box 12</t>
        </is>
      </c>
      <c r="I49" s="150" t="inlineStr">
        <is>
          <t xml:space="preserve">    </t>
        </is>
      </c>
      <c r="J49" s="148" t="inlineStr">
        <is>
          <t>Box 14</t>
        </is>
      </c>
      <c r="K49" s="148" t="inlineStr">
        <is>
          <t>Box 15</t>
        </is>
      </c>
      <c r="L49" s="148" t="inlineStr">
        <is>
          <t>Box 14</t>
        </is>
      </c>
      <c r="M49" s="148" t="inlineStr">
        <is>
          <t>Box 15</t>
        </is>
      </c>
      <c r="N49" s="148" t="n"/>
    </row>
    <row r="50" ht="14.25" customHeight="1" s="408">
      <c r="A50" s="152" t="n"/>
      <c r="B50" s="153" t="n"/>
      <c r="C50" s="153" t="n"/>
      <c r="D50" s="153" t="n"/>
      <c r="E50" s="153" t="n"/>
      <c r="F50" s="717" t="n"/>
      <c r="G50" s="717" t="n"/>
      <c r="H50" s="153" t="n"/>
      <c r="I50" s="553" t="inlineStr">
        <is>
          <t>Approved By :</t>
        </is>
      </c>
    </row>
    <row r="51" ht="19.5" customHeight="1" s="408">
      <c r="I51" s="554" t="n"/>
      <c r="O51" s="718" t="n"/>
    </row>
    <row r="52" hidden="1" ht="18" customHeight="1" s="408">
      <c r="I52" s="719">
        <f>I48*1%</f>
        <v/>
      </c>
      <c r="J52" s="160" t="n"/>
      <c r="K52" s="739" t="n"/>
      <c r="L52" s="721" t="n"/>
      <c r="M52" s="721" t="n"/>
    </row>
    <row r="53" ht="14.25" customHeight="1" s="408">
      <c r="I53" s="163" t="n"/>
      <c r="J53" s="546" t="n"/>
      <c r="M53" s="163" t="n"/>
    </row>
    <row r="54" ht="14.25" customHeight="1" s="408">
      <c r="C54" s="164" t="n"/>
      <c r="D54" s="165" t="n"/>
      <c r="E54" s="165" t="n"/>
      <c r="F54" s="722" t="n"/>
      <c r="G54" s="722" t="n"/>
    </row>
    <row r="55" ht="14.25" customHeight="1" s="408">
      <c r="F55" s="697" t="n"/>
      <c r="G55" s="697" t="n"/>
      <c r="H55" s="735" t="n"/>
      <c r="J55" s="169" t="n"/>
    </row>
    <row r="56" ht="14.25" customHeight="1" s="408">
      <c r="C56" s="170" t="n"/>
      <c r="D56" s="171" t="n"/>
      <c r="E56" s="172" t="n"/>
      <c r="F56" s="171" t="n"/>
      <c r="G56" s="171" t="n"/>
      <c r="H56" s="160" t="n"/>
      <c r="I56" s="173" t="n"/>
      <c r="J56" s="725" t="n"/>
      <c r="K56" s="175" t="n"/>
      <c r="L56" s="175" t="n"/>
      <c r="O56" s="169" t="n"/>
    </row>
    <row r="57" ht="14.25" customHeight="1" s="408">
      <c r="F57" s="697" t="n"/>
      <c r="G57" s="697" t="n"/>
      <c r="I57" s="730" t="n"/>
      <c r="J57" s="177" t="n"/>
      <c r="K57" s="177" t="n"/>
      <c r="L57" s="139" t="n"/>
    </row>
    <row r="58" ht="14.25" customHeight="1" s="408">
      <c r="I58" s="173" t="n"/>
      <c r="J58" s="729" t="n"/>
      <c r="K58" s="139" t="n"/>
      <c r="L58" s="139" t="n"/>
    </row>
    <row r="59" ht="14.25" customHeight="1" s="408">
      <c r="I59" s="730" t="n"/>
      <c r="J59" s="725" t="n"/>
      <c r="K59" s="139" t="n"/>
      <c r="L59" s="139" t="n"/>
    </row>
    <row r="60" ht="14.25" customHeight="1" s="408">
      <c r="I60" s="731" t="n"/>
      <c r="K60" s="139" t="n"/>
      <c r="L60" s="139" t="n"/>
      <c r="N60" s="732" t="n"/>
    </row>
    <row r="61" hidden="1" ht="14.25" customHeight="1" s="408">
      <c r="I61" s="733">
        <f>I48*1%</f>
        <v/>
      </c>
    </row>
    <row r="62" ht="14.25" customHeight="1" s="408">
      <c r="I62" s="175" t="n"/>
      <c r="J62" s="139" t="n"/>
    </row>
    <row r="63" ht="14.25" customHeight="1" s="408">
      <c r="I63" s="175" t="n"/>
    </row>
    <row r="64" ht="14.25" customHeight="1" s="408">
      <c r="I64" s="175" t="n"/>
    </row>
    <row r="65" ht="14.25" customHeight="1" s="408">
      <c r="I65" s="175" t="n"/>
    </row>
    <row r="66" ht="14.25" customHeight="1" s="408">
      <c r="I66" s="725" t="n"/>
    </row>
    <row r="67" ht="14.25" customHeight="1" s="408">
      <c r="I67" s="175" t="n"/>
    </row>
    <row r="68" ht="14.25" customHeight="1" s="408">
      <c r="I68" s="175" t="n"/>
    </row>
    <row r="69" ht="14.25" customHeight="1" s="408">
      <c r="I69" s="175" t="n"/>
    </row>
    <row r="70" ht="14.25" customHeight="1" s="408">
      <c r="I70" s="175" t="n"/>
    </row>
    <row r="71" ht="14.25" customHeight="1" s="408">
      <c r="I71" s="175" t="n"/>
    </row>
    <row r="72" ht="14.25" customHeight="1" s="408">
      <c r="I72" s="175" t="n"/>
    </row>
  </sheetData>
  <mergeCells count="18">
    <mergeCell ref="A1:N1"/>
    <mergeCell ref="J5:M5"/>
    <mergeCell ref="F6:H6"/>
    <mergeCell ref="L7:M7"/>
    <mergeCell ref="A5:I5"/>
    <mergeCell ref="A48:D48"/>
    <mergeCell ref="A2:N2"/>
    <mergeCell ref="J7:K7"/>
    <mergeCell ref="I50:N50"/>
    <mergeCell ref="F8:H8"/>
    <mergeCell ref="J6:M6"/>
    <mergeCell ref="H55:I55"/>
    <mergeCell ref="F7:H7"/>
    <mergeCell ref="I61:J61"/>
    <mergeCell ref="A47:D47"/>
    <mergeCell ref="I60:J60"/>
    <mergeCell ref="I51:N51"/>
    <mergeCell ref="J53:L53"/>
  </mergeCells>
  <pageMargins left="0.45" right="0.16" top="0.51" bottom="0.5" header="0.46" footer="0.2"/>
  <pageSetup orientation="landscape" horizontalDpi="0" verticalDpi="0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PHAY</dc:creator>
  <dcterms:created xmlns:dcterms="http://purl.org/dc/terms/" xmlns:xsi="http://www.w3.org/2001/XMLSchema-instance" xsi:type="dcterms:W3CDTF">2002-01-25T08:51:18Z</dcterms:created>
  <dcterms:modified xmlns:dcterms="http://purl.org/dc/terms/" xmlns:xsi="http://www.w3.org/2001/XMLSchema-instance" xsi:type="dcterms:W3CDTF">2026-02-11T15:04:17Z</dcterms:modified>
  <cp:lastModifiedBy>Sophara Rith</cp:lastModifiedBy>
  <cp:lastPrinted>2025-06-16T09:11:36Z</cp:lastPrinted>
</cp:coreProperties>
</file>